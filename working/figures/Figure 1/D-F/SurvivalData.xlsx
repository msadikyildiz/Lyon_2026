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damlyon/Desktop/"/>
    </mc:Choice>
  </mc:AlternateContent>
  <xr:revisionPtr revIDLastSave="74" documentId="8_{8425F967-4E65-9F4C-A9AC-06EF86BC22E5}" xr6:coauthVersionLast="47" xr6:coauthVersionMax="47" xr10:uidLastSave="{CCD6C12A-1840-4325-8E71-AA850A68A4D6}"/>
  <bookViews>
    <workbookView xWindow="34920" yWindow="-340" windowWidth="26840" windowHeight="14200" firstSheet="2" activeTab="4" xr2:uid="{2F96E57B-572A-4F48-9878-D0067E72D080}"/>
  </bookViews>
  <sheets>
    <sheet name="ATEC" sheetId="1" r:id="rId1"/>
    <sheet name="PA" sheetId="4" r:id="rId2"/>
    <sheet name="PL" sheetId="5" r:id="rId3"/>
    <sheet name="PC" sheetId="3" r:id="rId4"/>
    <sheet name="PLAC" sheetId="6" r:id="rId5"/>
  </sheets>
  <definedNames>
    <definedName name="_xlnm._FilterDatabase" localSheetId="2" hidden="1">PL!$D$1:$D$1066</definedName>
    <definedName name="_xlnm._FilterDatabase" localSheetId="4" hidden="1">PLAC!$D$1:$D$1841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41" i="6" l="1"/>
  <c r="K1840" i="6"/>
  <c r="K1839" i="6"/>
  <c r="K1838" i="6"/>
  <c r="K1837" i="6"/>
  <c r="K1836" i="6"/>
  <c r="K1835" i="6"/>
  <c r="K1834" i="6"/>
  <c r="K1833" i="6"/>
  <c r="K1832" i="6"/>
  <c r="K1831" i="6"/>
  <c r="K1830" i="6"/>
  <c r="K1829" i="6"/>
  <c r="K1828" i="6"/>
  <c r="K1827" i="6"/>
  <c r="K1826" i="6"/>
  <c r="K1825" i="6"/>
  <c r="K1824" i="6"/>
  <c r="K1823" i="6"/>
  <c r="K1822" i="6"/>
  <c r="K1821" i="6"/>
  <c r="K1820" i="6"/>
  <c r="K1819" i="6"/>
  <c r="K1818" i="6"/>
  <c r="K1817" i="6"/>
  <c r="K1816" i="6"/>
  <c r="K1815" i="6"/>
  <c r="K1814" i="6"/>
  <c r="K1813" i="6"/>
  <c r="K1812" i="6"/>
  <c r="K1811" i="6"/>
  <c r="K1810" i="6"/>
  <c r="K1809" i="6"/>
  <c r="K1808" i="6"/>
  <c r="K1807" i="6"/>
  <c r="K1806" i="6"/>
  <c r="K1805" i="6"/>
  <c r="K1804" i="6"/>
  <c r="K1803" i="6"/>
  <c r="K1802" i="6"/>
  <c r="K1801" i="6"/>
  <c r="K1800" i="6"/>
  <c r="K1799" i="6"/>
  <c r="K1798" i="6"/>
  <c r="K1797" i="6"/>
  <c r="K1796" i="6"/>
  <c r="K1795" i="6"/>
  <c r="K1794" i="6"/>
  <c r="K1793" i="6"/>
  <c r="K1792" i="6"/>
  <c r="K1791" i="6"/>
  <c r="K1790" i="6"/>
  <c r="K1789" i="6"/>
  <c r="K1788" i="6"/>
  <c r="K1787" i="6"/>
  <c r="K1786" i="6"/>
  <c r="K1785" i="6"/>
  <c r="K1784" i="6"/>
  <c r="K1783" i="6"/>
  <c r="K1782" i="6"/>
  <c r="K1781" i="6"/>
  <c r="K1780" i="6"/>
  <c r="K1779" i="6"/>
  <c r="K1778" i="6"/>
  <c r="K1777" i="6"/>
  <c r="K1776" i="6"/>
  <c r="K1775" i="6"/>
  <c r="K1774" i="6"/>
  <c r="K1773" i="6"/>
  <c r="K1772" i="6"/>
  <c r="K1771" i="6"/>
  <c r="K1770" i="6"/>
  <c r="K1769" i="6"/>
  <c r="K1768" i="6"/>
  <c r="K1767" i="6"/>
  <c r="K1766" i="6"/>
  <c r="K1765" i="6"/>
  <c r="K1764" i="6"/>
  <c r="K1763" i="6"/>
  <c r="K1762" i="6"/>
  <c r="K1761" i="6"/>
  <c r="K1760" i="6"/>
  <c r="K1759" i="6"/>
  <c r="K1758" i="6"/>
  <c r="K1757" i="6"/>
  <c r="K1756" i="6"/>
  <c r="K1755" i="6"/>
  <c r="K1754" i="6"/>
  <c r="K1753" i="6"/>
  <c r="K1752" i="6"/>
  <c r="K1751" i="6"/>
  <c r="K1750" i="6"/>
  <c r="K1749" i="6"/>
  <c r="K1748" i="6"/>
  <c r="K1747" i="6"/>
  <c r="K1746" i="6"/>
  <c r="K1745" i="6"/>
  <c r="K1744" i="6"/>
  <c r="K1743" i="6"/>
  <c r="K1742" i="6"/>
  <c r="K1741" i="6"/>
  <c r="K1740" i="6"/>
  <c r="K1739" i="6"/>
  <c r="K1738" i="6"/>
  <c r="K1737" i="6"/>
  <c r="K1736" i="6"/>
  <c r="K1735" i="6"/>
  <c r="K1734" i="6"/>
  <c r="K1733" i="6"/>
  <c r="K1732" i="6"/>
  <c r="K1731" i="6"/>
  <c r="K1730" i="6"/>
  <c r="K1729" i="6"/>
  <c r="K1728" i="6"/>
  <c r="K1727" i="6"/>
  <c r="K1726" i="6"/>
  <c r="K1725" i="6"/>
  <c r="K1724" i="6"/>
  <c r="K1723" i="6"/>
  <c r="K1722" i="6"/>
  <c r="K1721" i="6"/>
  <c r="K1720" i="6"/>
  <c r="K1719" i="6"/>
  <c r="K1718" i="6"/>
  <c r="K1717" i="6"/>
  <c r="K1716" i="6"/>
  <c r="K1715" i="6"/>
  <c r="K1714" i="6"/>
  <c r="K1713" i="6"/>
  <c r="K1712" i="6"/>
  <c r="K1711" i="6"/>
  <c r="K1710" i="6"/>
  <c r="K1709" i="6"/>
  <c r="K1708" i="6"/>
  <c r="K1707" i="6"/>
  <c r="K1706" i="6"/>
  <c r="K1705" i="6"/>
  <c r="K1704" i="6"/>
  <c r="K1703" i="6"/>
  <c r="K1702" i="6"/>
  <c r="K1701" i="6"/>
  <c r="K1700" i="6"/>
  <c r="K1699" i="6"/>
  <c r="K1698" i="6"/>
  <c r="K1697" i="6"/>
  <c r="K1696" i="6"/>
  <c r="K1695" i="6"/>
  <c r="K1694" i="6"/>
  <c r="K1693" i="6"/>
  <c r="K1692" i="6"/>
  <c r="K1691" i="6"/>
  <c r="K1690" i="6"/>
  <c r="K1689" i="6"/>
  <c r="K1688" i="6"/>
  <c r="K1687" i="6"/>
  <c r="K1686" i="6"/>
  <c r="K1685" i="6"/>
  <c r="K1684" i="6"/>
  <c r="K1683" i="6"/>
  <c r="K1682" i="6"/>
  <c r="K1681" i="6"/>
  <c r="K1680" i="6"/>
  <c r="K1679" i="6"/>
  <c r="K1678" i="6"/>
  <c r="K1677" i="6"/>
  <c r="K1676" i="6"/>
  <c r="K1675" i="6"/>
  <c r="K1674" i="6"/>
  <c r="K1673" i="6"/>
  <c r="K1672" i="6"/>
  <c r="K1671" i="6"/>
  <c r="K1670" i="6"/>
  <c r="K1669" i="6"/>
  <c r="K1668" i="6"/>
  <c r="K1667" i="6"/>
  <c r="K1666" i="6"/>
  <c r="K1665" i="6"/>
  <c r="K1664" i="6"/>
  <c r="K1663" i="6"/>
  <c r="K1662" i="6"/>
  <c r="K1661" i="6"/>
  <c r="K1660" i="6"/>
  <c r="K1659" i="6"/>
  <c r="K1658" i="6"/>
  <c r="K1657" i="6"/>
  <c r="K1656" i="6"/>
  <c r="K1655" i="6"/>
  <c r="K1654" i="6"/>
  <c r="K1653" i="6"/>
  <c r="K1652" i="6"/>
  <c r="K1651" i="6"/>
  <c r="K1650" i="6"/>
  <c r="K1649" i="6"/>
  <c r="K1648" i="6"/>
  <c r="K1647" i="6"/>
  <c r="K1646" i="6"/>
  <c r="K1645" i="6"/>
  <c r="K1644" i="6"/>
  <c r="K1643" i="6"/>
  <c r="K1642" i="6"/>
  <c r="K1641" i="6"/>
  <c r="K1640" i="6"/>
  <c r="K1639" i="6"/>
  <c r="K1638" i="6"/>
  <c r="K1637" i="6"/>
  <c r="K1636" i="6"/>
  <c r="K1635" i="6"/>
  <c r="K1634" i="6"/>
  <c r="K1633" i="6"/>
  <c r="K1632" i="6"/>
  <c r="K1631" i="6"/>
  <c r="K1630" i="6"/>
  <c r="K1629" i="6"/>
  <c r="K1628" i="6"/>
  <c r="K1627" i="6"/>
  <c r="K1626" i="6"/>
  <c r="K1625" i="6"/>
  <c r="K1624" i="6"/>
  <c r="K1623" i="6"/>
  <c r="K1622" i="6"/>
  <c r="K1621" i="6"/>
  <c r="K1620" i="6"/>
  <c r="K1619" i="6"/>
  <c r="K1618" i="6"/>
  <c r="K1617" i="6"/>
  <c r="K1616" i="6"/>
  <c r="K1615" i="6"/>
  <c r="K1614" i="6"/>
  <c r="K1613" i="6"/>
  <c r="K1612" i="6"/>
  <c r="K1611" i="6"/>
  <c r="K1610" i="6"/>
  <c r="K1609" i="6"/>
  <c r="K1608" i="6"/>
  <c r="K1607" i="6"/>
  <c r="K1606" i="6"/>
  <c r="K1605" i="6"/>
  <c r="K1604" i="6"/>
  <c r="K1603" i="6"/>
  <c r="K1602" i="6"/>
  <c r="K1601" i="6"/>
  <c r="K1600" i="6"/>
  <c r="K1599" i="6"/>
  <c r="K1598" i="6"/>
  <c r="K1597" i="6"/>
  <c r="K1596" i="6"/>
  <c r="K1595" i="6"/>
  <c r="K1594" i="6"/>
  <c r="K1593" i="6"/>
  <c r="K1592" i="6"/>
  <c r="K1591" i="6"/>
  <c r="K1590" i="6"/>
  <c r="K1589" i="6"/>
  <c r="K1588" i="6"/>
  <c r="K1587" i="6"/>
  <c r="K1586" i="6"/>
  <c r="K1585" i="6"/>
  <c r="K1584" i="6"/>
  <c r="K1583" i="6"/>
  <c r="K1582" i="6"/>
  <c r="K1581" i="6"/>
  <c r="K1580" i="6"/>
  <c r="K1579" i="6"/>
  <c r="K1578" i="6"/>
  <c r="K1577" i="6"/>
  <c r="K1576" i="6"/>
  <c r="K1575" i="6"/>
  <c r="K1574" i="6"/>
  <c r="K1573" i="6"/>
  <c r="K1572" i="6"/>
  <c r="K1571" i="6"/>
  <c r="K1570" i="6"/>
  <c r="K1569" i="6"/>
  <c r="K1568" i="6"/>
  <c r="K1567" i="6"/>
  <c r="K1566" i="6"/>
  <c r="K1565" i="6"/>
  <c r="K1564" i="6"/>
  <c r="K1563" i="6"/>
  <c r="K1562" i="6"/>
  <c r="K1561" i="6"/>
  <c r="K1560" i="6"/>
  <c r="K1559" i="6"/>
  <c r="K1558" i="6"/>
  <c r="K1557" i="6"/>
  <c r="K1556" i="6"/>
  <c r="K1555" i="6"/>
  <c r="K1554" i="6"/>
  <c r="K1553" i="6"/>
  <c r="K1552" i="6"/>
  <c r="K1551" i="6"/>
  <c r="K1550" i="6"/>
  <c r="K1549" i="6"/>
  <c r="K1548" i="6"/>
  <c r="K1547" i="6"/>
  <c r="K1546" i="6"/>
  <c r="K1545" i="6"/>
  <c r="K1544" i="6"/>
  <c r="K1543" i="6"/>
  <c r="K1542" i="6"/>
  <c r="K1541" i="6"/>
  <c r="K1540" i="6"/>
  <c r="K1539" i="6"/>
  <c r="K1538" i="6"/>
  <c r="K1537" i="6"/>
  <c r="K1536" i="6"/>
  <c r="K1535" i="6"/>
  <c r="K1534" i="6"/>
  <c r="K1533" i="6"/>
  <c r="K1532" i="6"/>
  <c r="K1531" i="6"/>
  <c r="K1530" i="6"/>
  <c r="K1529" i="6"/>
  <c r="K1528" i="6"/>
  <c r="K1527" i="6"/>
  <c r="K1526" i="6"/>
  <c r="K1525" i="6"/>
  <c r="K1524" i="6"/>
  <c r="K1523" i="6"/>
  <c r="K1522" i="6"/>
  <c r="K1521" i="6"/>
  <c r="K1520" i="6"/>
  <c r="K1519" i="6"/>
  <c r="K1518" i="6"/>
  <c r="K1517" i="6"/>
  <c r="K1516" i="6"/>
  <c r="K1515" i="6"/>
  <c r="K1514" i="6"/>
  <c r="K1513" i="6"/>
  <c r="K1512" i="6"/>
  <c r="K1511" i="6"/>
  <c r="K1510" i="6"/>
  <c r="K1509" i="6"/>
  <c r="K1508" i="6"/>
  <c r="K1507" i="6"/>
  <c r="K1506" i="6"/>
  <c r="K1505" i="6"/>
  <c r="K1504" i="6"/>
  <c r="K1503" i="6"/>
  <c r="K1502" i="6"/>
  <c r="K1501" i="6"/>
  <c r="K1500" i="6"/>
  <c r="K1499" i="6"/>
  <c r="K1498" i="6"/>
  <c r="K1497" i="6"/>
  <c r="K1496" i="6"/>
  <c r="K1495" i="6"/>
  <c r="K1494" i="6"/>
  <c r="K1493" i="6"/>
  <c r="K1492" i="6"/>
  <c r="K1491" i="6"/>
  <c r="K1490" i="6"/>
  <c r="K1489" i="6"/>
  <c r="K1488" i="6"/>
  <c r="K1487" i="6"/>
  <c r="K1486" i="6"/>
  <c r="K1485" i="6"/>
  <c r="K1484" i="6"/>
  <c r="K1483" i="6"/>
  <c r="K1482" i="6"/>
  <c r="K1481" i="6"/>
  <c r="K1480" i="6"/>
  <c r="K1479" i="6"/>
  <c r="K1478" i="6"/>
  <c r="K1477" i="6"/>
  <c r="K1476" i="6"/>
  <c r="K1475" i="6"/>
  <c r="K1474" i="6"/>
  <c r="K1473" i="6"/>
  <c r="K1472" i="6"/>
  <c r="K1471" i="6"/>
  <c r="K1470" i="6"/>
  <c r="K1469" i="6"/>
  <c r="K1468" i="6"/>
  <c r="K1467" i="6"/>
  <c r="K1466" i="6"/>
  <c r="K1465" i="6"/>
  <c r="K1464" i="6"/>
  <c r="K1463" i="6"/>
  <c r="K1462" i="6"/>
  <c r="K1461" i="6"/>
  <c r="K1460" i="6"/>
  <c r="K1459" i="6"/>
  <c r="K1458" i="6"/>
  <c r="K1457" i="6"/>
  <c r="K1456" i="6"/>
  <c r="K1455" i="6"/>
  <c r="K1454" i="6"/>
  <c r="K1453" i="6"/>
  <c r="K1452" i="6"/>
  <c r="K1451" i="6"/>
  <c r="K1450" i="6"/>
  <c r="K1449" i="6"/>
  <c r="K1448" i="6"/>
  <c r="K1447" i="6"/>
  <c r="K1446" i="6"/>
  <c r="K1445" i="6"/>
  <c r="K1444" i="6"/>
  <c r="K1443" i="6"/>
  <c r="K1442" i="6"/>
  <c r="K1441" i="6"/>
  <c r="K1440" i="6"/>
  <c r="K1439" i="6"/>
  <c r="K1438" i="6"/>
  <c r="K1437" i="6"/>
  <c r="K1436" i="6"/>
  <c r="K1435" i="6"/>
  <c r="K1434" i="6"/>
  <c r="K1433" i="6"/>
  <c r="K1432" i="6"/>
  <c r="K1431" i="6"/>
  <c r="K1430" i="6"/>
  <c r="K1429" i="6"/>
  <c r="K1428" i="6"/>
  <c r="K1427" i="6"/>
  <c r="K1426" i="6"/>
  <c r="K1425" i="6"/>
  <c r="K1424" i="6"/>
  <c r="K1423" i="6"/>
  <c r="K1422" i="6"/>
  <c r="K1421" i="6"/>
  <c r="K1420" i="6"/>
  <c r="K1419" i="6"/>
  <c r="K1418" i="6"/>
  <c r="K1417" i="6"/>
  <c r="K1416" i="6"/>
  <c r="K1415" i="6"/>
  <c r="K1414" i="6"/>
  <c r="K1413" i="6"/>
  <c r="K1412" i="6"/>
  <c r="K1411" i="6"/>
  <c r="K1410" i="6"/>
  <c r="K1409" i="6"/>
  <c r="K1408" i="6"/>
  <c r="K1407" i="6"/>
  <c r="K1406" i="6"/>
  <c r="K1405" i="6"/>
  <c r="K1404" i="6"/>
  <c r="K1403" i="6"/>
  <c r="K1402" i="6"/>
  <c r="K1401" i="6"/>
  <c r="K1400" i="6"/>
  <c r="K1399" i="6"/>
  <c r="K1398" i="6"/>
  <c r="K1397" i="6"/>
  <c r="K1396" i="6"/>
  <c r="K1395" i="6"/>
  <c r="K1394" i="6"/>
  <c r="K1393" i="6"/>
  <c r="K1392" i="6"/>
  <c r="K1391" i="6"/>
  <c r="K1390" i="6"/>
  <c r="K1389" i="6"/>
  <c r="K1388" i="6"/>
  <c r="K1387" i="6"/>
  <c r="K1386" i="6"/>
  <c r="K1385" i="6"/>
  <c r="K1384" i="6"/>
  <c r="K1383" i="6"/>
  <c r="K1382" i="6"/>
  <c r="K1381" i="6"/>
  <c r="K1380" i="6"/>
  <c r="K1379" i="6"/>
  <c r="K1378" i="6"/>
  <c r="K1377" i="6"/>
  <c r="K1376" i="6"/>
  <c r="K1375" i="6"/>
  <c r="K1374" i="6"/>
  <c r="K1373" i="6"/>
  <c r="K1372" i="6"/>
  <c r="K1371" i="6"/>
  <c r="K1370" i="6"/>
  <c r="K1369" i="6"/>
  <c r="K1368" i="6"/>
  <c r="K1367" i="6"/>
  <c r="K1366" i="6"/>
  <c r="K1365" i="6"/>
  <c r="K1364" i="6"/>
  <c r="K1363" i="6"/>
  <c r="K1362" i="6"/>
  <c r="K1361" i="6"/>
  <c r="K1360" i="6"/>
  <c r="K1359" i="6"/>
  <c r="K1358" i="6"/>
  <c r="K1357" i="6"/>
  <c r="K1356" i="6"/>
  <c r="K1355" i="6"/>
  <c r="K1354" i="6"/>
  <c r="K1353" i="6"/>
  <c r="K1352" i="6"/>
  <c r="K1351" i="6"/>
  <c r="K1350" i="6"/>
  <c r="K1349" i="6"/>
  <c r="K1348" i="6"/>
  <c r="K1347" i="6"/>
  <c r="K1346" i="6"/>
  <c r="K1345" i="6"/>
  <c r="K1344" i="6"/>
  <c r="K1343" i="6"/>
  <c r="K1342" i="6"/>
  <c r="K1341" i="6"/>
  <c r="K1340" i="6"/>
  <c r="K1339" i="6"/>
  <c r="K1338" i="6"/>
  <c r="K1337" i="6"/>
  <c r="K1336" i="6"/>
  <c r="K1335" i="6"/>
  <c r="K1334" i="6"/>
  <c r="K1333" i="6"/>
  <c r="K1332" i="6"/>
  <c r="K1331" i="6"/>
  <c r="K1330" i="6"/>
  <c r="K1329" i="6"/>
  <c r="K1328" i="6"/>
  <c r="K1327" i="6"/>
  <c r="K1326" i="6"/>
  <c r="K1325" i="6"/>
  <c r="K1324" i="6"/>
  <c r="K1323" i="6"/>
  <c r="K1322" i="6"/>
  <c r="K1321" i="6"/>
  <c r="K1320" i="6"/>
  <c r="K1319" i="6"/>
  <c r="K1318" i="6"/>
  <c r="K1317" i="6"/>
  <c r="K1316" i="6"/>
  <c r="K1315" i="6"/>
  <c r="K1314" i="6"/>
  <c r="K1313" i="6"/>
  <c r="K1312" i="6"/>
  <c r="K1311" i="6"/>
  <c r="K1310" i="6"/>
  <c r="K1309" i="6"/>
  <c r="K1308" i="6"/>
  <c r="K1307" i="6"/>
  <c r="K1306" i="6"/>
  <c r="K1305" i="6"/>
  <c r="K1304" i="6"/>
  <c r="K1303" i="6"/>
  <c r="K1302" i="6"/>
  <c r="K1301" i="6"/>
  <c r="K1300" i="6"/>
  <c r="K1299" i="6"/>
  <c r="K1298" i="6"/>
  <c r="K1297" i="6"/>
  <c r="K1296" i="6"/>
  <c r="K1295" i="6"/>
  <c r="K1294" i="6"/>
  <c r="K1293" i="6"/>
  <c r="K1292" i="6"/>
  <c r="K1291" i="6"/>
  <c r="K1290" i="6"/>
  <c r="K1289" i="6"/>
  <c r="K1288" i="6"/>
  <c r="K1287" i="6"/>
  <c r="K1286" i="6"/>
  <c r="K1285" i="6"/>
  <c r="K1284" i="6"/>
  <c r="K1283" i="6"/>
  <c r="K1282" i="6"/>
  <c r="K1281" i="6"/>
  <c r="K1280" i="6"/>
  <c r="K1279" i="6"/>
  <c r="K1278" i="6"/>
  <c r="K1277" i="6"/>
  <c r="K1276" i="6"/>
  <c r="K1275" i="6"/>
  <c r="K1274" i="6"/>
  <c r="K1273" i="6"/>
  <c r="K1272" i="6"/>
  <c r="K1271" i="6"/>
  <c r="K1270" i="6"/>
  <c r="K1269" i="6"/>
  <c r="K1268" i="6"/>
  <c r="K1267" i="6"/>
  <c r="K1266" i="6"/>
  <c r="K1265" i="6"/>
  <c r="K1264" i="6"/>
  <c r="K1263" i="6"/>
  <c r="K1262" i="6"/>
  <c r="K1261" i="6"/>
  <c r="K1260" i="6"/>
  <c r="K1259" i="6"/>
  <c r="K1258" i="6"/>
  <c r="K1257" i="6"/>
  <c r="K1256" i="6"/>
  <c r="K1255" i="6"/>
  <c r="K1254" i="6"/>
  <c r="K1253" i="6"/>
  <c r="K1252" i="6"/>
  <c r="K1251" i="6"/>
  <c r="K1250" i="6"/>
  <c r="K1249" i="6"/>
  <c r="K1248" i="6"/>
  <c r="K1247" i="6"/>
  <c r="K1246" i="6"/>
  <c r="K1245" i="6"/>
  <c r="K1244" i="6"/>
  <c r="K1243" i="6"/>
  <c r="K1242" i="6"/>
  <c r="K1241" i="6"/>
  <c r="K1240" i="6"/>
  <c r="K1239" i="6"/>
  <c r="K1238" i="6"/>
  <c r="K1237" i="6"/>
  <c r="K1236" i="6"/>
  <c r="K1235" i="6"/>
  <c r="K1234" i="6"/>
  <c r="K1233" i="6"/>
  <c r="K1232" i="6"/>
  <c r="K1231" i="6"/>
  <c r="K1230" i="6"/>
  <c r="K1229" i="6"/>
  <c r="K1228" i="6"/>
  <c r="K1227" i="6"/>
  <c r="K1226" i="6"/>
  <c r="K1225" i="6"/>
  <c r="K1224" i="6"/>
  <c r="K1223" i="6"/>
  <c r="K1222" i="6"/>
  <c r="K1221" i="6"/>
  <c r="K1220" i="6"/>
  <c r="K1219" i="6"/>
  <c r="K1218" i="6"/>
  <c r="K1217" i="6"/>
  <c r="K1216" i="6"/>
  <c r="K1215" i="6"/>
  <c r="K1214" i="6"/>
  <c r="K1213" i="6"/>
  <c r="K1212" i="6"/>
  <c r="K1211" i="6"/>
  <c r="K1210" i="6"/>
  <c r="K1209" i="6"/>
  <c r="K1208" i="6"/>
  <c r="K1207" i="6"/>
  <c r="K1206" i="6"/>
  <c r="K1205" i="6"/>
  <c r="K1204" i="6"/>
  <c r="K1203" i="6"/>
  <c r="K1202" i="6"/>
  <c r="K1201" i="6"/>
  <c r="K1200" i="6"/>
  <c r="K1199" i="6"/>
  <c r="K1198" i="6"/>
  <c r="K1197" i="6"/>
  <c r="K1196" i="6"/>
  <c r="K1195" i="6"/>
  <c r="K1194" i="6"/>
  <c r="K1193" i="6"/>
  <c r="K1192" i="6"/>
  <c r="K1191" i="6"/>
  <c r="K1190" i="6"/>
  <c r="K1189" i="6"/>
  <c r="K1188" i="6"/>
  <c r="K1187" i="6"/>
  <c r="K1186" i="6"/>
  <c r="K1185" i="6"/>
  <c r="K1184" i="6"/>
  <c r="K1183" i="6"/>
  <c r="K1182" i="6"/>
  <c r="K1181" i="6"/>
  <c r="K1180" i="6"/>
  <c r="K1179" i="6"/>
  <c r="K1178" i="6"/>
  <c r="K1177" i="6"/>
  <c r="K1176" i="6"/>
  <c r="K1175" i="6"/>
  <c r="K1174" i="6"/>
  <c r="K1173" i="6"/>
  <c r="K1172" i="6"/>
  <c r="K1171" i="6"/>
  <c r="K1170" i="6"/>
  <c r="K1169" i="6"/>
  <c r="K1168" i="6"/>
  <c r="K1167" i="6"/>
  <c r="K1166" i="6"/>
  <c r="K1165" i="6"/>
  <c r="K1164" i="6"/>
  <c r="K1163" i="6"/>
  <c r="K1162" i="6"/>
  <c r="K1161" i="6"/>
  <c r="K1160" i="6"/>
  <c r="K1159" i="6"/>
  <c r="K1158" i="6"/>
  <c r="K1157" i="6"/>
  <c r="K1156" i="6"/>
  <c r="K1155" i="6"/>
  <c r="K1154" i="6"/>
  <c r="K1153" i="6"/>
  <c r="K1152" i="6"/>
  <c r="K1151" i="6"/>
  <c r="K1150" i="6"/>
  <c r="K1149" i="6"/>
  <c r="K1148" i="6"/>
  <c r="K1147" i="6"/>
  <c r="K1146" i="6"/>
  <c r="K1145" i="6"/>
  <c r="K1144" i="6"/>
  <c r="K1143" i="6"/>
  <c r="K1142" i="6"/>
  <c r="K1141" i="6"/>
  <c r="K1140" i="6"/>
  <c r="K1139" i="6"/>
  <c r="K1138" i="6"/>
  <c r="K1137" i="6"/>
  <c r="K1136" i="6"/>
  <c r="K1135" i="6"/>
  <c r="K1134" i="6"/>
  <c r="K1133" i="6"/>
  <c r="K1132" i="6"/>
  <c r="K1131" i="6"/>
  <c r="K1130" i="6"/>
  <c r="K1129" i="6"/>
  <c r="K1128" i="6"/>
  <c r="K1127" i="6"/>
  <c r="K1126" i="6"/>
  <c r="K1125" i="6"/>
  <c r="K1124" i="6"/>
  <c r="K1123" i="6"/>
  <c r="K1122" i="6"/>
  <c r="K1121" i="6"/>
  <c r="K1120" i="6"/>
  <c r="K1119" i="6"/>
  <c r="K1118" i="6"/>
  <c r="K1117" i="6"/>
  <c r="K1116" i="6"/>
  <c r="K1115" i="6"/>
  <c r="K1114" i="6"/>
  <c r="K1113" i="6"/>
  <c r="K1112" i="6"/>
  <c r="K1111" i="6"/>
  <c r="K1110" i="6"/>
  <c r="K1109" i="6"/>
  <c r="K1108" i="6"/>
  <c r="K1107" i="6"/>
  <c r="K1106" i="6"/>
  <c r="K1105" i="6"/>
  <c r="K1104" i="6"/>
  <c r="K1103" i="6"/>
  <c r="K1102" i="6"/>
  <c r="K1101" i="6"/>
  <c r="K1100" i="6"/>
  <c r="K1099" i="6"/>
  <c r="K1098" i="6"/>
  <c r="K1097" i="6"/>
  <c r="K1096" i="6"/>
  <c r="K1095" i="6"/>
  <c r="K1094" i="6"/>
  <c r="K1093" i="6"/>
  <c r="K1092" i="6"/>
  <c r="K1091" i="6"/>
  <c r="K1090" i="6"/>
  <c r="K1089" i="6"/>
  <c r="K1088" i="6"/>
  <c r="K1087" i="6"/>
  <c r="K1086" i="6"/>
  <c r="K1085" i="6"/>
  <c r="K1084" i="6"/>
  <c r="K1083" i="6"/>
  <c r="K1082" i="6"/>
  <c r="K1081" i="6"/>
  <c r="K1080" i="6"/>
  <c r="K1079" i="6"/>
  <c r="K1078" i="6"/>
  <c r="K1077" i="6"/>
  <c r="K1076" i="6"/>
  <c r="K1075" i="6"/>
  <c r="K1074" i="6"/>
  <c r="K1073" i="6"/>
  <c r="K1072" i="6"/>
  <c r="K1071" i="6"/>
  <c r="K1070" i="6"/>
  <c r="K1069" i="6"/>
  <c r="K1068" i="6"/>
  <c r="K1067" i="6"/>
  <c r="K1066" i="6"/>
  <c r="K1065" i="6"/>
  <c r="K1064" i="6"/>
  <c r="K1063" i="6"/>
  <c r="K1062" i="6"/>
  <c r="K1061" i="6"/>
  <c r="K1060" i="6"/>
  <c r="K1059" i="6"/>
  <c r="K1058" i="6"/>
  <c r="K1057" i="6"/>
  <c r="K1056" i="6"/>
  <c r="K1055" i="6"/>
  <c r="K1054" i="6"/>
  <c r="K1053" i="6"/>
  <c r="K1052" i="6"/>
  <c r="K1051" i="6"/>
  <c r="K1050" i="6"/>
  <c r="K1049" i="6"/>
  <c r="K1048" i="6"/>
  <c r="K1047" i="6"/>
  <c r="K1046" i="6"/>
  <c r="K1045" i="6"/>
  <c r="K1044" i="6"/>
  <c r="K1043" i="6"/>
  <c r="K1042" i="6"/>
  <c r="K1041" i="6"/>
  <c r="K1040" i="6"/>
  <c r="K1039" i="6"/>
  <c r="K1038" i="6"/>
  <c r="K1037" i="6"/>
  <c r="K1036" i="6"/>
  <c r="K1035" i="6"/>
  <c r="K1034" i="6"/>
  <c r="K1033" i="6"/>
  <c r="K1032" i="6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K1017" i="6"/>
  <c r="K1016" i="6"/>
  <c r="K1015" i="6"/>
  <c r="K1014" i="6"/>
  <c r="K1013" i="6"/>
  <c r="K1012" i="6"/>
  <c r="K1011" i="6"/>
  <c r="K1010" i="6"/>
  <c r="K1009" i="6"/>
  <c r="K1008" i="6"/>
  <c r="K1007" i="6"/>
  <c r="K1006" i="6"/>
  <c r="K1005" i="6"/>
  <c r="K1004" i="6"/>
  <c r="K1003" i="6"/>
  <c r="K1002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L16" i="5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2" i="6"/>
  <c r="H2" i="1"/>
  <c r="L2" i="3"/>
  <c r="H3" i="1"/>
  <c r="L2" i="5"/>
  <c r="L9" i="3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K385" i="5"/>
  <c r="L385" i="5" s="1"/>
  <c r="I385" i="5"/>
  <c r="K384" i="5"/>
  <c r="L384" i="5" s="1"/>
  <c r="I384" i="5"/>
  <c r="K383" i="5"/>
  <c r="L383" i="5" s="1"/>
  <c r="I383" i="5"/>
  <c r="K382" i="5"/>
  <c r="L382" i="5" s="1"/>
  <c r="I382" i="5"/>
  <c r="K381" i="5"/>
  <c r="L381" i="5" s="1"/>
  <c r="I381" i="5"/>
  <c r="K380" i="5"/>
  <c r="L380" i="5" s="1"/>
  <c r="I380" i="5"/>
  <c r="K379" i="5"/>
  <c r="L379" i="5" s="1"/>
  <c r="I379" i="5"/>
  <c r="K378" i="5"/>
  <c r="L378" i="5" s="1"/>
  <c r="I378" i="5"/>
  <c r="K377" i="5"/>
  <c r="L377" i="5" s="1"/>
  <c r="I377" i="5"/>
  <c r="K376" i="5"/>
  <c r="L376" i="5" s="1"/>
  <c r="I376" i="5"/>
  <c r="K375" i="5"/>
  <c r="L375" i="5" s="1"/>
  <c r="I375" i="5"/>
  <c r="K374" i="5"/>
  <c r="L374" i="5" s="1"/>
  <c r="I374" i="5"/>
  <c r="K373" i="5"/>
  <c r="L373" i="5" s="1"/>
  <c r="I373" i="5"/>
  <c r="K372" i="5"/>
  <c r="L372" i="5" s="1"/>
  <c r="I372" i="5"/>
  <c r="K371" i="5"/>
  <c r="L371" i="5" s="1"/>
  <c r="I371" i="5"/>
  <c r="K370" i="5"/>
  <c r="L370" i="5" s="1"/>
  <c r="I370" i="5"/>
  <c r="K369" i="5"/>
  <c r="L369" i="5" s="1"/>
  <c r="I369" i="5"/>
  <c r="K368" i="5"/>
  <c r="L368" i="5" s="1"/>
  <c r="I368" i="5"/>
  <c r="K367" i="5"/>
  <c r="L367" i="5" s="1"/>
  <c r="I367" i="5"/>
  <c r="K366" i="5"/>
  <c r="L366" i="5" s="1"/>
  <c r="I366" i="5"/>
  <c r="K365" i="5"/>
  <c r="L365" i="5" s="1"/>
  <c r="I365" i="5"/>
  <c r="K364" i="5"/>
  <c r="L364" i="5" s="1"/>
  <c r="I364" i="5"/>
  <c r="K363" i="5"/>
  <c r="L363" i="5" s="1"/>
  <c r="I363" i="5"/>
  <c r="K362" i="5"/>
  <c r="L362" i="5" s="1"/>
  <c r="I362" i="5"/>
  <c r="K361" i="5"/>
  <c r="L361" i="5" s="1"/>
  <c r="I361" i="5"/>
  <c r="K360" i="5"/>
  <c r="L360" i="5" s="1"/>
  <c r="I360" i="5"/>
  <c r="K359" i="5"/>
  <c r="L359" i="5" s="1"/>
  <c r="I359" i="5"/>
  <c r="K358" i="5"/>
  <c r="L358" i="5" s="1"/>
  <c r="I358" i="5"/>
  <c r="K357" i="5"/>
  <c r="L357" i="5" s="1"/>
  <c r="I357" i="5"/>
  <c r="K356" i="5"/>
  <c r="L356" i="5" s="1"/>
  <c r="I356" i="5"/>
  <c r="K355" i="5"/>
  <c r="L355" i="5" s="1"/>
  <c r="I355" i="5"/>
  <c r="K354" i="5"/>
  <c r="L354" i="5" s="1"/>
  <c r="I354" i="5"/>
  <c r="K353" i="5"/>
  <c r="L353" i="5" s="1"/>
  <c r="I353" i="5"/>
  <c r="K352" i="5"/>
  <c r="L352" i="5" s="1"/>
  <c r="I352" i="5"/>
  <c r="K351" i="5"/>
  <c r="L351" i="5" s="1"/>
  <c r="I351" i="5"/>
  <c r="K350" i="5"/>
  <c r="L350" i="5" s="1"/>
  <c r="I350" i="5"/>
  <c r="K349" i="5"/>
  <c r="L349" i="5" s="1"/>
  <c r="I349" i="5"/>
  <c r="K348" i="5"/>
  <c r="L348" i="5" s="1"/>
  <c r="I348" i="5"/>
  <c r="K347" i="5"/>
  <c r="L347" i="5" s="1"/>
  <c r="I347" i="5"/>
  <c r="K346" i="5"/>
  <c r="L346" i="5" s="1"/>
  <c r="I346" i="5"/>
  <c r="K345" i="5"/>
  <c r="L345" i="5" s="1"/>
  <c r="I345" i="5"/>
  <c r="K344" i="5"/>
  <c r="L344" i="5" s="1"/>
  <c r="I344" i="5"/>
  <c r="K343" i="5"/>
  <c r="L343" i="5" s="1"/>
  <c r="I343" i="5"/>
  <c r="K342" i="5"/>
  <c r="L342" i="5" s="1"/>
  <c r="I342" i="5"/>
  <c r="K341" i="5"/>
  <c r="L341" i="5" s="1"/>
  <c r="I341" i="5"/>
  <c r="K340" i="5"/>
  <c r="L340" i="5" s="1"/>
  <c r="I340" i="5"/>
  <c r="K339" i="5"/>
  <c r="L339" i="5" s="1"/>
  <c r="I339" i="5"/>
  <c r="K338" i="5"/>
  <c r="L338" i="5" s="1"/>
  <c r="I338" i="5"/>
  <c r="K337" i="5"/>
  <c r="L337" i="5" s="1"/>
  <c r="I337" i="5"/>
  <c r="K336" i="5"/>
  <c r="L336" i="5" s="1"/>
  <c r="I336" i="5"/>
  <c r="K335" i="5"/>
  <c r="L335" i="5" s="1"/>
  <c r="I335" i="5"/>
  <c r="K334" i="5"/>
  <c r="L334" i="5" s="1"/>
  <c r="I334" i="5"/>
  <c r="K333" i="5"/>
  <c r="L333" i="5" s="1"/>
  <c r="I333" i="5"/>
  <c r="K332" i="5"/>
  <c r="L332" i="5" s="1"/>
  <c r="I332" i="5"/>
  <c r="K331" i="5"/>
  <c r="L331" i="5" s="1"/>
  <c r="I331" i="5"/>
  <c r="K330" i="5"/>
  <c r="L330" i="5" s="1"/>
  <c r="I330" i="5"/>
  <c r="K329" i="5"/>
  <c r="L329" i="5" s="1"/>
  <c r="I329" i="5"/>
  <c r="K328" i="5"/>
  <c r="L328" i="5" s="1"/>
  <c r="I328" i="5"/>
  <c r="K327" i="5"/>
  <c r="L327" i="5" s="1"/>
  <c r="I327" i="5"/>
  <c r="K326" i="5"/>
  <c r="L326" i="5" s="1"/>
  <c r="I326" i="5"/>
  <c r="K325" i="5"/>
  <c r="L325" i="5" s="1"/>
  <c r="I325" i="5"/>
  <c r="K324" i="5"/>
  <c r="L324" i="5" s="1"/>
  <c r="I324" i="5"/>
  <c r="K323" i="5"/>
  <c r="L323" i="5" s="1"/>
  <c r="I323" i="5"/>
  <c r="K322" i="5"/>
  <c r="L322" i="5" s="1"/>
  <c r="I322" i="5"/>
  <c r="K321" i="5"/>
  <c r="L321" i="5" s="1"/>
  <c r="I321" i="5"/>
  <c r="K320" i="5"/>
  <c r="L320" i="5" s="1"/>
  <c r="I320" i="5"/>
  <c r="K319" i="5"/>
  <c r="L319" i="5" s="1"/>
  <c r="I319" i="5"/>
  <c r="K318" i="5"/>
  <c r="L318" i="5" s="1"/>
  <c r="I318" i="5"/>
  <c r="K317" i="5"/>
  <c r="L317" i="5" s="1"/>
  <c r="I317" i="5"/>
  <c r="K316" i="5"/>
  <c r="L316" i="5" s="1"/>
  <c r="I316" i="5"/>
  <c r="K315" i="5"/>
  <c r="L315" i="5" s="1"/>
  <c r="I315" i="5"/>
  <c r="K314" i="5"/>
  <c r="L314" i="5" s="1"/>
  <c r="I314" i="5"/>
  <c r="K313" i="5"/>
  <c r="L313" i="5" s="1"/>
  <c r="I313" i="5"/>
  <c r="K312" i="5"/>
  <c r="L312" i="5" s="1"/>
  <c r="I312" i="5"/>
  <c r="K311" i="5"/>
  <c r="L311" i="5" s="1"/>
  <c r="I311" i="5"/>
  <c r="K310" i="5"/>
  <c r="L310" i="5" s="1"/>
  <c r="I310" i="5"/>
  <c r="K309" i="5"/>
  <c r="L309" i="5" s="1"/>
  <c r="I309" i="5"/>
  <c r="K308" i="5"/>
  <c r="L308" i="5" s="1"/>
  <c r="I308" i="5"/>
  <c r="K307" i="5"/>
  <c r="L307" i="5" s="1"/>
  <c r="I307" i="5"/>
  <c r="K306" i="5"/>
  <c r="L306" i="5" s="1"/>
  <c r="I306" i="5"/>
  <c r="K305" i="5"/>
  <c r="L305" i="5" s="1"/>
  <c r="I305" i="5"/>
  <c r="K304" i="5"/>
  <c r="L304" i="5" s="1"/>
  <c r="I304" i="5"/>
  <c r="K303" i="5"/>
  <c r="L303" i="5" s="1"/>
  <c r="I303" i="5"/>
  <c r="K302" i="5"/>
  <c r="L302" i="5" s="1"/>
  <c r="I302" i="5"/>
  <c r="K301" i="5"/>
  <c r="L301" i="5" s="1"/>
  <c r="I301" i="5"/>
  <c r="K300" i="5"/>
  <c r="L300" i="5" s="1"/>
  <c r="I300" i="5"/>
  <c r="K299" i="5"/>
  <c r="L299" i="5" s="1"/>
  <c r="I299" i="5"/>
  <c r="K298" i="5"/>
  <c r="L298" i="5" s="1"/>
  <c r="I298" i="5"/>
  <c r="K297" i="5"/>
  <c r="L297" i="5" s="1"/>
  <c r="I297" i="5"/>
  <c r="K296" i="5"/>
  <c r="L296" i="5" s="1"/>
  <c r="I296" i="5"/>
  <c r="K295" i="5"/>
  <c r="L295" i="5" s="1"/>
  <c r="I295" i="5"/>
  <c r="K294" i="5"/>
  <c r="L294" i="5" s="1"/>
  <c r="I294" i="5"/>
  <c r="K293" i="5"/>
  <c r="L293" i="5" s="1"/>
  <c r="I293" i="5"/>
  <c r="K292" i="5"/>
  <c r="L292" i="5" s="1"/>
  <c r="I292" i="5"/>
  <c r="K291" i="5"/>
  <c r="L291" i="5" s="1"/>
  <c r="I291" i="5"/>
  <c r="K290" i="5"/>
  <c r="L290" i="5" s="1"/>
  <c r="I290" i="5"/>
  <c r="K289" i="5"/>
  <c r="L289" i="5" s="1"/>
  <c r="I289" i="5"/>
  <c r="K288" i="5"/>
  <c r="L288" i="5" s="1"/>
  <c r="I288" i="5"/>
  <c r="K287" i="5"/>
  <c r="L287" i="5" s="1"/>
  <c r="I287" i="5"/>
  <c r="K286" i="5"/>
  <c r="L286" i="5" s="1"/>
  <c r="I286" i="5"/>
  <c r="K285" i="5"/>
  <c r="L285" i="5" s="1"/>
  <c r="I285" i="5"/>
  <c r="K284" i="5"/>
  <c r="L284" i="5" s="1"/>
  <c r="I284" i="5"/>
  <c r="K283" i="5"/>
  <c r="L283" i="5" s="1"/>
  <c r="I283" i="5"/>
  <c r="K282" i="5"/>
  <c r="L282" i="5" s="1"/>
  <c r="I282" i="5"/>
  <c r="K281" i="5"/>
  <c r="L281" i="5" s="1"/>
  <c r="I281" i="5"/>
  <c r="K280" i="5"/>
  <c r="L280" i="5" s="1"/>
  <c r="I280" i="5"/>
  <c r="K279" i="5"/>
  <c r="L279" i="5" s="1"/>
  <c r="I279" i="5"/>
  <c r="K278" i="5"/>
  <c r="L278" i="5" s="1"/>
  <c r="I278" i="5"/>
  <c r="K277" i="5"/>
  <c r="L277" i="5" s="1"/>
  <c r="I277" i="5"/>
  <c r="K276" i="5"/>
  <c r="L276" i="5" s="1"/>
  <c r="I276" i="5"/>
  <c r="K275" i="5"/>
  <c r="L275" i="5" s="1"/>
  <c r="I275" i="5"/>
  <c r="K274" i="5"/>
  <c r="L274" i="5" s="1"/>
  <c r="I274" i="5"/>
  <c r="K273" i="5"/>
  <c r="L273" i="5" s="1"/>
  <c r="I273" i="5"/>
  <c r="K272" i="5"/>
  <c r="L272" i="5" s="1"/>
  <c r="I272" i="5"/>
  <c r="K271" i="5"/>
  <c r="L271" i="5" s="1"/>
  <c r="I271" i="5"/>
  <c r="K270" i="5"/>
  <c r="L270" i="5" s="1"/>
  <c r="I270" i="5"/>
  <c r="K269" i="5"/>
  <c r="L269" i="5" s="1"/>
  <c r="I269" i="5"/>
  <c r="K268" i="5"/>
  <c r="L268" i="5" s="1"/>
  <c r="I268" i="5"/>
  <c r="K267" i="5"/>
  <c r="L267" i="5" s="1"/>
  <c r="I267" i="5"/>
  <c r="K266" i="5"/>
  <c r="L266" i="5" s="1"/>
  <c r="I266" i="5"/>
  <c r="K265" i="5"/>
  <c r="L265" i="5" s="1"/>
  <c r="I265" i="5"/>
  <c r="K264" i="5"/>
  <c r="L264" i="5" s="1"/>
  <c r="I264" i="5"/>
  <c r="K263" i="5"/>
  <c r="L263" i="5" s="1"/>
  <c r="I263" i="5"/>
  <c r="K262" i="5"/>
  <c r="L262" i="5" s="1"/>
  <c r="I262" i="5"/>
  <c r="K261" i="5"/>
  <c r="L261" i="5" s="1"/>
  <c r="I261" i="5"/>
  <c r="K260" i="5"/>
  <c r="L260" i="5" s="1"/>
  <c r="I260" i="5"/>
  <c r="K259" i="5"/>
  <c r="L259" i="5" s="1"/>
  <c r="I259" i="5"/>
  <c r="K258" i="5"/>
  <c r="L258" i="5" s="1"/>
  <c r="I258" i="5"/>
  <c r="K257" i="5"/>
  <c r="L257" i="5" s="1"/>
  <c r="I257" i="5"/>
  <c r="K256" i="5"/>
  <c r="L256" i="5" s="1"/>
  <c r="I256" i="5"/>
  <c r="K255" i="5"/>
  <c r="L255" i="5" s="1"/>
  <c r="I255" i="5"/>
  <c r="K254" i="5"/>
  <c r="L254" i="5" s="1"/>
  <c r="I254" i="5"/>
  <c r="K253" i="5"/>
  <c r="L253" i="5" s="1"/>
  <c r="I253" i="5"/>
  <c r="K252" i="5"/>
  <c r="L252" i="5" s="1"/>
  <c r="I252" i="5"/>
  <c r="K251" i="5"/>
  <c r="L251" i="5" s="1"/>
  <c r="I251" i="5"/>
  <c r="K250" i="5"/>
  <c r="L250" i="5" s="1"/>
  <c r="I250" i="5"/>
  <c r="K249" i="5"/>
  <c r="L249" i="5" s="1"/>
  <c r="I249" i="5"/>
  <c r="K248" i="5"/>
  <c r="L248" i="5" s="1"/>
  <c r="I248" i="5"/>
  <c r="K247" i="5"/>
  <c r="L247" i="5" s="1"/>
  <c r="I247" i="5"/>
  <c r="K246" i="5"/>
  <c r="L246" i="5" s="1"/>
  <c r="I246" i="5"/>
  <c r="K245" i="5"/>
  <c r="L245" i="5" s="1"/>
  <c r="I245" i="5"/>
  <c r="K244" i="5"/>
  <c r="L244" i="5" s="1"/>
  <c r="I244" i="5"/>
  <c r="K243" i="5"/>
  <c r="L243" i="5" s="1"/>
  <c r="I243" i="5"/>
  <c r="K242" i="5"/>
  <c r="L242" i="5" s="1"/>
  <c r="I242" i="5"/>
  <c r="K241" i="5"/>
  <c r="L241" i="5" s="1"/>
  <c r="I241" i="5"/>
  <c r="K240" i="5"/>
  <c r="L240" i="5" s="1"/>
  <c r="I240" i="5"/>
  <c r="K239" i="5"/>
  <c r="L239" i="5" s="1"/>
  <c r="I239" i="5"/>
  <c r="K238" i="5"/>
  <c r="L238" i="5" s="1"/>
  <c r="I238" i="5"/>
  <c r="K237" i="5"/>
  <c r="L237" i="5" s="1"/>
  <c r="I237" i="5"/>
  <c r="K236" i="5"/>
  <c r="L236" i="5" s="1"/>
  <c r="I236" i="5"/>
  <c r="K235" i="5"/>
  <c r="L235" i="5" s="1"/>
  <c r="I235" i="5"/>
  <c r="K234" i="5"/>
  <c r="L234" i="5" s="1"/>
  <c r="I234" i="5"/>
  <c r="K233" i="5"/>
  <c r="L233" i="5" s="1"/>
  <c r="I233" i="5"/>
  <c r="K232" i="5"/>
  <c r="L232" i="5" s="1"/>
  <c r="I232" i="5"/>
  <c r="K231" i="5"/>
  <c r="L231" i="5" s="1"/>
  <c r="I231" i="5"/>
  <c r="K230" i="5"/>
  <c r="L230" i="5" s="1"/>
  <c r="I230" i="5"/>
  <c r="K229" i="5"/>
  <c r="L229" i="5" s="1"/>
  <c r="I229" i="5"/>
  <c r="K228" i="5"/>
  <c r="L228" i="5" s="1"/>
  <c r="I228" i="5"/>
  <c r="K227" i="5"/>
  <c r="L227" i="5" s="1"/>
  <c r="I227" i="5"/>
  <c r="K226" i="5"/>
  <c r="L226" i="5" s="1"/>
  <c r="I226" i="5"/>
  <c r="K225" i="5"/>
  <c r="L225" i="5" s="1"/>
  <c r="I225" i="5"/>
  <c r="K224" i="5"/>
  <c r="L224" i="5" s="1"/>
  <c r="I224" i="5"/>
  <c r="K223" i="5"/>
  <c r="L223" i="5" s="1"/>
  <c r="I223" i="5"/>
  <c r="K222" i="5"/>
  <c r="L222" i="5" s="1"/>
  <c r="I222" i="5"/>
  <c r="K221" i="5"/>
  <c r="L221" i="5" s="1"/>
  <c r="I221" i="5"/>
  <c r="K220" i="5"/>
  <c r="L220" i="5" s="1"/>
  <c r="I220" i="5"/>
  <c r="K219" i="5"/>
  <c r="L219" i="5" s="1"/>
  <c r="I219" i="5"/>
  <c r="K218" i="5"/>
  <c r="L218" i="5" s="1"/>
  <c r="I218" i="5"/>
  <c r="K217" i="5"/>
  <c r="L217" i="5" s="1"/>
  <c r="I217" i="5"/>
  <c r="K216" i="5"/>
  <c r="L216" i="5" s="1"/>
  <c r="I216" i="5"/>
  <c r="K215" i="5"/>
  <c r="L215" i="5" s="1"/>
  <c r="I215" i="5"/>
  <c r="K214" i="5"/>
  <c r="L214" i="5" s="1"/>
  <c r="I214" i="5"/>
  <c r="K213" i="5"/>
  <c r="L213" i="5" s="1"/>
  <c r="I213" i="5"/>
  <c r="K212" i="5"/>
  <c r="L212" i="5" s="1"/>
  <c r="I212" i="5"/>
  <c r="K211" i="5"/>
  <c r="L211" i="5" s="1"/>
  <c r="I211" i="5"/>
  <c r="K210" i="5"/>
  <c r="L210" i="5" s="1"/>
  <c r="I210" i="5"/>
  <c r="K209" i="5"/>
  <c r="L209" i="5" s="1"/>
  <c r="I209" i="5"/>
  <c r="K208" i="5"/>
  <c r="L208" i="5" s="1"/>
  <c r="I208" i="5"/>
  <c r="K207" i="5"/>
  <c r="L207" i="5" s="1"/>
  <c r="I207" i="5"/>
  <c r="K206" i="5"/>
  <c r="L206" i="5" s="1"/>
  <c r="I206" i="5"/>
  <c r="K205" i="5"/>
  <c r="L205" i="5" s="1"/>
  <c r="I205" i="5"/>
  <c r="K204" i="5"/>
  <c r="L204" i="5" s="1"/>
  <c r="I204" i="5"/>
  <c r="K203" i="5"/>
  <c r="L203" i="5" s="1"/>
  <c r="I203" i="5"/>
  <c r="K202" i="5"/>
  <c r="L202" i="5" s="1"/>
  <c r="I202" i="5"/>
  <c r="K201" i="5"/>
  <c r="L201" i="5" s="1"/>
  <c r="I201" i="5"/>
  <c r="K200" i="5"/>
  <c r="L200" i="5" s="1"/>
  <c r="I200" i="5"/>
  <c r="K199" i="5"/>
  <c r="L199" i="5" s="1"/>
  <c r="I199" i="5"/>
  <c r="K198" i="5"/>
  <c r="L198" i="5" s="1"/>
  <c r="I198" i="5"/>
  <c r="K197" i="5"/>
  <c r="L197" i="5" s="1"/>
  <c r="I197" i="5"/>
  <c r="K196" i="5"/>
  <c r="L196" i="5" s="1"/>
  <c r="I196" i="5"/>
  <c r="K195" i="5"/>
  <c r="L195" i="5" s="1"/>
  <c r="I195" i="5"/>
  <c r="K194" i="5"/>
  <c r="L194" i="5" s="1"/>
  <c r="I194" i="5"/>
  <c r="K193" i="5"/>
  <c r="L193" i="5" s="1"/>
  <c r="I193" i="5"/>
  <c r="K192" i="5"/>
  <c r="L192" i="5" s="1"/>
  <c r="I192" i="5"/>
  <c r="K191" i="5"/>
  <c r="L191" i="5" s="1"/>
  <c r="I191" i="5"/>
  <c r="K190" i="5"/>
  <c r="L190" i="5" s="1"/>
  <c r="I190" i="5"/>
  <c r="K189" i="5"/>
  <c r="L189" i="5" s="1"/>
  <c r="I189" i="5"/>
  <c r="K188" i="5"/>
  <c r="L188" i="5" s="1"/>
  <c r="I188" i="5"/>
  <c r="K187" i="5"/>
  <c r="L187" i="5" s="1"/>
  <c r="I187" i="5"/>
  <c r="K186" i="5"/>
  <c r="L186" i="5" s="1"/>
  <c r="I186" i="5"/>
  <c r="K185" i="5"/>
  <c r="L185" i="5" s="1"/>
  <c r="I185" i="5"/>
  <c r="K184" i="5"/>
  <c r="L184" i="5" s="1"/>
  <c r="I184" i="5"/>
  <c r="K183" i="5"/>
  <c r="L183" i="5" s="1"/>
  <c r="I183" i="5"/>
  <c r="K182" i="5"/>
  <c r="L182" i="5" s="1"/>
  <c r="I182" i="5"/>
  <c r="K181" i="5"/>
  <c r="L181" i="5" s="1"/>
  <c r="I181" i="5"/>
  <c r="K180" i="5"/>
  <c r="L180" i="5" s="1"/>
  <c r="I180" i="5"/>
  <c r="K179" i="5"/>
  <c r="L179" i="5" s="1"/>
  <c r="I179" i="5"/>
  <c r="K178" i="5"/>
  <c r="L178" i="5" s="1"/>
  <c r="I178" i="5"/>
  <c r="K177" i="5"/>
  <c r="L177" i="5" s="1"/>
  <c r="I177" i="5"/>
  <c r="K176" i="5"/>
  <c r="L176" i="5" s="1"/>
  <c r="I176" i="5"/>
  <c r="K175" i="5"/>
  <c r="L175" i="5" s="1"/>
  <c r="I175" i="5"/>
  <c r="K174" i="5"/>
  <c r="L174" i="5" s="1"/>
  <c r="I174" i="5"/>
  <c r="K173" i="5"/>
  <c r="L173" i="5" s="1"/>
  <c r="I173" i="5"/>
  <c r="K172" i="5"/>
  <c r="L172" i="5" s="1"/>
  <c r="I172" i="5"/>
  <c r="K171" i="5"/>
  <c r="L171" i="5" s="1"/>
  <c r="I171" i="5"/>
  <c r="K170" i="5"/>
  <c r="L170" i="5" s="1"/>
  <c r="I170" i="5"/>
  <c r="K169" i="5"/>
  <c r="L169" i="5" s="1"/>
  <c r="I169" i="5"/>
  <c r="K168" i="5"/>
  <c r="L168" i="5" s="1"/>
  <c r="I168" i="5"/>
  <c r="K167" i="5"/>
  <c r="L167" i="5" s="1"/>
  <c r="I167" i="5"/>
  <c r="K166" i="5"/>
  <c r="L166" i="5" s="1"/>
  <c r="I166" i="5"/>
  <c r="K165" i="5"/>
  <c r="L165" i="5" s="1"/>
  <c r="I165" i="5"/>
  <c r="K164" i="5"/>
  <c r="L164" i="5" s="1"/>
  <c r="I164" i="5"/>
  <c r="K163" i="5"/>
  <c r="L163" i="5" s="1"/>
  <c r="I163" i="5"/>
  <c r="K162" i="5"/>
  <c r="L162" i="5" s="1"/>
  <c r="I162" i="5"/>
  <c r="K161" i="5"/>
  <c r="L161" i="5" s="1"/>
  <c r="I161" i="5"/>
  <c r="K160" i="5"/>
  <c r="L160" i="5" s="1"/>
  <c r="I160" i="5"/>
  <c r="K159" i="5"/>
  <c r="L159" i="5" s="1"/>
  <c r="I159" i="5"/>
  <c r="K158" i="5"/>
  <c r="L158" i="5" s="1"/>
  <c r="I158" i="5"/>
  <c r="K157" i="5"/>
  <c r="L157" i="5" s="1"/>
  <c r="I157" i="5"/>
  <c r="K156" i="5"/>
  <c r="L156" i="5" s="1"/>
  <c r="I156" i="5"/>
  <c r="K155" i="5"/>
  <c r="L155" i="5" s="1"/>
  <c r="I155" i="5"/>
  <c r="K154" i="5"/>
  <c r="L154" i="5" s="1"/>
  <c r="I154" i="5"/>
  <c r="K153" i="5"/>
  <c r="L153" i="5" s="1"/>
  <c r="I153" i="5"/>
  <c r="K152" i="5"/>
  <c r="L152" i="5" s="1"/>
  <c r="I152" i="5"/>
  <c r="K151" i="5"/>
  <c r="L151" i="5" s="1"/>
  <c r="I151" i="5"/>
  <c r="K150" i="5"/>
  <c r="L150" i="5" s="1"/>
  <c r="I150" i="5"/>
  <c r="K149" i="5"/>
  <c r="L149" i="5" s="1"/>
  <c r="I149" i="5"/>
  <c r="K148" i="5"/>
  <c r="L148" i="5" s="1"/>
  <c r="I148" i="5"/>
  <c r="K147" i="5"/>
  <c r="L147" i="5" s="1"/>
  <c r="I147" i="5"/>
  <c r="K146" i="5"/>
  <c r="L146" i="5" s="1"/>
  <c r="I146" i="5"/>
  <c r="K145" i="5"/>
  <c r="L145" i="5" s="1"/>
  <c r="I145" i="5"/>
  <c r="K144" i="5"/>
  <c r="L144" i="5" s="1"/>
  <c r="I144" i="5"/>
  <c r="K143" i="5"/>
  <c r="L143" i="5" s="1"/>
  <c r="I143" i="5"/>
  <c r="K142" i="5"/>
  <c r="L142" i="5" s="1"/>
  <c r="I142" i="5"/>
  <c r="K141" i="5"/>
  <c r="L141" i="5" s="1"/>
  <c r="I141" i="5"/>
  <c r="K140" i="5"/>
  <c r="L140" i="5" s="1"/>
  <c r="I140" i="5"/>
  <c r="K139" i="5"/>
  <c r="L139" i="5" s="1"/>
  <c r="I139" i="5"/>
  <c r="K138" i="5"/>
  <c r="L138" i="5" s="1"/>
  <c r="I138" i="5"/>
  <c r="K137" i="5"/>
  <c r="L137" i="5" s="1"/>
  <c r="I137" i="5"/>
  <c r="K136" i="5"/>
  <c r="L136" i="5" s="1"/>
  <c r="I136" i="5"/>
  <c r="K135" i="5"/>
  <c r="L135" i="5" s="1"/>
  <c r="I135" i="5"/>
  <c r="K134" i="5"/>
  <c r="L134" i="5" s="1"/>
  <c r="I134" i="5"/>
  <c r="K133" i="5"/>
  <c r="L133" i="5" s="1"/>
  <c r="I133" i="5"/>
  <c r="K132" i="5"/>
  <c r="L132" i="5" s="1"/>
  <c r="I132" i="5"/>
  <c r="K131" i="5"/>
  <c r="L131" i="5" s="1"/>
  <c r="I131" i="5"/>
  <c r="K130" i="5"/>
  <c r="L130" i="5" s="1"/>
  <c r="I130" i="5"/>
  <c r="K129" i="5"/>
  <c r="L129" i="5" s="1"/>
  <c r="I129" i="5"/>
  <c r="K128" i="5"/>
  <c r="L128" i="5" s="1"/>
  <c r="I128" i="5"/>
  <c r="K127" i="5"/>
  <c r="L127" i="5" s="1"/>
  <c r="I127" i="5"/>
  <c r="K126" i="5"/>
  <c r="L126" i="5" s="1"/>
  <c r="I126" i="5"/>
  <c r="K125" i="5"/>
  <c r="L125" i="5" s="1"/>
  <c r="I125" i="5"/>
  <c r="K124" i="5"/>
  <c r="L124" i="5" s="1"/>
  <c r="I124" i="5"/>
  <c r="K123" i="5"/>
  <c r="L123" i="5" s="1"/>
  <c r="I123" i="5"/>
  <c r="K122" i="5"/>
  <c r="L122" i="5" s="1"/>
  <c r="I122" i="5"/>
  <c r="K121" i="5"/>
  <c r="L121" i="5" s="1"/>
  <c r="I121" i="5"/>
  <c r="K120" i="5"/>
  <c r="L120" i="5" s="1"/>
  <c r="I120" i="5"/>
  <c r="K119" i="5"/>
  <c r="L119" i="5" s="1"/>
  <c r="I119" i="5"/>
  <c r="K118" i="5"/>
  <c r="L118" i="5" s="1"/>
  <c r="I118" i="5"/>
  <c r="K117" i="5"/>
  <c r="L117" i="5" s="1"/>
  <c r="I117" i="5"/>
  <c r="K116" i="5"/>
  <c r="L116" i="5" s="1"/>
  <c r="I116" i="5"/>
  <c r="K115" i="5"/>
  <c r="L115" i="5" s="1"/>
  <c r="I115" i="5"/>
  <c r="K114" i="5"/>
  <c r="L114" i="5" s="1"/>
  <c r="I114" i="5"/>
  <c r="K113" i="5"/>
  <c r="L113" i="5" s="1"/>
  <c r="I113" i="5"/>
  <c r="K112" i="5"/>
  <c r="L112" i="5" s="1"/>
  <c r="I112" i="5"/>
  <c r="K111" i="5"/>
  <c r="L111" i="5" s="1"/>
  <c r="I111" i="5"/>
  <c r="K110" i="5"/>
  <c r="L110" i="5" s="1"/>
  <c r="I110" i="5"/>
  <c r="K109" i="5"/>
  <c r="L109" i="5" s="1"/>
  <c r="I109" i="5"/>
  <c r="K108" i="5"/>
  <c r="L108" i="5" s="1"/>
  <c r="I108" i="5"/>
  <c r="K107" i="5"/>
  <c r="L107" i="5" s="1"/>
  <c r="I107" i="5"/>
  <c r="K106" i="5"/>
  <c r="L106" i="5" s="1"/>
  <c r="I106" i="5"/>
  <c r="K105" i="5"/>
  <c r="L105" i="5" s="1"/>
  <c r="I105" i="5"/>
  <c r="K104" i="5"/>
  <c r="L104" i="5" s="1"/>
  <c r="I104" i="5"/>
  <c r="K103" i="5"/>
  <c r="L103" i="5" s="1"/>
  <c r="I103" i="5"/>
  <c r="K102" i="5"/>
  <c r="L102" i="5" s="1"/>
  <c r="I102" i="5"/>
  <c r="K101" i="5"/>
  <c r="L101" i="5" s="1"/>
  <c r="I101" i="5"/>
  <c r="K100" i="5"/>
  <c r="L100" i="5" s="1"/>
  <c r="I100" i="5"/>
  <c r="K99" i="5"/>
  <c r="L99" i="5" s="1"/>
  <c r="I99" i="5"/>
  <c r="K98" i="5"/>
  <c r="L98" i="5" s="1"/>
  <c r="I98" i="5"/>
  <c r="K97" i="5"/>
  <c r="L97" i="5" s="1"/>
  <c r="I97" i="5"/>
  <c r="K96" i="5"/>
  <c r="L96" i="5" s="1"/>
  <c r="I96" i="5"/>
  <c r="K95" i="5"/>
  <c r="L95" i="5" s="1"/>
  <c r="I95" i="5"/>
  <c r="K94" i="5"/>
  <c r="L94" i="5" s="1"/>
  <c r="I94" i="5"/>
  <c r="K93" i="5"/>
  <c r="L93" i="5" s="1"/>
  <c r="I93" i="5"/>
  <c r="K92" i="5"/>
  <c r="L92" i="5" s="1"/>
  <c r="I92" i="5"/>
  <c r="K91" i="5"/>
  <c r="L91" i="5" s="1"/>
  <c r="I91" i="5"/>
  <c r="K90" i="5"/>
  <c r="L90" i="5" s="1"/>
  <c r="I90" i="5"/>
  <c r="K89" i="5"/>
  <c r="L89" i="5" s="1"/>
  <c r="I89" i="5"/>
  <c r="K88" i="5"/>
  <c r="L88" i="5" s="1"/>
  <c r="I88" i="5"/>
  <c r="K87" i="5"/>
  <c r="L87" i="5" s="1"/>
  <c r="I87" i="5"/>
  <c r="K86" i="5"/>
  <c r="L86" i="5" s="1"/>
  <c r="I86" i="5"/>
  <c r="K85" i="5"/>
  <c r="L85" i="5" s="1"/>
  <c r="I85" i="5"/>
  <c r="K84" i="5"/>
  <c r="L84" i="5" s="1"/>
  <c r="I84" i="5"/>
  <c r="K83" i="5"/>
  <c r="L83" i="5" s="1"/>
  <c r="I83" i="5"/>
  <c r="K82" i="5"/>
  <c r="L82" i="5" s="1"/>
  <c r="I82" i="5"/>
  <c r="K81" i="5"/>
  <c r="L81" i="5" s="1"/>
  <c r="I81" i="5"/>
  <c r="K80" i="5"/>
  <c r="L80" i="5" s="1"/>
  <c r="I80" i="5"/>
  <c r="K79" i="5"/>
  <c r="L79" i="5" s="1"/>
  <c r="I79" i="5"/>
  <c r="K78" i="5"/>
  <c r="L78" i="5" s="1"/>
  <c r="I78" i="5"/>
  <c r="K77" i="5"/>
  <c r="L77" i="5" s="1"/>
  <c r="I77" i="5"/>
  <c r="K76" i="5"/>
  <c r="L76" i="5" s="1"/>
  <c r="I76" i="5"/>
  <c r="K75" i="5"/>
  <c r="L75" i="5" s="1"/>
  <c r="I75" i="5"/>
  <c r="K74" i="5"/>
  <c r="L74" i="5" s="1"/>
  <c r="I74" i="5"/>
  <c r="K73" i="5"/>
  <c r="L73" i="5" s="1"/>
  <c r="I73" i="5"/>
  <c r="K72" i="5"/>
  <c r="L72" i="5" s="1"/>
  <c r="I72" i="5"/>
  <c r="K71" i="5"/>
  <c r="L71" i="5" s="1"/>
  <c r="I71" i="5"/>
  <c r="K70" i="5"/>
  <c r="L70" i="5" s="1"/>
  <c r="I70" i="5"/>
  <c r="K69" i="5"/>
  <c r="L69" i="5" s="1"/>
  <c r="I69" i="5"/>
  <c r="K68" i="5"/>
  <c r="L68" i="5" s="1"/>
  <c r="I68" i="5"/>
  <c r="K67" i="5"/>
  <c r="L67" i="5" s="1"/>
  <c r="I67" i="5"/>
  <c r="K66" i="5"/>
  <c r="L66" i="5" s="1"/>
  <c r="I66" i="5"/>
  <c r="K65" i="5"/>
  <c r="L65" i="5" s="1"/>
  <c r="I65" i="5"/>
  <c r="K64" i="5"/>
  <c r="L64" i="5" s="1"/>
  <c r="I64" i="5"/>
  <c r="K63" i="5"/>
  <c r="L63" i="5" s="1"/>
  <c r="I63" i="5"/>
  <c r="K62" i="5"/>
  <c r="L62" i="5" s="1"/>
  <c r="I62" i="5"/>
  <c r="K61" i="5"/>
  <c r="L61" i="5" s="1"/>
  <c r="I61" i="5"/>
  <c r="K60" i="5"/>
  <c r="L60" i="5" s="1"/>
  <c r="I60" i="5"/>
  <c r="K59" i="5"/>
  <c r="L59" i="5" s="1"/>
  <c r="I59" i="5"/>
  <c r="K58" i="5"/>
  <c r="L58" i="5" s="1"/>
  <c r="I58" i="5"/>
  <c r="K57" i="5"/>
  <c r="L57" i="5" s="1"/>
  <c r="I57" i="5"/>
  <c r="K56" i="5"/>
  <c r="L56" i="5" s="1"/>
  <c r="I56" i="5"/>
  <c r="K55" i="5"/>
  <c r="L55" i="5" s="1"/>
  <c r="I55" i="5"/>
  <c r="K54" i="5"/>
  <c r="L54" i="5" s="1"/>
  <c r="I54" i="5"/>
  <c r="K53" i="5"/>
  <c r="L53" i="5" s="1"/>
  <c r="I53" i="5"/>
  <c r="K52" i="5"/>
  <c r="L52" i="5" s="1"/>
  <c r="I52" i="5"/>
  <c r="K51" i="5"/>
  <c r="L51" i="5" s="1"/>
  <c r="I51" i="5"/>
  <c r="K50" i="5"/>
  <c r="L50" i="5" s="1"/>
  <c r="I50" i="5"/>
  <c r="K49" i="5"/>
  <c r="L49" i="5" s="1"/>
  <c r="I49" i="5"/>
  <c r="C49" i="5"/>
  <c r="C73" i="5" s="1"/>
  <c r="C97" i="5" s="1"/>
  <c r="C121" i="5" s="1"/>
  <c r="C145" i="5" s="1"/>
  <c r="C169" i="5" s="1"/>
  <c r="C193" i="5" s="1"/>
  <c r="C217" i="5" s="1"/>
  <c r="C241" i="5" s="1"/>
  <c r="C265" i="5" s="1"/>
  <c r="C289" i="5" s="1"/>
  <c r="C313" i="5" s="1"/>
  <c r="C337" i="5" s="1"/>
  <c r="C361" i="5" s="1"/>
  <c r="C385" i="5" s="1"/>
  <c r="K48" i="5"/>
  <c r="L48" i="5" s="1"/>
  <c r="I48" i="5"/>
  <c r="C48" i="5"/>
  <c r="C72" i="5" s="1"/>
  <c r="C96" i="5" s="1"/>
  <c r="C120" i="5" s="1"/>
  <c r="C144" i="5" s="1"/>
  <c r="C168" i="5" s="1"/>
  <c r="C192" i="5" s="1"/>
  <c r="C216" i="5" s="1"/>
  <c r="C240" i="5" s="1"/>
  <c r="C264" i="5" s="1"/>
  <c r="C288" i="5" s="1"/>
  <c r="C312" i="5" s="1"/>
  <c r="C336" i="5" s="1"/>
  <c r="C360" i="5" s="1"/>
  <c r="C384" i="5" s="1"/>
  <c r="K47" i="5"/>
  <c r="L47" i="5" s="1"/>
  <c r="I47" i="5"/>
  <c r="C47" i="5"/>
  <c r="C71" i="5" s="1"/>
  <c r="C95" i="5" s="1"/>
  <c r="C119" i="5" s="1"/>
  <c r="C143" i="5" s="1"/>
  <c r="C167" i="5" s="1"/>
  <c r="C191" i="5" s="1"/>
  <c r="C215" i="5" s="1"/>
  <c r="C239" i="5" s="1"/>
  <c r="C263" i="5" s="1"/>
  <c r="C287" i="5" s="1"/>
  <c r="C311" i="5" s="1"/>
  <c r="C335" i="5" s="1"/>
  <c r="C359" i="5" s="1"/>
  <c r="C383" i="5" s="1"/>
  <c r="K46" i="5"/>
  <c r="L46" i="5" s="1"/>
  <c r="I46" i="5"/>
  <c r="C46" i="5"/>
  <c r="C70" i="5" s="1"/>
  <c r="C94" i="5" s="1"/>
  <c r="C118" i="5" s="1"/>
  <c r="C142" i="5" s="1"/>
  <c r="C166" i="5" s="1"/>
  <c r="C190" i="5" s="1"/>
  <c r="C214" i="5" s="1"/>
  <c r="C238" i="5" s="1"/>
  <c r="C262" i="5" s="1"/>
  <c r="C286" i="5" s="1"/>
  <c r="C310" i="5" s="1"/>
  <c r="C334" i="5" s="1"/>
  <c r="C358" i="5" s="1"/>
  <c r="C382" i="5" s="1"/>
  <c r="K45" i="5"/>
  <c r="L45" i="5" s="1"/>
  <c r="I45" i="5"/>
  <c r="C45" i="5"/>
  <c r="C69" i="5" s="1"/>
  <c r="C93" i="5" s="1"/>
  <c r="C117" i="5" s="1"/>
  <c r="C141" i="5" s="1"/>
  <c r="C165" i="5" s="1"/>
  <c r="C189" i="5" s="1"/>
  <c r="C213" i="5" s="1"/>
  <c r="C237" i="5" s="1"/>
  <c r="C261" i="5" s="1"/>
  <c r="C285" i="5" s="1"/>
  <c r="C309" i="5" s="1"/>
  <c r="C333" i="5" s="1"/>
  <c r="C357" i="5" s="1"/>
  <c r="C381" i="5" s="1"/>
  <c r="K44" i="5"/>
  <c r="L44" i="5" s="1"/>
  <c r="I44" i="5"/>
  <c r="C44" i="5"/>
  <c r="C68" i="5" s="1"/>
  <c r="C92" i="5" s="1"/>
  <c r="C116" i="5" s="1"/>
  <c r="C140" i="5" s="1"/>
  <c r="C164" i="5" s="1"/>
  <c r="C188" i="5" s="1"/>
  <c r="C212" i="5" s="1"/>
  <c r="C236" i="5" s="1"/>
  <c r="C260" i="5" s="1"/>
  <c r="C284" i="5" s="1"/>
  <c r="C308" i="5" s="1"/>
  <c r="C332" i="5" s="1"/>
  <c r="C356" i="5" s="1"/>
  <c r="C380" i="5" s="1"/>
  <c r="K43" i="5"/>
  <c r="L43" i="5" s="1"/>
  <c r="I43" i="5"/>
  <c r="C43" i="5"/>
  <c r="C67" i="5" s="1"/>
  <c r="C91" i="5" s="1"/>
  <c r="C115" i="5" s="1"/>
  <c r="C139" i="5" s="1"/>
  <c r="C163" i="5" s="1"/>
  <c r="C187" i="5" s="1"/>
  <c r="C211" i="5" s="1"/>
  <c r="C235" i="5" s="1"/>
  <c r="C259" i="5" s="1"/>
  <c r="C283" i="5" s="1"/>
  <c r="C307" i="5" s="1"/>
  <c r="C331" i="5" s="1"/>
  <c r="C355" i="5" s="1"/>
  <c r="C379" i="5" s="1"/>
  <c r="K42" i="5"/>
  <c r="L42" i="5" s="1"/>
  <c r="I42" i="5"/>
  <c r="C42" i="5"/>
  <c r="C66" i="5" s="1"/>
  <c r="C90" i="5" s="1"/>
  <c r="C114" i="5" s="1"/>
  <c r="C138" i="5" s="1"/>
  <c r="C162" i="5" s="1"/>
  <c r="C186" i="5" s="1"/>
  <c r="C210" i="5" s="1"/>
  <c r="C234" i="5" s="1"/>
  <c r="C258" i="5" s="1"/>
  <c r="C282" i="5" s="1"/>
  <c r="C306" i="5" s="1"/>
  <c r="C330" i="5" s="1"/>
  <c r="C354" i="5" s="1"/>
  <c r="C378" i="5" s="1"/>
  <c r="K41" i="5"/>
  <c r="L41" i="5" s="1"/>
  <c r="I41" i="5"/>
  <c r="C41" i="5"/>
  <c r="C65" i="5" s="1"/>
  <c r="C89" i="5" s="1"/>
  <c r="C113" i="5" s="1"/>
  <c r="C137" i="5" s="1"/>
  <c r="C161" i="5" s="1"/>
  <c r="C185" i="5" s="1"/>
  <c r="C209" i="5" s="1"/>
  <c r="C233" i="5" s="1"/>
  <c r="C257" i="5" s="1"/>
  <c r="C281" i="5" s="1"/>
  <c r="C305" i="5" s="1"/>
  <c r="C329" i="5" s="1"/>
  <c r="C353" i="5" s="1"/>
  <c r="C377" i="5" s="1"/>
  <c r="K40" i="5"/>
  <c r="L40" i="5" s="1"/>
  <c r="I40" i="5"/>
  <c r="C40" i="5"/>
  <c r="C64" i="5" s="1"/>
  <c r="C88" i="5" s="1"/>
  <c r="C112" i="5" s="1"/>
  <c r="C136" i="5" s="1"/>
  <c r="C160" i="5" s="1"/>
  <c r="C184" i="5" s="1"/>
  <c r="C208" i="5" s="1"/>
  <c r="C232" i="5" s="1"/>
  <c r="C256" i="5" s="1"/>
  <c r="C280" i="5" s="1"/>
  <c r="C304" i="5" s="1"/>
  <c r="C328" i="5" s="1"/>
  <c r="C352" i="5" s="1"/>
  <c r="C376" i="5" s="1"/>
  <c r="K39" i="5"/>
  <c r="L39" i="5" s="1"/>
  <c r="I39" i="5"/>
  <c r="C39" i="5"/>
  <c r="C63" i="5" s="1"/>
  <c r="C87" i="5" s="1"/>
  <c r="C111" i="5" s="1"/>
  <c r="C135" i="5" s="1"/>
  <c r="C159" i="5" s="1"/>
  <c r="C183" i="5" s="1"/>
  <c r="C207" i="5" s="1"/>
  <c r="C231" i="5" s="1"/>
  <c r="C255" i="5" s="1"/>
  <c r="C279" i="5" s="1"/>
  <c r="C303" i="5" s="1"/>
  <c r="C327" i="5" s="1"/>
  <c r="C351" i="5" s="1"/>
  <c r="C375" i="5" s="1"/>
  <c r="K38" i="5"/>
  <c r="L38" i="5" s="1"/>
  <c r="I38" i="5"/>
  <c r="C38" i="5"/>
  <c r="C62" i="5" s="1"/>
  <c r="C86" i="5" s="1"/>
  <c r="C110" i="5" s="1"/>
  <c r="C134" i="5" s="1"/>
  <c r="C158" i="5" s="1"/>
  <c r="C182" i="5" s="1"/>
  <c r="C206" i="5" s="1"/>
  <c r="C230" i="5" s="1"/>
  <c r="C254" i="5" s="1"/>
  <c r="C278" i="5" s="1"/>
  <c r="C302" i="5" s="1"/>
  <c r="C326" i="5" s="1"/>
  <c r="C350" i="5" s="1"/>
  <c r="C374" i="5" s="1"/>
  <c r="K37" i="5"/>
  <c r="L37" i="5" s="1"/>
  <c r="I37" i="5"/>
  <c r="C37" i="5"/>
  <c r="C61" i="5" s="1"/>
  <c r="C85" i="5" s="1"/>
  <c r="C109" i="5" s="1"/>
  <c r="C133" i="5" s="1"/>
  <c r="C157" i="5" s="1"/>
  <c r="C181" i="5" s="1"/>
  <c r="C205" i="5" s="1"/>
  <c r="C229" i="5" s="1"/>
  <c r="C253" i="5" s="1"/>
  <c r="C277" i="5" s="1"/>
  <c r="C301" i="5" s="1"/>
  <c r="C325" i="5" s="1"/>
  <c r="C349" i="5" s="1"/>
  <c r="C373" i="5" s="1"/>
  <c r="K36" i="5"/>
  <c r="L36" i="5" s="1"/>
  <c r="I36" i="5"/>
  <c r="C36" i="5"/>
  <c r="C60" i="5" s="1"/>
  <c r="C84" i="5" s="1"/>
  <c r="C108" i="5" s="1"/>
  <c r="C132" i="5" s="1"/>
  <c r="C156" i="5" s="1"/>
  <c r="C180" i="5" s="1"/>
  <c r="C204" i="5" s="1"/>
  <c r="C228" i="5" s="1"/>
  <c r="C252" i="5" s="1"/>
  <c r="C276" i="5" s="1"/>
  <c r="C300" i="5" s="1"/>
  <c r="C324" i="5" s="1"/>
  <c r="C348" i="5" s="1"/>
  <c r="C372" i="5" s="1"/>
  <c r="K35" i="5"/>
  <c r="L35" i="5" s="1"/>
  <c r="I35" i="5"/>
  <c r="C35" i="5"/>
  <c r="C59" i="5" s="1"/>
  <c r="C83" i="5" s="1"/>
  <c r="C107" i="5" s="1"/>
  <c r="C131" i="5" s="1"/>
  <c r="C155" i="5" s="1"/>
  <c r="C179" i="5" s="1"/>
  <c r="C203" i="5" s="1"/>
  <c r="C227" i="5" s="1"/>
  <c r="C251" i="5" s="1"/>
  <c r="C275" i="5" s="1"/>
  <c r="C299" i="5" s="1"/>
  <c r="C323" i="5" s="1"/>
  <c r="C347" i="5" s="1"/>
  <c r="C371" i="5" s="1"/>
  <c r="K34" i="5"/>
  <c r="L34" i="5" s="1"/>
  <c r="I34" i="5"/>
  <c r="C34" i="5"/>
  <c r="C58" i="5" s="1"/>
  <c r="C82" i="5" s="1"/>
  <c r="C106" i="5" s="1"/>
  <c r="C130" i="5" s="1"/>
  <c r="C154" i="5" s="1"/>
  <c r="C178" i="5" s="1"/>
  <c r="C202" i="5" s="1"/>
  <c r="C226" i="5" s="1"/>
  <c r="C250" i="5" s="1"/>
  <c r="C274" i="5" s="1"/>
  <c r="C298" i="5" s="1"/>
  <c r="C322" i="5" s="1"/>
  <c r="C346" i="5" s="1"/>
  <c r="C370" i="5" s="1"/>
  <c r="K33" i="5"/>
  <c r="L33" i="5" s="1"/>
  <c r="I33" i="5"/>
  <c r="C33" i="5"/>
  <c r="C57" i="5" s="1"/>
  <c r="C81" i="5" s="1"/>
  <c r="C105" i="5" s="1"/>
  <c r="C129" i="5" s="1"/>
  <c r="C153" i="5" s="1"/>
  <c r="C177" i="5" s="1"/>
  <c r="C201" i="5" s="1"/>
  <c r="C225" i="5" s="1"/>
  <c r="C249" i="5" s="1"/>
  <c r="C273" i="5" s="1"/>
  <c r="C297" i="5" s="1"/>
  <c r="C321" i="5" s="1"/>
  <c r="C345" i="5" s="1"/>
  <c r="C369" i="5" s="1"/>
  <c r="K32" i="5"/>
  <c r="L32" i="5" s="1"/>
  <c r="I32" i="5"/>
  <c r="C32" i="5"/>
  <c r="C56" i="5" s="1"/>
  <c r="C80" i="5" s="1"/>
  <c r="C104" i="5" s="1"/>
  <c r="C128" i="5" s="1"/>
  <c r="C152" i="5" s="1"/>
  <c r="C176" i="5" s="1"/>
  <c r="C200" i="5" s="1"/>
  <c r="C224" i="5" s="1"/>
  <c r="C248" i="5" s="1"/>
  <c r="C272" i="5" s="1"/>
  <c r="C296" i="5" s="1"/>
  <c r="C320" i="5" s="1"/>
  <c r="C344" i="5" s="1"/>
  <c r="C368" i="5" s="1"/>
  <c r="K31" i="5"/>
  <c r="L31" i="5" s="1"/>
  <c r="I31" i="5"/>
  <c r="C31" i="5"/>
  <c r="C55" i="5" s="1"/>
  <c r="C79" i="5" s="1"/>
  <c r="C103" i="5" s="1"/>
  <c r="C127" i="5" s="1"/>
  <c r="C151" i="5" s="1"/>
  <c r="C175" i="5" s="1"/>
  <c r="C199" i="5" s="1"/>
  <c r="C223" i="5" s="1"/>
  <c r="C247" i="5" s="1"/>
  <c r="C271" i="5" s="1"/>
  <c r="C295" i="5" s="1"/>
  <c r="C319" i="5" s="1"/>
  <c r="C343" i="5" s="1"/>
  <c r="C367" i="5" s="1"/>
  <c r="K30" i="5"/>
  <c r="L30" i="5" s="1"/>
  <c r="I30" i="5"/>
  <c r="C30" i="5"/>
  <c r="C54" i="5" s="1"/>
  <c r="C78" i="5" s="1"/>
  <c r="C102" i="5" s="1"/>
  <c r="C126" i="5" s="1"/>
  <c r="C150" i="5" s="1"/>
  <c r="C174" i="5" s="1"/>
  <c r="C198" i="5" s="1"/>
  <c r="C222" i="5" s="1"/>
  <c r="C246" i="5" s="1"/>
  <c r="C270" i="5" s="1"/>
  <c r="C294" i="5" s="1"/>
  <c r="C318" i="5" s="1"/>
  <c r="C342" i="5" s="1"/>
  <c r="C366" i="5" s="1"/>
  <c r="K29" i="5"/>
  <c r="L29" i="5" s="1"/>
  <c r="I29" i="5"/>
  <c r="C29" i="5"/>
  <c r="C53" i="5" s="1"/>
  <c r="C77" i="5" s="1"/>
  <c r="C101" i="5" s="1"/>
  <c r="C125" i="5" s="1"/>
  <c r="C149" i="5" s="1"/>
  <c r="C173" i="5" s="1"/>
  <c r="C197" i="5" s="1"/>
  <c r="C221" i="5" s="1"/>
  <c r="C245" i="5" s="1"/>
  <c r="C269" i="5" s="1"/>
  <c r="C293" i="5" s="1"/>
  <c r="C317" i="5" s="1"/>
  <c r="C341" i="5" s="1"/>
  <c r="C365" i="5" s="1"/>
  <c r="K28" i="5"/>
  <c r="L28" i="5" s="1"/>
  <c r="I28" i="5"/>
  <c r="C28" i="5"/>
  <c r="C52" i="5" s="1"/>
  <c r="C76" i="5" s="1"/>
  <c r="C100" i="5" s="1"/>
  <c r="C124" i="5" s="1"/>
  <c r="C148" i="5" s="1"/>
  <c r="C172" i="5" s="1"/>
  <c r="C196" i="5" s="1"/>
  <c r="C220" i="5" s="1"/>
  <c r="C244" i="5" s="1"/>
  <c r="C268" i="5" s="1"/>
  <c r="C292" i="5" s="1"/>
  <c r="C316" i="5" s="1"/>
  <c r="C340" i="5" s="1"/>
  <c r="C364" i="5" s="1"/>
  <c r="K27" i="5"/>
  <c r="L27" i="5" s="1"/>
  <c r="I27" i="5"/>
  <c r="C27" i="5"/>
  <c r="C51" i="5" s="1"/>
  <c r="C75" i="5" s="1"/>
  <c r="C99" i="5" s="1"/>
  <c r="C123" i="5" s="1"/>
  <c r="C147" i="5" s="1"/>
  <c r="C171" i="5" s="1"/>
  <c r="C195" i="5" s="1"/>
  <c r="C219" i="5" s="1"/>
  <c r="C243" i="5" s="1"/>
  <c r="C267" i="5" s="1"/>
  <c r="C291" i="5" s="1"/>
  <c r="C315" i="5" s="1"/>
  <c r="C339" i="5" s="1"/>
  <c r="C363" i="5" s="1"/>
  <c r="K26" i="5"/>
  <c r="L26" i="5" s="1"/>
  <c r="I26" i="5"/>
  <c r="C26" i="5"/>
  <c r="C50" i="5" s="1"/>
  <c r="C74" i="5" s="1"/>
  <c r="C98" i="5" s="1"/>
  <c r="C122" i="5" s="1"/>
  <c r="C146" i="5" s="1"/>
  <c r="C170" i="5" s="1"/>
  <c r="C194" i="5" s="1"/>
  <c r="C218" i="5" s="1"/>
  <c r="C242" i="5" s="1"/>
  <c r="C266" i="5" s="1"/>
  <c r="C290" i="5" s="1"/>
  <c r="C314" i="5" s="1"/>
  <c r="C338" i="5" s="1"/>
  <c r="C362" i="5" s="1"/>
  <c r="K25" i="5"/>
  <c r="L25" i="5" s="1"/>
  <c r="I25" i="5"/>
  <c r="K24" i="5"/>
  <c r="L24" i="5" s="1"/>
  <c r="I24" i="5"/>
  <c r="K23" i="5"/>
  <c r="L23" i="5" s="1"/>
  <c r="I23" i="5"/>
  <c r="K22" i="5"/>
  <c r="L22" i="5" s="1"/>
  <c r="I22" i="5"/>
  <c r="K21" i="5"/>
  <c r="L21" i="5" s="1"/>
  <c r="I21" i="5"/>
  <c r="K20" i="5"/>
  <c r="L20" i="5" s="1"/>
  <c r="I20" i="5"/>
  <c r="K19" i="5"/>
  <c r="L19" i="5" s="1"/>
  <c r="I19" i="5"/>
  <c r="K18" i="5"/>
  <c r="L18" i="5" s="1"/>
  <c r="I18" i="5"/>
  <c r="K17" i="5"/>
  <c r="L17" i="5" s="1"/>
  <c r="I17" i="5"/>
  <c r="K16" i="5"/>
  <c r="I16" i="5"/>
  <c r="K15" i="5"/>
  <c r="L15" i="5" s="1"/>
  <c r="I15" i="5"/>
  <c r="K14" i="5"/>
  <c r="L14" i="5" s="1"/>
  <c r="I14" i="5"/>
  <c r="K13" i="5"/>
  <c r="L13" i="5" s="1"/>
  <c r="I13" i="5"/>
  <c r="K12" i="5"/>
  <c r="L12" i="5" s="1"/>
  <c r="I12" i="5"/>
  <c r="K11" i="5"/>
  <c r="L11" i="5" s="1"/>
  <c r="I11" i="5"/>
  <c r="K10" i="5"/>
  <c r="L10" i="5" s="1"/>
  <c r="I10" i="5"/>
  <c r="K9" i="5"/>
  <c r="L9" i="5" s="1"/>
  <c r="I9" i="5"/>
  <c r="K8" i="5"/>
  <c r="L8" i="5" s="1"/>
  <c r="I8" i="5"/>
  <c r="K7" i="5"/>
  <c r="L7" i="5" s="1"/>
  <c r="I7" i="5"/>
  <c r="K6" i="5"/>
  <c r="L6" i="5" s="1"/>
  <c r="I6" i="5"/>
  <c r="K5" i="5"/>
  <c r="L5" i="5" s="1"/>
  <c r="I5" i="5"/>
  <c r="K4" i="5"/>
  <c r="L4" i="5" s="1"/>
  <c r="I4" i="5"/>
  <c r="K3" i="5"/>
  <c r="L3" i="5" s="1"/>
  <c r="I3" i="5"/>
  <c r="K2" i="5"/>
  <c r="I2" i="5"/>
  <c r="K400" i="3"/>
  <c r="H400" i="3"/>
  <c r="L400" i="3" s="1"/>
  <c r="K399" i="3"/>
  <c r="H399" i="3"/>
  <c r="K398" i="3"/>
  <c r="H398" i="3"/>
  <c r="L398" i="3" s="1"/>
  <c r="K397" i="3"/>
  <c r="H397" i="3"/>
  <c r="K396" i="3"/>
  <c r="H396" i="3"/>
  <c r="K395" i="3"/>
  <c r="H395" i="3"/>
  <c r="K394" i="3"/>
  <c r="H394" i="3"/>
  <c r="K393" i="3"/>
  <c r="H393" i="3"/>
  <c r="K392" i="3"/>
  <c r="H392" i="3"/>
  <c r="L392" i="3" s="1"/>
  <c r="K391" i="3"/>
  <c r="H391" i="3"/>
  <c r="K390" i="3"/>
  <c r="H390" i="3"/>
  <c r="L390" i="3" s="1"/>
  <c r="K389" i="3"/>
  <c r="H389" i="3"/>
  <c r="K388" i="3"/>
  <c r="H388" i="3"/>
  <c r="K387" i="3"/>
  <c r="H387" i="3"/>
  <c r="K386" i="3"/>
  <c r="H386" i="3"/>
  <c r="K385" i="3"/>
  <c r="H385" i="3"/>
  <c r="K384" i="3"/>
  <c r="H384" i="3"/>
  <c r="L384" i="3" s="1"/>
  <c r="K383" i="3"/>
  <c r="H383" i="3"/>
  <c r="K382" i="3"/>
  <c r="H382" i="3"/>
  <c r="L382" i="3" s="1"/>
  <c r="K381" i="3"/>
  <c r="H381" i="3"/>
  <c r="K380" i="3"/>
  <c r="H380" i="3"/>
  <c r="K379" i="3"/>
  <c r="H379" i="3"/>
  <c r="K378" i="3"/>
  <c r="H378" i="3"/>
  <c r="K377" i="3"/>
  <c r="H377" i="3"/>
  <c r="K376" i="3"/>
  <c r="H376" i="3"/>
  <c r="L376" i="3" s="1"/>
  <c r="K375" i="3"/>
  <c r="H375" i="3"/>
  <c r="K374" i="3"/>
  <c r="H374" i="3"/>
  <c r="L374" i="3" s="1"/>
  <c r="K373" i="3"/>
  <c r="H373" i="3"/>
  <c r="K372" i="3"/>
  <c r="H372" i="3"/>
  <c r="K371" i="3"/>
  <c r="H371" i="3"/>
  <c r="K370" i="3"/>
  <c r="H370" i="3"/>
  <c r="K369" i="3"/>
  <c r="H369" i="3"/>
  <c r="K368" i="3"/>
  <c r="H368" i="3"/>
  <c r="L368" i="3" s="1"/>
  <c r="K367" i="3"/>
  <c r="H367" i="3"/>
  <c r="K366" i="3"/>
  <c r="H366" i="3"/>
  <c r="L366" i="3" s="1"/>
  <c r="K365" i="3"/>
  <c r="H365" i="3"/>
  <c r="K364" i="3"/>
  <c r="H364" i="3"/>
  <c r="K363" i="3"/>
  <c r="H363" i="3"/>
  <c r="K362" i="3"/>
  <c r="H362" i="3"/>
  <c r="K361" i="3"/>
  <c r="H361" i="3"/>
  <c r="K360" i="3"/>
  <c r="H360" i="3"/>
  <c r="L360" i="3" s="1"/>
  <c r="K359" i="3"/>
  <c r="H359" i="3"/>
  <c r="K358" i="3"/>
  <c r="H358" i="3"/>
  <c r="L358" i="3" s="1"/>
  <c r="K357" i="3"/>
  <c r="H357" i="3"/>
  <c r="K356" i="3"/>
  <c r="H356" i="3"/>
  <c r="K355" i="3"/>
  <c r="H355" i="3"/>
  <c r="K354" i="3"/>
  <c r="H354" i="3"/>
  <c r="K353" i="3"/>
  <c r="H353" i="3"/>
  <c r="K352" i="3"/>
  <c r="H352" i="3"/>
  <c r="L352" i="3" s="1"/>
  <c r="K351" i="3"/>
  <c r="H351" i="3"/>
  <c r="K350" i="3"/>
  <c r="H350" i="3"/>
  <c r="L350" i="3" s="1"/>
  <c r="K349" i="3"/>
  <c r="H349" i="3"/>
  <c r="K348" i="3"/>
  <c r="H348" i="3"/>
  <c r="K347" i="3"/>
  <c r="H347" i="3"/>
  <c r="K346" i="3"/>
  <c r="H346" i="3"/>
  <c r="K345" i="3"/>
  <c r="H345" i="3"/>
  <c r="K344" i="3"/>
  <c r="H344" i="3"/>
  <c r="L344" i="3" s="1"/>
  <c r="K343" i="3"/>
  <c r="H343" i="3"/>
  <c r="K342" i="3"/>
  <c r="H342" i="3"/>
  <c r="L342" i="3" s="1"/>
  <c r="K341" i="3"/>
  <c r="H341" i="3"/>
  <c r="K340" i="3"/>
  <c r="H340" i="3"/>
  <c r="K339" i="3"/>
  <c r="H339" i="3"/>
  <c r="K338" i="3"/>
  <c r="H338" i="3"/>
  <c r="K337" i="3"/>
  <c r="H337" i="3"/>
  <c r="K336" i="3"/>
  <c r="H336" i="3"/>
  <c r="L336" i="3" s="1"/>
  <c r="K335" i="3"/>
  <c r="H335" i="3"/>
  <c r="K334" i="3"/>
  <c r="H334" i="3"/>
  <c r="L334" i="3" s="1"/>
  <c r="K333" i="3"/>
  <c r="H333" i="3"/>
  <c r="K332" i="3"/>
  <c r="H332" i="3"/>
  <c r="K331" i="3"/>
  <c r="H331" i="3"/>
  <c r="K330" i="3"/>
  <c r="H330" i="3"/>
  <c r="K329" i="3"/>
  <c r="H329" i="3"/>
  <c r="K328" i="3"/>
  <c r="H328" i="3"/>
  <c r="L328" i="3" s="1"/>
  <c r="K327" i="3"/>
  <c r="H327" i="3"/>
  <c r="K326" i="3"/>
  <c r="H326" i="3"/>
  <c r="L326" i="3" s="1"/>
  <c r="K325" i="3"/>
  <c r="H325" i="3"/>
  <c r="K324" i="3"/>
  <c r="H324" i="3"/>
  <c r="K323" i="3"/>
  <c r="H323" i="3"/>
  <c r="K322" i="3"/>
  <c r="H322" i="3"/>
  <c r="K321" i="3"/>
  <c r="H321" i="3"/>
  <c r="K320" i="3"/>
  <c r="H320" i="3"/>
  <c r="L320" i="3" s="1"/>
  <c r="K319" i="3"/>
  <c r="H319" i="3"/>
  <c r="K318" i="3"/>
  <c r="H318" i="3"/>
  <c r="L318" i="3" s="1"/>
  <c r="K317" i="3"/>
  <c r="H317" i="3"/>
  <c r="K316" i="3"/>
  <c r="H316" i="3"/>
  <c r="K315" i="3"/>
  <c r="H315" i="3"/>
  <c r="K314" i="3"/>
  <c r="H314" i="3"/>
  <c r="K313" i="3"/>
  <c r="H313" i="3"/>
  <c r="K312" i="3"/>
  <c r="H312" i="3"/>
  <c r="L312" i="3" s="1"/>
  <c r="K311" i="3"/>
  <c r="H311" i="3"/>
  <c r="K310" i="3"/>
  <c r="H310" i="3"/>
  <c r="L310" i="3" s="1"/>
  <c r="K309" i="3"/>
  <c r="H309" i="3"/>
  <c r="K308" i="3"/>
  <c r="H308" i="3"/>
  <c r="K307" i="3"/>
  <c r="H307" i="3"/>
  <c r="K306" i="3"/>
  <c r="H306" i="3"/>
  <c r="K305" i="3"/>
  <c r="H305" i="3"/>
  <c r="K304" i="3"/>
  <c r="H304" i="3"/>
  <c r="L304" i="3" s="1"/>
  <c r="K303" i="3"/>
  <c r="H303" i="3"/>
  <c r="K302" i="3"/>
  <c r="H302" i="3"/>
  <c r="L302" i="3" s="1"/>
  <c r="K301" i="3"/>
  <c r="H301" i="3"/>
  <c r="K300" i="3"/>
  <c r="H300" i="3"/>
  <c r="K299" i="3"/>
  <c r="H299" i="3"/>
  <c r="K298" i="3"/>
  <c r="H298" i="3"/>
  <c r="K297" i="3"/>
  <c r="H297" i="3"/>
  <c r="K296" i="3"/>
  <c r="H296" i="3"/>
  <c r="L296" i="3" s="1"/>
  <c r="K295" i="3"/>
  <c r="H295" i="3"/>
  <c r="K294" i="3"/>
  <c r="H294" i="3"/>
  <c r="L294" i="3" s="1"/>
  <c r="K293" i="3"/>
  <c r="H293" i="3"/>
  <c r="K292" i="3"/>
  <c r="H292" i="3"/>
  <c r="K291" i="3"/>
  <c r="H291" i="3"/>
  <c r="K290" i="3"/>
  <c r="H290" i="3"/>
  <c r="K289" i="3"/>
  <c r="H289" i="3"/>
  <c r="K288" i="3"/>
  <c r="H288" i="3"/>
  <c r="L288" i="3" s="1"/>
  <c r="K287" i="3"/>
  <c r="H287" i="3"/>
  <c r="K286" i="3"/>
  <c r="H286" i="3"/>
  <c r="L286" i="3" s="1"/>
  <c r="K285" i="3"/>
  <c r="H285" i="3"/>
  <c r="K284" i="3"/>
  <c r="H284" i="3"/>
  <c r="K283" i="3"/>
  <c r="H283" i="3"/>
  <c r="K282" i="3"/>
  <c r="H282" i="3"/>
  <c r="K281" i="3"/>
  <c r="H281" i="3"/>
  <c r="K280" i="3"/>
  <c r="H280" i="3"/>
  <c r="L280" i="3" s="1"/>
  <c r="K279" i="3"/>
  <c r="H279" i="3"/>
  <c r="K278" i="3"/>
  <c r="H278" i="3"/>
  <c r="L278" i="3" s="1"/>
  <c r="K277" i="3"/>
  <c r="H277" i="3"/>
  <c r="K276" i="3"/>
  <c r="H276" i="3"/>
  <c r="K275" i="3"/>
  <c r="H275" i="3"/>
  <c r="K274" i="3"/>
  <c r="H274" i="3"/>
  <c r="K273" i="3"/>
  <c r="H273" i="3"/>
  <c r="K272" i="3"/>
  <c r="H272" i="3"/>
  <c r="L272" i="3" s="1"/>
  <c r="K271" i="3"/>
  <c r="H271" i="3"/>
  <c r="K270" i="3"/>
  <c r="H270" i="3"/>
  <c r="L270" i="3" s="1"/>
  <c r="K269" i="3"/>
  <c r="H269" i="3"/>
  <c r="K268" i="3"/>
  <c r="H268" i="3"/>
  <c r="K267" i="3"/>
  <c r="H267" i="3"/>
  <c r="K266" i="3"/>
  <c r="H266" i="3"/>
  <c r="K265" i="3"/>
  <c r="H265" i="3"/>
  <c r="K264" i="3"/>
  <c r="H264" i="3"/>
  <c r="L264" i="3" s="1"/>
  <c r="K263" i="3"/>
  <c r="H263" i="3"/>
  <c r="K262" i="3"/>
  <c r="H262" i="3"/>
  <c r="L262" i="3" s="1"/>
  <c r="K261" i="3"/>
  <c r="H261" i="3"/>
  <c r="K260" i="3"/>
  <c r="H260" i="3"/>
  <c r="K259" i="3"/>
  <c r="H259" i="3"/>
  <c r="K258" i="3"/>
  <c r="H258" i="3"/>
  <c r="K257" i="3"/>
  <c r="H257" i="3"/>
  <c r="K256" i="3"/>
  <c r="H256" i="3"/>
  <c r="L256" i="3" s="1"/>
  <c r="K255" i="3"/>
  <c r="H255" i="3"/>
  <c r="K254" i="3"/>
  <c r="H254" i="3"/>
  <c r="L254" i="3" s="1"/>
  <c r="K253" i="3"/>
  <c r="H253" i="3"/>
  <c r="K252" i="3"/>
  <c r="H252" i="3"/>
  <c r="K251" i="3"/>
  <c r="H251" i="3"/>
  <c r="K250" i="3"/>
  <c r="H250" i="3"/>
  <c r="K249" i="3"/>
  <c r="H249" i="3"/>
  <c r="K248" i="3"/>
  <c r="H248" i="3"/>
  <c r="L248" i="3" s="1"/>
  <c r="K247" i="3"/>
  <c r="H247" i="3"/>
  <c r="K246" i="3"/>
  <c r="H246" i="3"/>
  <c r="L246" i="3" s="1"/>
  <c r="K245" i="3"/>
  <c r="H245" i="3"/>
  <c r="K244" i="3"/>
  <c r="H244" i="3"/>
  <c r="K243" i="3"/>
  <c r="H243" i="3"/>
  <c r="K242" i="3"/>
  <c r="H242" i="3"/>
  <c r="K241" i="3"/>
  <c r="H241" i="3"/>
  <c r="K240" i="3"/>
  <c r="H240" i="3"/>
  <c r="L240" i="3" s="1"/>
  <c r="K239" i="3"/>
  <c r="H239" i="3"/>
  <c r="K238" i="3"/>
  <c r="H238" i="3"/>
  <c r="L238" i="3" s="1"/>
  <c r="K237" i="3"/>
  <c r="H237" i="3"/>
  <c r="K236" i="3"/>
  <c r="H236" i="3"/>
  <c r="K235" i="3"/>
  <c r="H235" i="3"/>
  <c r="K234" i="3"/>
  <c r="H234" i="3"/>
  <c r="K233" i="3"/>
  <c r="H233" i="3"/>
  <c r="K232" i="3"/>
  <c r="H232" i="3"/>
  <c r="L232" i="3" s="1"/>
  <c r="K231" i="3"/>
  <c r="H231" i="3"/>
  <c r="K230" i="3"/>
  <c r="H230" i="3"/>
  <c r="L230" i="3" s="1"/>
  <c r="K229" i="3"/>
  <c r="H229" i="3"/>
  <c r="K228" i="3"/>
  <c r="H228" i="3"/>
  <c r="K227" i="3"/>
  <c r="H227" i="3"/>
  <c r="K226" i="3"/>
  <c r="H226" i="3"/>
  <c r="K225" i="3"/>
  <c r="H225" i="3"/>
  <c r="K224" i="3"/>
  <c r="H224" i="3"/>
  <c r="L224" i="3" s="1"/>
  <c r="K223" i="3"/>
  <c r="H223" i="3"/>
  <c r="K222" i="3"/>
  <c r="H222" i="3"/>
  <c r="K221" i="3"/>
  <c r="H221" i="3"/>
  <c r="K220" i="3"/>
  <c r="H220" i="3"/>
  <c r="L220" i="3" s="1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10" i="3"/>
  <c r="H210" i="3"/>
  <c r="K209" i="3"/>
  <c r="H209" i="3"/>
  <c r="K208" i="3"/>
  <c r="H208" i="3"/>
  <c r="L208" i="3" s="1"/>
  <c r="K207" i="3"/>
  <c r="H207" i="3"/>
  <c r="K206" i="3"/>
  <c r="H206" i="3"/>
  <c r="K205" i="3"/>
  <c r="H205" i="3"/>
  <c r="K204" i="3"/>
  <c r="H204" i="3"/>
  <c r="L204" i="3" s="1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195" i="3"/>
  <c r="H195" i="3"/>
  <c r="K194" i="3"/>
  <c r="H194" i="3"/>
  <c r="K193" i="3"/>
  <c r="H193" i="3"/>
  <c r="K192" i="3"/>
  <c r="H192" i="3"/>
  <c r="L192" i="3" s="1"/>
  <c r="K191" i="3"/>
  <c r="H191" i="3"/>
  <c r="K190" i="3"/>
  <c r="H190" i="3"/>
  <c r="K189" i="3"/>
  <c r="H189" i="3"/>
  <c r="K188" i="3"/>
  <c r="H188" i="3"/>
  <c r="L188" i="3" s="1"/>
  <c r="K187" i="3"/>
  <c r="H187" i="3"/>
  <c r="K186" i="3"/>
  <c r="H186" i="3"/>
  <c r="K185" i="3"/>
  <c r="H185" i="3"/>
  <c r="K184" i="3"/>
  <c r="H184" i="3"/>
  <c r="K183" i="3"/>
  <c r="H183" i="3"/>
  <c r="K182" i="3"/>
  <c r="H182" i="3"/>
  <c r="K181" i="3"/>
  <c r="H181" i="3"/>
  <c r="K180" i="3"/>
  <c r="H180" i="3"/>
  <c r="K179" i="3"/>
  <c r="H179" i="3"/>
  <c r="K178" i="3"/>
  <c r="H178" i="3"/>
  <c r="K177" i="3"/>
  <c r="H177" i="3"/>
  <c r="K176" i="3"/>
  <c r="H176" i="3"/>
  <c r="L176" i="3" s="1"/>
  <c r="K175" i="3"/>
  <c r="H175" i="3"/>
  <c r="K174" i="3"/>
  <c r="H174" i="3"/>
  <c r="K173" i="3"/>
  <c r="H173" i="3"/>
  <c r="K172" i="3"/>
  <c r="H172" i="3"/>
  <c r="L172" i="3" s="1"/>
  <c r="K171" i="3"/>
  <c r="H171" i="3"/>
  <c r="K170" i="3"/>
  <c r="H170" i="3"/>
  <c r="K169" i="3"/>
  <c r="H169" i="3"/>
  <c r="K168" i="3"/>
  <c r="H168" i="3"/>
  <c r="K167" i="3"/>
  <c r="H167" i="3"/>
  <c r="K166" i="3"/>
  <c r="H166" i="3"/>
  <c r="K165" i="3"/>
  <c r="H165" i="3"/>
  <c r="K164" i="3"/>
  <c r="H164" i="3"/>
  <c r="K163" i="3"/>
  <c r="H163" i="3"/>
  <c r="K162" i="3"/>
  <c r="H162" i="3"/>
  <c r="K161" i="3"/>
  <c r="H161" i="3"/>
  <c r="K160" i="3"/>
  <c r="H160" i="3"/>
  <c r="L160" i="3" s="1"/>
  <c r="K159" i="3"/>
  <c r="H159" i="3"/>
  <c r="K158" i="3"/>
  <c r="H158" i="3"/>
  <c r="K157" i="3"/>
  <c r="H157" i="3"/>
  <c r="K156" i="3"/>
  <c r="H156" i="3"/>
  <c r="L156" i="3" s="1"/>
  <c r="K155" i="3"/>
  <c r="H155" i="3"/>
  <c r="K154" i="3"/>
  <c r="H154" i="3"/>
  <c r="K153" i="3"/>
  <c r="H153" i="3"/>
  <c r="K152" i="3"/>
  <c r="H152" i="3"/>
  <c r="K151" i="3"/>
  <c r="H151" i="3"/>
  <c r="K150" i="3"/>
  <c r="H150" i="3"/>
  <c r="K149" i="3"/>
  <c r="H149" i="3"/>
  <c r="K148" i="3"/>
  <c r="H148" i="3"/>
  <c r="K147" i="3"/>
  <c r="H147" i="3"/>
  <c r="K146" i="3"/>
  <c r="H146" i="3"/>
  <c r="K145" i="3"/>
  <c r="H145" i="3"/>
  <c r="K144" i="3"/>
  <c r="H144" i="3"/>
  <c r="L144" i="3" s="1"/>
  <c r="K143" i="3"/>
  <c r="H143" i="3"/>
  <c r="K142" i="3"/>
  <c r="H142" i="3"/>
  <c r="K141" i="3"/>
  <c r="H141" i="3"/>
  <c r="K140" i="3"/>
  <c r="H140" i="3"/>
  <c r="L140" i="3" s="1"/>
  <c r="K139" i="3"/>
  <c r="H139" i="3"/>
  <c r="K138" i="3"/>
  <c r="H138" i="3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30" i="3"/>
  <c r="H130" i="3"/>
  <c r="K129" i="3"/>
  <c r="H129" i="3"/>
  <c r="K128" i="3"/>
  <c r="H128" i="3"/>
  <c r="L128" i="3" s="1"/>
  <c r="K127" i="3"/>
  <c r="H127" i="3"/>
  <c r="K126" i="3"/>
  <c r="H126" i="3"/>
  <c r="K125" i="3"/>
  <c r="H125" i="3"/>
  <c r="K124" i="3"/>
  <c r="H124" i="3"/>
  <c r="L124" i="3" s="1"/>
  <c r="K123" i="3"/>
  <c r="H123" i="3"/>
  <c r="K122" i="3"/>
  <c r="H122" i="3"/>
  <c r="K121" i="3"/>
  <c r="H121" i="3"/>
  <c r="K120" i="3"/>
  <c r="H120" i="3"/>
  <c r="K119" i="3"/>
  <c r="H119" i="3"/>
  <c r="K118" i="3"/>
  <c r="H118" i="3"/>
  <c r="K117" i="3"/>
  <c r="H117" i="3"/>
  <c r="K116" i="3"/>
  <c r="H116" i="3"/>
  <c r="K115" i="3"/>
  <c r="H115" i="3"/>
  <c r="K114" i="3"/>
  <c r="H114" i="3"/>
  <c r="K113" i="3"/>
  <c r="H113" i="3"/>
  <c r="K112" i="3"/>
  <c r="H112" i="3"/>
  <c r="L112" i="3" s="1"/>
  <c r="K111" i="3"/>
  <c r="H111" i="3"/>
  <c r="K110" i="3"/>
  <c r="H110" i="3"/>
  <c r="K109" i="3"/>
  <c r="H109" i="3"/>
  <c r="K108" i="3"/>
  <c r="H108" i="3"/>
  <c r="L108" i="3" s="1"/>
  <c r="K107" i="3"/>
  <c r="H107" i="3"/>
  <c r="K106" i="3"/>
  <c r="H106" i="3"/>
  <c r="K105" i="3"/>
  <c r="H105" i="3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L96" i="3" s="1"/>
  <c r="K95" i="3"/>
  <c r="H95" i="3"/>
  <c r="K94" i="3"/>
  <c r="H94" i="3"/>
  <c r="K93" i="3"/>
  <c r="H93" i="3"/>
  <c r="K92" i="3"/>
  <c r="H92" i="3"/>
  <c r="L92" i="3" s="1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80" i="3"/>
  <c r="H80" i="3"/>
  <c r="L80" i="3" s="1"/>
  <c r="K79" i="3"/>
  <c r="H79" i="3"/>
  <c r="K78" i="3"/>
  <c r="H78" i="3"/>
  <c r="K77" i="3"/>
  <c r="H77" i="3"/>
  <c r="K76" i="3"/>
  <c r="H76" i="3"/>
  <c r="L76" i="3" s="1"/>
  <c r="K75" i="3"/>
  <c r="H75" i="3"/>
  <c r="K74" i="3"/>
  <c r="H74" i="3"/>
  <c r="K73" i="3"/>
  <c r="H73" i="3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L64" i="3" s="1"/>
  <c r="K63" i="3"/>
  <c r="H63" i="3"/>
  <c r="K62" i="3"/>
  <c r="H62" i="3"/>
  <c r="K61" i="3"/>
  <c r="H61" i="3"/>
  <c r="K60" i="3"/>
  <c r="H60" i="3"/>
  <c r="K59" i="3"/>
  <c r="H59" i="3"/>
  <c r="K58" i="3"/>
  <c r="H58" i="3"/>
  <c r="L58" i="3" s="1"/>
  <c r="K57" i="3"/>
  <c r="H57" i="3"/>
  <c r="K56" i="3"/>
  <c r="H56" i="3"/>
  <c r="K55" i="3"/>
  <c r="H55" i="3"/>
  <c r="K54" i="3"/>
  <c r="H54" i="3"/>
  <c r="K53" i="3"/>
  <c r="H53" i="3"/>
  <c r="K52" i="3"/>
  <c r="H52" i="3"/>
  <c r="L52" i="3" s="1"/>
  <c r="K51" i="3"/>
  <c r="H51" i="3"/>
  <c r="K50" i="3"/>
  <c r="H50" i="3"/>
  <c r="L50" i="3" s="1"/>
  <c r="K49" i="3"/>
  <c r="H49" i="3"/>
  <c r="K48" i="3"/>
  <c r="H48" i="3"/>
  <c r="L48" i="3" s="1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37" i="3"/>
  <c r="H37" i="3"/>
  <c r="K36" i="3"/>
  <c r="H36" i="3"/>
  <c r="L36" i="3" s="1"/>
  <c r="K35" i="3"/>
  <c r="H35" i="3"/>
  <c r="K34" i="3"/>
  <c r="H34" i="3"/>
  <c r="L34" i="3" s="1"/>
  <c r="K33" i="3"/>
  <c r="H33" i="3"/>
  <c r="K32" i="3"/>
  <c r="H32" i="3"/>
  <c r="L32" i="3" s="1"/>
  <c r="K31" i="3"/>
  <c r="H31" i="3"/>
  <c r="K30" i="3"/>
  <c r="H30" i="3"/>
  <c r="K29" i="3"/>
  <c r="H29" i="3"/>
  <c r="K28" i="3"/>
  <c r="H28" i="3"/>
  <c r="K27" i="3"/>
  <c r="H27" i="3"/>
  <c r="K26" i="3"/>
  <c r="H26" i="3"/>
  <c r="L26" i="3" s="1"/>
  <c r="K25" i="3"/>
  <c r="H25" i="3"/>
  <c r="K24" i="3"/>
  <c r="H24" i="3"/>
  <c r="K23" i="3"/>
  <c r="H23" i="3"/>
  <c r="K22" i="3"/>
  <c r="H22" i="3"/>
  <c r="K21" i="3"/>
  <c r="H21" i="3"/>
  <c r="E21" i="3"/>
  <c r="E31" i="3" s="1"/>
  <c r="E41" i="3" s="1"/>
  <c r="E51" i="3" s="1"/>
  <c r="E61" i="3" s="1"/>
  <c r="E71" i="3" s="1"/>
  <c r="E81" i="3" s="1"/>
  <c r="E91" i="3" s="1"/>
  <c r="E101" i="3" s="1"/>
  <c r="E111" i="3" s="1"/>
  <c r="E121" i="3" s="1"/>
  <c r="E131" i="3" s="1"/>
  <c r="E141" i="3" s="1"/>
  <c r="E151" i="3" s="1"/>
  <c r="E161" i="3" s="1"/>
  <c r="E171" i="3" s="1"/>
  <c r="E181" i="3" s="1"/>
  <c r="E191" i="3" s="1"/>
  <c r="E201" i="3" s="1"/>
  <c r="E211" i="3" s="1"/>
  <c r="E221" i="3" s="1"/>
  <c r="E231" i="3" s="1"/>
  <c r="E241" i="3" s="1"/>
  <c r="E251" i="3" s="1"/>
  <c r="E261" i="3" s="1"/>
  <c r="E271" i="3" s="1"/>
  <c r="E281" i="3" s="1"/>
  <c r="E291" i="3" s="1"/>
  <c r="E301" i="3" s="1"/>
  <c r="E311" i="3" s="1"/>
  <c r="E321" i="3" s="1"/>
  <c r="E331" i="3" s="1"/>
  <c r="E341" i="3" s="1"/>
  <c r="E351" i="3" s="1"/>
  <c r="E361" i="3" s="1"/>
  <c r="E371" i="3" s="1"/>
  <c r="E381" i="3" s="1"/>
  <c r="E391" i="3" s="1"/>
  <c r="C21" i="3"/>
  <c r="C31" i="3" s="1"/>
  <c r="C41" i="3" s="1"/>
  <c r="C51" i="3" s="1"/>
  <c r="C61" i="3" s="1"/>
  <c r="C71" i="3" s="1"/>
  <c r="C81" i="3" s="1"/>
  <c r="C91" i="3" s="1"/>
  <c r="C101" i="3" s="1"/>
  <c r="C111" i="3" s="1"/>
  <c r="C121" i="3" s="1"/>
  <c r="C131" i="3" s="1"/>
  <c r="C141" i="3" s="1"/>
  <c r="C151" i="3" s="1"/>
  <c r="C161" i="3" s="1"/>
  <c r="C171" i="3" s="1"/>
  <c r="C181" i="3" s="1"/>
  <c r="C191" i="3" s="1"/>
  <c r="C201" i="3" s="1"/>
  <c r="C211" i="3" s="1"/>
  <c r="C221" i="3" s="1"/>
  <c r="C231" i="3" s="1"/>
  <c r="C241" i="3" s="1"/>
  <c r="C251" i="3" s="1"/>
  <c r="C261" i="3" s="1"/>
  <c r="C271" i="3" s="1"/>
  <c r="C281" i="3" s="1"/>
  <c r="C291" i="3" s="1"/>
  <c r="C301" i="3" s="1"/>
  <c r="C311" i="3" s="1"/>
  <c r="C321" i="3" s="1"/>
  <c r="C331" i="3" s="1"/>
  <c r="C341" i="3" s="1"/>
  <c r="C351" i="3" s="1"/>
  <c r="C361" i="3" s="1"/>
  <c r="C371" i="3" s="1"/>
  <c r="C381" i="3" s="1"/>
  <c r="C391" i="3" s="1"/>
  <c r="K20" i="3"/>
  <c r="H20" i="3"/>
  <c r="L20" i="3" s="1"/>
  <c r="E20" i="3"/>
  <c r="E30" i="3" s="1"/>
  <c r="E40" i="3" s="1"/>
  <c r="E50" i="3" s="1"/>
  <c r="E60" i="3" s="1"/>
  <c r="E70" i="3" s="1"/>
  <c r="E80" i="3" s="1"/>
  <c r="E90" i="3" s="1"/>
  <c r="E100" i="3" s="1"/>
  <c r="E110" i="3" s="1"/>
  <c r="E120" i="3" s="1"/>
  <c r="E130" i="3" s="1"/>
  <c r="E140" i="3" s="1"/>
  <c r="E150" i="3" s="1"/>
  <c r="E160" i="3" s="1"/>
  <c r="E170" i="3" s="1"/>
  <c r="E180" i="3" s="1"/>
  <c r="E190" i="3" s="1"/>
  <c r="E200" i="3" s="1"/>
  <c r="E210" i="3" s="1"/>
  <c r="E220" i="3" s="1"/>
  <c r="E230" i="3" s="1"/>
  <c r="E240" i="3" s="1"/>
  <c r="E250" i="3" s="1"/>
  <c r="E260" i="3" s="1"/>
  <c r="E270" i="3" s="1"/>
  <c r="E280" i="3" s="1"/>
  <c r="E290" i="3" s="1"/>
  <c r="E300" i="3" s="1"/>
  <c r="E310" i="3" s="1"/>
  <c r="E320" i="3" s="1"/>
  <c r="E330" i="3" s="1"/>
  <c r="E340" i="3" s="1"/>
  <c r="E350" i="3" s="1"/>
  <c r="E360" i="3" s="1"/>
  <c r="E370" i="3" s="1"/>
  <c r="E380" i="3" s="1"/>
  <c r="E390" i="3" s="1"/>
  <c r="E400" i="3" s="1"/>
  <c r="C20" i="3"/>
  <c r="C30" i="3" s="1"/>
  <c r="C40" i="3" s="1"/>
  <c r="C50" i="3" s="1"/>
  <c r="C60" i="3" s="1"/>
  <c r="C70" i="3" s="1"/>
  <c r="C80" i="3" s="1"/>
  <c r="C90" i="3" s="1"/>
  <c r="C100" i="3" s="1"/>
  <c r="C110" i="3" s="1"/>
  <c r="C120" i="3" s="1"/>
  <c r="C130" i="3" s="1"/>
  <c r="C140" i="3" s="1"/>
  <c r="C150" i="3" s="1"/>
  <c r="C160" i="3" s="1"/>
  <c r="C170" i="3" s="1"/>
  <c r="C180" i="3" s="1"/>
  <c r="C190" i="3" s="1"/>
  <c r="C200" i="3" s="1"/>
  <c r="C210" i="3" s="1"/>
  <c r="C220" i="3" s="1"/>
  <c r="C230" i="3" s="1"/>
  <c r="C240" i="3" s="1"/>
  <c r="C250" i="3" s="1"/>
  <c r="C260" i="3" s="1"/>
  <c r="C270" i="3" s="1"/>
  <c r="C280" i="3" s="1"/>
  <c r="C290" i="3" s="1"/>
  <c r="C300" i="3" s="1"/>
  <c r="C310" i="3" s="1"/>
  <c r="C320" i="3" s="1"/>
  <c r="C330" i="3" s="1"/>
  <c r="C340" i="3" s="1"/>
  <c r="C350" i="3" s="1"/>
  <c r="C360" i="3" s="1"/>
  <c r="C370" i="3" s="1"/>
  <c r="C380" i="3" s="1"/>
  <c r="C390" i="3" s="1"/>
  <c r="C400" i="3" s="1"/>
  <c r="K19" i="3"/>
  <c r="H19" i="3"/>
  <c r="E19" i="3"/>
  <c r="E29" i="3" s="1"/>
  <c r="E39" i="3" s="1"/>
  <c r="E49" i="3" s="1"/>
  <c r="E59" i="3" s="1"/>
  <c r="E69" i="3" s="1"/>
  <c r="E79" i="3" s="1"/>
  <c r="E89" i="3" s="1"/>
  <c r="E99" i="3" s="1"/>
  <c r="E109" i="3" s="1"/>
  <c r="E119" i="3" s="1"/>
  <c r="E129" i="3" s="1"/>
  <c r="E139" i="3" s="1"/>
  <c r="E149" i="3" s="1"/>
  <c r="E159" i="3" s="1"/>
  <c r="E169" i="3" s="1"/>
  <c r="E179" i="3" s="1"/>
  <c r="E189" i="3" s="1"/>
  <c r="E199" i="3" s="1"/>
  <c r="E209" i="3" s="1"/>
  <c r="E219" i="3" s="1"/>
  <c r="E229" i="3" s="1"/>
  <c r="E239" i="3" s="1"/>
  <c r="E249" i="3" s="1"/>
  <c r="E259" i="3" s="1"/>
  <c r="E269" i="3" s="1"/>
  <c r="E279" i="3" s="1"/>
  <c r="E289" i="3" s="1"/>
  <c r="E299" i="3" s="1"/>
  <c r="E309" i="3" s="1"/>
  <c r="E319" i="3" s="1"/>
  <c r="E329" i="3" s="1"/>
  <c r="E339" i="3" s="1"/>
  <c r="E349" i="3" s="1"/>
  <c r="E359" i="3" s="1"/>
  <c r="E369" i="3" s="1"/>
  <c r="E379" i="3" s="1"/>
  <c r="E389" i="3" s="1"/>
  <c r="E399" i="3" s="1"/>
  <c r="C19" i="3"/>
  <c r="C29" i="3" s="1"/>
  <c r="C39" i="3" s="1"/>
  <c r="C49" i="3" s="1"/>
  <c r="C59" i="3" s="1"/>
  <c r="C69" i="3" s="1"/>
  <c r="C79" i="3" s="1"/>
  <c r="C89" i="3" s="1"/>
  <c r="C99" i="3" s="1"/>
  <c r="C109" i="3" s="1"/>
  <c r="C119" i="3" s="1"/>
  <c r="C129" i="3" s="1"/>
  <c r="C139" i="3" s="1"/>
  <c r="C149" i="3" s="1"/>
  <c r="C159" i="3" s="1"/>
  <c r="C169" i="3" s="1"/>
  <c r="C179" i="3" s="1"/>
  <c r="C189" i="3" s="1"/>
  <c r="C199" i="3" s="1"/>
  <c r="C209" i="3" s="1"/>
  <c r="C219" i="3" s="1"/>
  <c r="C229" i="3" s="1"/>
  <c r="C239" i="3" s="1"/>
  <c r="C249" i="3" s="1"/>
  <c r="C259" i="3" s="1"/>
  <c r="C269" i="3" s="1"/>
  <c r="C279" i="3" s="1"/>
  <c r="C289" i="3" s="1"/>
  <c r="C299" i="3" s="1"/>
  <c r="C309" i="3" s="1"/>
  <c r="C319" i="3" s="1"/>
  <c r="C329" i="3" s="1"/>
  <c r="C339" i="3" s="1"/>
  <c r="C349" i="3" s="1"/>
  <c r="C359" i="3" s="1"/>
  <c r="C369" i="3" s="1"/>
  <c r="C379" i="3" s="1"/>
  <c r="C389" i="3" s="1"/>
  <c r="C399" i="3" s="1"/>
  <c r="K18" i="3"/>
  <c r="H18" i="3"/>
  <c r="E18" i="3"/>
  <c r="E28" i="3" s="1"/>
  <c r="E38" i="3" s="1"/>
  <c r="E48" i="3" s="1"/>
  <c r="E58" i="3" s="1"/>
  <c r="E68" i="3" s="1"/>
  <c r="E78" i="3" s="1"/>
  <c r="E88" i="3" s="1"/>
  <c r="E98" i="3" s="1"/>
  <c r="E108" i="3" s="1"/>
  <c r="E118" i="3" s="1"/>
  <c r="E128" i="3" s="1"/>
  <c r="E138" i="3" s="1"/>
  <c r="E148" i="3" s="1"/>
  <c r="E158" i="3" s="1"/>
  <c r="E168" i="3" s="1"/>
  <c r="E178" i="3" s="1"/>
  <c r="E188" i="3" s="1"/>
  <c r="E198" i="3" s="1"/>
  <c r="E208" i="3" s="1"/>
  <c r="E218" i="3" s="1"/>
  <c r="E228" i="3" s="1"/>
  <c r="E238" i="3" s="1"/>
  <c r="E248" i="3" s="1"/>
  <c r="E258" i="3" s="1"/>
  <c r="E268" i="3" s="1"/>
  <c r="E278" i="3" s="1"/>
  <c r="E288" i="3" s="1"/>
  <c r="E298" i="3" s="1"/>
  <c r="E308" i="3" s="1"/>
  <c r="E318" i="3" s="1"/>
  <c r="E328" i="3" s="1"/>
  <c r="E338" i="3" s="1"/>
  <c r="E348" i="3" s="1"/>
  <c r="E358" i="3" s="1"/>
  <c r="E368" i="3" s="1"/>
  <c r="E378" i="3" s="1"/>
  <c r="E388" i="3" s="1"/>
  <c r="E398" i="3" s="1"/>
  <c r="C18" i="3"/>
  <c r="C28" i="3" s="1"/>
  <c r="C38" i="3" s="1"/>
  <c r="C48" i="3" s="1"/>
  <c r="C58" i="3" s="1"/>
  <c r="C68" i="3" s="1"/>
  <c r="C78" i="3" s="1"/>
  <c r="C88" i="3" s="1"/>
  <c r="C98" i="3" s="1"/>
  <c r="C108" i="3" s="1"/>
  <c r="C118" i="3" s="1"/>
  <c r="C128" i="3" s="1"/>
  <c r="C138" i="3" s="1"/>
  <c r="C148" i="3" s="1"/>
  <c r="C158" i="3" s="1"/>
  <c r="C168" i="3" s="1"/>
  <c r="C178" i="3" s="1"/>
  <c r="C188" i="3" s="1"/>
  <c r="C198" i="3" s="1"/>
  <c r="C208" i="3" s="1"/>
  <c r="C218" i="3" s="1"/>
  <c r="C228" i="3" s="1"/>
  <c r="C238" i="3" s="1"/>
  <c r="C248" i="3" s="1"/>
  <c r="C258" i="3" s="1"/>
  <c r="C268" i="3" s="1"/>
  <c r="C278" i="3" s="1"/>
  <c r="C288" i="3" s="1"/>
  <c r="C298" i="3" s="1"/>
  <c r="C308" i="3" s="1"/>
  <c r="C318" i="3" s="1"/>
  <c r="C328" i="3" s="1"/>
  <c r="C338" i="3" s="1"/>
  <c r="C348" i="3" s="1"/>
  <c r="C358" i="3" s="1"/>
  <c r="C368" i="3" s="1"/>
  <c r="C378" i="3" s="1"/>
  <c r="C388" i="3" s="1"/>
  <c r="C398" i="3" s="1"/>
  <c r="K17" i="3"/>
  <c r="H17" i="3"/>
  <c r="E17" i="3"/>
  <c r="E27" i="3" s="1"/>
  <c r="E37" i="3" s="1"/>
  <c r="E47" i="3" s="1"/>
  <c r="E57" i="3" s="1"/>
  <c r="E67" i="3" s="1"/>
  <c r="E77" i="3" s="1"/>
  <c r="E87" i="3" s="1"/>
  <c r="E97" i="3" s="1"/>
  <c r="E107" i="3" s="1"/>
  <c r="E117" i="3" s="1"/>
  <c r="E127" i="3" s="1"/>
  <c r="E137" i="3" s="1"/>
  <c r="E147" i="3" s="1"/>
  <c r="E157" i="3" s="1"/>
  <c r="E167" i="3" s="1"/>
  <c r="E177" i="3" s="1"/>
  <c r="E187" i="3" s="1"/>
  <c r="E197" i="3" s="1"/>
  <c r="E207" i="3" s="1"/>
  <c r="E217" i="3" s="1"/>
  <c r="E227" i="3" s="1"/>
  <c r="E237" i="3" s="1"/>
  <c r="E247" i="3" s="1"/>
  <c r="E257" i="3" s="1"/>
  <c r="E267" i="3" s="1"/>
  <c r="E277" i="3" s="1"/>
  <c r="E287" i="3" s="1"/>
  <c r="E297" i="3" s="1"/>
  <c r="E307" i="3" s="1"/>
  <c r="E317" i="3" s="1"/>
  <c r="E327" i="3" s="1"/>
  <c r="E337" i="3" s="1"/>
  <c r="E347" i="3" s="1"/>
  <c r="E357" i="3" s="1"/>
  <c r="E367" i="3" s="1"/>
  <c r="E377" i="3" s="1"/>
  <c r="E387" i="3" s="1"/>
  <c r="E397" i="3" s="1"/>
  <c r="C17" i="3"/>
  <c r="C27" i="3" s="1"/>
  <c r="C37" i="3" s="1"/>
  <c r="C47" i="3" s="1"/>
  <c r="C57" i="3" s="1"/>
  <c r="C67" i="3" s="1"/>
  <c r="C77" i="3" s="1"/>
  <c r="C87" i="3" s="1"/>
  <c r="C97" i="3" s="1"/>
  <c r="C107" i="3" s="1"/>
  <c r="C117" i="3" s="1"/>
  <c r="C127" i="3" s="1"/>
  <c r="C137" i="3" s="1"/>
  <c r="C147" i="3" s="1"/>
  <c r="C157" i="3" s="1"/>
  <c r="C167" i="3" s="1"/>
  <c r="C177" i="3" s="1"/>
  <c r="C187" i="3" s="1"/>
  <c r="C197" i="3" s="1"/>
  <c r="C207" i="3" s="1"/>
  <c r="C217" i="3" s="1"/>
  <c r="C227" i="3" s="1"/>
  <c r="C237" i="3" s="1"/>
  <c r="C247" i="3" s="1"/>
  <c r="C257" i="3" s="1"/>
  <c r="C267" i="3" s="1"/>
  <c r="C277" i="3" s="1"/>
  <c r="C287" i="3" s="1"/>
  <c r="C297" i="3" s="1"/>
  <c r="C307" i="3" s="1"/>
  <c r="C317" i="3" s="1"/>
  <c r="C327" i="3" s="1"/>
  <c r="C337" i="3" s="1"/>
  <c r="C347" i="3" s="1"/>
  <c r="C357" i="3" s="1"/>
  <c r="C367" i="3" s="1"/>
  <c r="C377" i="3" s="1"/>
  <c r="C387" i="3" s="1"/>
  <c r="C397" i="3" s="1"/>
  <c r="K16" i="3"/>
  <c r="H16" i="3"/>
  <c r="E16" i="3"/>
  <c r="E26" i="3" s="1"/>
  <c r="E36" i="3" s="1"/>
  <c r="E46" i="3" s="1"/>
  <c r="E56" i="3" s="1"/>
  <c r="E66" i="3" s="1"/>
  <c r="E76" i="3" s="1"/>
  <c r="E86" i="3" s="1"/>
  <c r="E96" i="3" s="1"/>
  <c r="E106" i="3" s="1"/>
  <c r="E116" i="3" s="1"/>
  <c r="E126" i="3" s="1"/>
  <c r="E136" i="3" s="1"/>
  <c r="E146" i="3" s="1"/>
  <c r="E156" i="3" s="1"/>
  <c r="E166" i="3" s="1"/>
  <c r="E176" i="3" s="1"/>
  <c r="E186" i="3" s="1"/>
  <c r="E196" i="3" s="1"/>
  <c r="E206" i="3" s="1"/>
  <c r="E216" i="3" s="1"/>
  <c r="E226" i="3" s="1"/>
  <c r="E236" i="3" s="1"/>
  <c r="E246" i="3" s="1"/>
  <c r="E256" i="3" s="1"/>
  <c r="E266" i="3" s="1"/>
  <c r="E276" i="3" s="1"/>
  <c r="E286" i="3" s="1"/>
  <c r="E296" i="3" s="1"/>
  <c r="E306" i="3" s="1"/>
  <c r="E316" i="3" s="1"/>
  <c r="E326" i="3" s="1"/>
  <c r="E336" i="3" s="1"/>
  <c r="E346" i="3" s="1"/>
  <c r="E356" i="3" s="1"/>
  <c r="E366" i="3" s="1"/>
  <c r="E376" i="3" s="1"/>
  <c r="E386" i="3" s="1"/>
  <c r="E396" i="3" s="1"/>
  <c r="C16" i="3"/>
  <c r="C26" i="3" s="1"/>
  <c r="C36" i="3" s="1"/>
  <c r="C46" i="3" s="1"/>
  <c r="C56" i="3" s="1"/>
  <c r="C66" i="3" s="1"/>
  <c r="C76" i="3" s="1"/>
  <c r="C86" i="3" s="1"/>
  <c r="C96" i="3" s="1"/>
  <c r="C106" i="3" s="1"/>
  <c r="C116" i="3" s="1"/>
  <c r="C126" i="3" s="1"/>
  <c r="C136" i="3" s="1"/>
  <c r="C146" i="3" s="1"/>
  <c r="C156" i="3" s="1"/>
  <c r="C166" i="3" s="1"/>
  <c r="C176" i="3" s="1"/>
  <c r="C186" i="3" s="1"/>
  <c r="C196" i="3" s="1"/>
  <c r="C206" i="3" s="1"/>
  <c r="C216" i="3" s="1"/>
  <c r="C226" i="3" s="1"/>
  <c r="C236" i="3" s="1"/>
  <c r="C246" i="3" s="1"/>
  <c r="C256" i="3" s="1"/>
  <c r="C266" i="3" s="1"/>
  <c r="C276" i="3" s="1"/>
  <c r="C286" i="3" s="1"/>
  <c r="C296" i="3" s="1"/>
  <c r="C306" i="3" s="1"/>
  <c r="C316" i="3" s="1"/>
  <c r="C326" i="3" s="1"/>
  <c r="C336" i="3" s="1"/>
  <c r="C346" i="3" s="1"/>
  <c r="C356" i="3" s="1"/>
  <c r="C366" i="3" s="1"/>
  <c r="C376" i="3" s="1"/>
  <c r="C386" i="3" s="1"/>
  <c r="C396" i="3" s="1"/>
  <c r="K15" i="3"/>
  <c r="H15" i="3"/>
  <c r="E15" i="3"/>
  <c r="E25" i="3" s="1"/>
  <c r="E35" i="3" s="1"/>
  <c r="E45" i="3" s="1"/>
  <c r="E55" i="3" s="1"/>
  <c r="E65" i="3" s="1"/>
  <c r="E75" i="3" s="1"/>
  <c r="E85" i="3" s="1"/>
  <c r="E95" i="3" s="1"/>
  <c r="E105" i="3" s="1"/>
  <c r="E115" i="3" s="1"/>
  <c r="E125" i="3" s="1"/>
  <c r="E135" i="3" s="1"/>
  <c r="E145" i="3" s="1"/>
  <c r="E155" i="3" s="1"/>
  <c r="E165" i="3" s="1"/>
  <c r="E175" i="3" s="1"/>
  <c r="E185" i="3" s="1"/>
  <c r="E195" i="3" s="1"/>
  <c r="E205" i="3" s="1"/>
  <c r="E215" i="3" s="1"/>
  <c r="E225" i="3" s="1"/>
  <c r="E235" i="3" s="1"/>
  <c r="E245" i="3" s="1"/>
  <c r="E255" i="3" s="1"/>
  <c r="E265" i="3" s="1"/>
  <c r="E275" i="3" s="1"/>
  <c r="E285" i="3" s="1"/>
  <c r="E295" i="3" s="1"/>
  <c r="E305" i="3" s="1"/>
  <c r="E315" i="3" s="1"/>
  <c r="E325" i="3" s="1"/>
  <c r="E335" i="3" s="1"/>
  <c r="E345" i="3" s="1"/>
  <c r="E355" i="3" s="1"/>
  <c r="E365" i="3" s="1"/>
  <c r="E375" i="3" s="1"/>
  <c r="E385" i="3" s="1"/>
  <c r="E395" i="3" s="1"/>
  <c r="C15" i="3"/>
  <c r="C25" i="3" s="1"/>
  <c r="C35" i="3" s="1"/>
  <c r="C45" i="3" s="1"/>
  <c r="C55" i="3" s="1"/>
  <c r="C65" i="3" s="1"/>
  <c r="C75" i="3" s="1"/>
  <c r="C85" i="3" s="1"/>
  <c r="C95" i="3" s="1"/>
  <c r="C105" i="3" s="1"/>
  <c r="C115" i="3" s="1"/>
  <c r="C125" i="3" s="1"/>
  <c r="C135" i="3" s="1"/>
  <c r="C145" i="3" s="1"/>
  <c r="C155" i="3" s="1"/>
  <c r="C165" i="3" s="1"/>
  <c r="C175" i="3" s="1"/>
  <c r="C185" i="3" s="1"/>
  <c r="C195" i="3" s="1"/>
  <c r="C205" i="3" s="1"/>
  <c r="C215" i="3" s="1"/>
  <c r="C225" i="3" s="1"/>
  <c r="C235" i="3" s="1"/>
  <c r="C245" i="3" s="1"/>
  <c r="C255" i="3" s="1"/>
  <c r="C265" i="3" s="1"/>
  <c r="C275" i="3" s="1"/>
  <c r="C285" i="3" s="1"/>
  <c r="C295" i="3" s="1"/>
  <c r="C305" i="3" s="1"/>
  <c r="C315" i="3" s="1"/>
  <c r="C325" i="3" s="1"/>
  <c r="C335" i="3" s="1"/>
  <c r="C345" i="3" s="1"/>
  <c r="C355" i="3" s="1"/>
  <c r="C365" i="3" s="1"/>
  <c r="C375" i="3" s="1"/>
  <c r="C385" i="3" s="1"/>
  <c r="C395" i="3" s="1"/>
  <c r="K14" i="3"/>
  <c r="H14" i="3"/>
  <c r="L14" i="3" s="1"/>
  <c r="E14" i="3"/>
  <c r="E24" i="3" s="1"/>
  <c r="E34" i="3" s="1"/>
  <c r="E44" i="3" s="1"/>
  <c r="E54" i="3" s="1"/>
  <c r="E64" i="3" s="1"/>
  <c r="E74" i="3" s="1"/>
  <c r="E84" i="3" s="1"/>
  <c r="E94" i="3" s="1"/>
  <c r="E104" i="3" s="1"/>
  <c r="E114" i="3" s="1"/>
  <c r="E124" i="3" s="1"/>
  <c r="E134" i="3" s="1"/>
  <c r="E144" i="3" s="1"/>
  <c r="E154" i="3" s="1"/>
  <c r="E164" i="3" s="1"/>
  <c r="E174" i="3" s="1"/>
  <c r="E184" i="3" s="1"/>
  <c r="E194" i="3" s="1"/>
  <c r="E204" i="3" s="1"/>
  <c r="E214" i="3" s="1"/>
  <c r="E224" i="3" s="1"/>
  <c r="E234" i="3" s="1"/>
  <c r="E244" i="3" s="1"/>
  <c r="E254" i="3" s="1"/>
  <c r="E264" i="3" s="1"/>
  <c r="E274" i="3" s="1"/>
  <c r="E284" i="3" s="1"/>
  <c r="E294" i="3" s="1"/>
  <c r="E304" i="3" s="1"/>
  <c r="E314" i="3" s="1"/>
  <c r="E324" i="3" s="1"/>
  <c r="E334" i="3" s="1"/>
  <c r="E344" i="3" s="1"/>
  <c r="E354" i="3" s="1"/>
  <c r="E364" i="3" s="1"/>
  <c r="E374" i="3" s="1"/>
  <c r="E384" i="3" s="1"/>
  <c r="E394" i="3" s="1"/>
  <c r="C14" i="3"/>
  <c r="C24" i="3" s="1"/>
  <c r="C34" i="3" s="1"/>
  <c r="C44" i="3" s="1"/>
  <c r="C54" i="3" s="1"/>
  <c r="C64" i="3" s="1"/>
  <c r="C74" i="3" s="1"/>
  <c r="C84" i="3" s="1"/>
  <c r="C94" i="3" s="1"/>
  <c r="C104" i="3" s="1"/>
  <c r="C114" i="3" s="1"/>
  <c r="C124" i="3" s="1"/>
  <c r="C134" i="3" s="1"/>
  <c r="C144" i="3" s="1"/>
  <c r="C154" i="3" s="1"/>
  <c r="C164" i="3" s="1"/>
  <c r="C174" i="3" s="1"/>
  <c r="C184" i="3" s="1"/>
  <c r="C194" i="3" s="1"/>
  <c r="C204" i="3" s="1"/>
  <c r="C214" i="3" s="1"/>
  <c r="C224" i="3" s="1"/>
  <c r="C234" i="3" s="1"/>
  <c r="C244" i="3" s="1"/>
  <c r="C254" i="3" s="1"/>
  <c r="C264" i="3" s="1"/>
  <c r="C274" i="3" s="1"/>
  <c r="C284" i="3" s="1"/>
  <c r="C294" i="3" s="1"/>
  <c r="C304" i="3" s="1"/>
  <c r="C314" i="3" s="1"/>
  <c r="C324" i="3" s="1"/>
  <c r="C334" i="3" s="1"/>
  <c r="C344" i="3" s="1"/>
  <c r="C354" i="3" s="1"/>
  <c r="C364" i="3" s="1"/>
  <c r="C374" i="3" s="1"/>
  <c r="C384" i="3" s="1"/>
  <c r="C394" i="3" s="1"/>
  <c r="K13" i="3"/>
  <c r="H13" i="3"/>
  <c r="E13" i="3"/>
  <c r="E23" i="3" s="1"/>
  <c r="E33" i="3" s="1"/>
  <c r="E43" i="3" s="1"/>
  <c r="E53" i="3" s="1"/>
  <c r="E63" i="3" s="1"/>
  <c r="E73" i="3" s="1"/>
  <c r="E83" i="3" s="1"/>
  <c r="E93" i="3" s="1"/>
  <c r="E103" i="3" s="1"/>
  <c r="E113" i="3" s="1"/>
  <c r="E123" i="3" s="1"/>
  <c r="E133" i="3" s="1"/>
  <c r="E143" i="3" s="1"/>
  <c r="E153" i="3" s="1"/>
  <c r="E163" i="3" s="1"/>
  <c r="E173" i="3" s="1"/>
  <c r="E183" i="3" s="1"/>
  <c r="E193" i="3" s="1"/>
  <c r="E203" i="3" s="1"/>
  <c r="E213" i="3" s="1"/>
  <c r="E223" i="3" s="1"/>
  <c r="E233" i="3" s="1"/>
  <c r="E243" i="3" s="1"/>
  <c r="E253" i="3" s="1"/>
  <c r="E263" i="3" s="1"/>
  <c r="E273" i="3" s="1"/>
  <c r="E283" i="3" s="1"/>
  <c r="E293" i="3" s="1"/>
  <c r="E303" i="3" s="1"/>
  <c r="E313" i="3" s="1"/>
  <c r="E323" i="3" s="1"/>
  <c r="E333" i="3" s="1"/>
  <c r="E343" i="3" s="1"/>
  <c r="E353" i="3" s="1"/>
  <c r="E363" i="3" s="1"/>
  <c r="E373" i="3" s="1"/>
  <c r="E383" i="3" s="1"/>
  <c r="E393" i="3" s="1"/>
  <c r="C13" i="3"/>
  <c r="C23" i="3" s="1"/>
  <c r="C33" i="3" s="1"/>
  <c r="C43" i="3" s="1"/>
  <c r="C53" i="3" s="1"/>
  <c r="C63" i="3" s="1"/>
  <c r="C73" i="3" s="1"/>
  <c r="C83" i="3" s="1"/>
  <c r="C93" i="3" s="1"/>
  <c r="C103" i="3" s="1"/>
  <c r="C113" i="3" s="1"/>
  <c r="C123" i="3" s="1"/>
  <c r="C133" i="3" s="1"/>
  <c r="C143" i="3" s="1"/>
  <c r="C153" i="3" s="1"/>
  <c r="C163" i="3" s="1"/>
  <c r="C173" i="3" s="1"/>
  <c r="C183" i="3" s="1"/>
  <c r="C193" i="3" s="1"/>
  <c r="C203" i="3" s="1"/>
  <c r="C213" i="3" s="1"/>
  <c r="C223" i="3" s="1"/>
  <c r="C233" i="3" s="1"/>
  <c r="C243" i="3" s="1"/>
  <c r="C253" i="3" s="1"/>
  <c r="C263" i="3" s="1"/>
  <c r="C273" i="3" s="1"/>
  <c r="C283" i="3" s="1"/>
  <c r="C293" i="3" s="1"/>
  <c r="C303" i="3" s="1"/>
  <c r="C313" i="3" s="1"/>
  <c r="C323" i="3" s="1"/>
  <c r="C333" i="3" s="1"/>
  <c r="C343" i="3" s="1"/>
  <c r="C353" i="3" s="1"/>
  <c r="C363" i="3" s="1"/>
  <c r="C373" i="3" s="1"/>
  <c r="C383" i="3" s="1"/>
  <c r="C393" i="3" s="1"/>
  <c r="K12" i="3"/>
  <c r="H12" i="3"/>
  <c r="L12" i="3" s="1"/>
  <c r="E12" i="3"/>
  <c r="E22" i="3" s="1"/>
  <c r="E32" i="3" s="1"/>
  <c r="E42" i="3" s="1"/>
  <c r="E52" i="3" s="1"/>
  <c r="E62" i="3" s="1"/>
  <c r="E72" i="3" s="1"/>
  <c r="E82" i="3" s="1"/>
  <c r="E92" i="3" s="1"/>
  <c r="E102" i="3" s="1"/>
  <c r="E112" i="3" s="1"/>
  <c r="E122" i="3" s="1"/>
  <c r="E132" i="3" s="1"/>
  <c r="E142" i="3" s="1"/>
  <c r="E152" i="3" s="1"/>
  <c r="E162" i="3" s="1"/>
  <c r="E172" i="3" s="1"/>
  <c r="E182" i="3" s="1"/>
  <c r="E192" i="3" s="1"/>
  <c r="E202" i="3" s="1"/>
  <c r="E212" i="3" s="1"/>
  <c r="E222" i="3" s="1"/>
  <c r="E232" i="3" s="1"/>
  <c r="E242" i="3" s="1"/>
  <c r="E252" i="3" s="1"/>
  <c r="E262" i="3" s="1"/>
  <c r="E272" i="3" s="1"/>
  <c r="E282" i="3" s="1"/>
  <c r="E292" i="3" s="1"/>
  <c r="E302" i="3" s="1"/>
  <c r="E312" i="3" s="1"/>
  <c r="E322" i="3" s="1"/>
  <c r="E332" i="3" s="1"/>
  <c r="E342" i="3" s="1"/>
  <c r="E352" i="3" s="1"/>
  <c r="E362" i="3" s="1"/>
  <c r="E372" i="3" s="1"/>
  <c r="E382" i="3" s="1"/>
  <c r="E392" i="3" s="1"/>
  <c r="C12" i="3"/>
  <c r="C22" i="3" s="1"/>
  <c r="C32" i="3" s="1"/>
  <c r="C42" i="3" s="1"/>
  <c r="C52" i="3" s="1"/>
  <c r="C62" i="3" s="1"/>
  <c r="C72" i="3" s="1"/>
  <c r="C82" i="3" s="1"/>
  <c r="C92" i="3" s="1"/>
  <c r="C102" i="3" s="1"/>
  <c r="C112" i="3" s="1"/>
  <c r="C122" i="3" s="1"/>
  <c r="C132" i="3" s="1"/>
  <c r="C142" i="3" s="1"/>
  <c r="C152" i="3" s="1"/>
  <c r="C162" i="3" s="1"/>
  <c r="C172" i="3" s="1"/>
  <c r="C182" i="3" s="1"/>
  <c r="C192" i="3" s="1"/>
  <c r="C202" i="3" s="1"/>
  <c r="C212" i="3" s="1"/>
  <c r="C222" i="3" s="1"/>
  <c r="C232" i="3" s="1"/>
  <c r="C242" i="3" s="1"/>
  <c r="C252" i="3" s="1"/>
  <c r="C262" i="3" s="1"/>
  <c r="C272" i="3" s="1"/>
  <c r="C282" i="3" s="1"/>
  <c r="C292" i="3" s="1"/>
  <c r="C302" i="3" s="1"/>
  <c r="C312" i="3" s="1"/>
  <c r="C322" i="3" s="1"/>
  <c r="C332" i="3" s="1"/>
  <c r="C342" i="3" s="1"/>
  <c r="C352" i="3" s="1"/>
  <c r="C362" i="3" s="1"/>
  <c r="C372" i="3" s="1"/>
  <c r="C382" i="3" s="1"/>
  <c r="C392" i="3" s="1"/>
  <c r="K11" i="3"/>
  <c r="H11" i="3"/>
  <c r="K10" i="3"/>
  <c r="H10" i="3"/>
  <c r="L10" i="3" s="1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281" i="4"/>
  <c r="L281" i="4" s="1"/>
  <c r="I281" i="4"/>
  <c r="K280" i="4"/>
  <c r="L280" i="4" s="1"/>
  <c r="I280" i="4"/>
  <c r="K279" i="4"/>
  <c r="L279" i="4" s="1"/>
  <c r="I279" i="4"/>
  <c r="K278" i="4"/>
  <c r="L278" i="4" s="1"/>
  <c r="I278" i="4"/>
  <c r="K277" i="4"/>
  <c r="L277" i="4" s="1"/>
  <c r="I277" i="4"/>
  <c r="K276" i="4"/>
  <c r="L276" i="4" s="1"/>
  <c r="I276" i="4"/>
  <c r="K275" i="4"/>
  <c r="L275" i="4" s="1"/>
  <c r="I275" i="4"/>
  <c r="K274" i="4"/>
  <c r="L274" i="4" s="1"/>
  <c r="I274" i="4"/>
  <c r="K273" i="4"/>
  <c r="L273" i="4" s="1"/>
  <c r="I273" i="4"/>
  <c r="K272" i="4"/>
  <c r="L272" i="4" s="1"/>
  <c r="I272" i="4"/>
  <c r="K271" i="4"/>
  <c r="L271" i="4" s="1"/>
  <c r="I271" i="4"/>
  <c r="K270" i="4"/>
  <c r="L270" i="4" s="1"/>
  <c r="I270" i="4"/>
  <c r="K269" i="4"/>
  <c r="L269" i="4" s="1"/>
  <c r="I269" i="4"/>
  <c r="K268" i="4"/>
  <c r="L268" i="4" s="1"/>
  <c r="I268" i="4"/>
  <c r="K267" i="4"/>
  <c r="L267" i="4" s="1"/>
  <c r="I267" i="4"/>
  <c r="K266" i="4"/>
  <c r="L266" i="4" s="1"/>
  <c r="I266" i="4"/>
  <c r="K265" i="4"/>
  <c r="L265" i="4" s="1"/>
  <c r="I265" i="4"/>
  <c r="K264" i="4"/>
  <c r="L264" i="4" s="1"/>
  <c r="I264" i="4"/>
  <c r="K263" i="4"/>
  <c r="L263" i="4" s="1"/>
  <c r="I263" i="4"/>
  <c r="K262" i="4"/>
  <c r="L262" i="4" s="1"/>
  <c r="I262" i="4"/>
  <c r="K261" i="4"/>
  <c r="L261" i="4" s="1"/>
  <c r="I261" i="4"/>
  <c r="K260" i="4"/>
  <c r="L260" i="4" s="1"/>
  <c r="I260" i="4"/>
  <c r="K259" i="4"/>
  <c r="L259" i="4" s="1"/>
  <c r="I259" i="4"/>
  <c r="K258" i="4"/>
  <c r="L258" i="4" s="1"/>
  <c r="I258" i="4"/>
  <c r="K257" i="4"/>
  <c r="L257" i="4" s="1"/>
  <c r="I257" i="4"/>
  <c r="K256" i="4"/>
  <c r="L256" i="4" s="1"/>
  <c r="I256" i="4"/>
  <c r="K255" i="4"/>
  <c r="L255" i="4" s="1"/>
  <c r="I255" i="4"/>
  <c r="K254" i="4"/>
  <c r="L254" i="4" s="1"/>
  <c r="I254" i="4"/>
  <c r="K253" i="4"/>
  <c r="L253" i="4" s="1"/>
  <c r="I253" i="4"/>
  <c r="K252" i="4"/>
  <c r="L252" i="4" s="1"/>
  <c r="I252" i="4"/>
  <c r="K251" i="4"/>
  <c r="L251" i="4" s="1"/>
  <c r="I251" i="4"/>
  <c r="K250" i="4"/>
  <c r="L250" i="4" s="1"/>
  <c r="I250" i="4"/>
  <c r="K249" i="4"/>
  <c r="L249" i="4" s="1"/>
  <c r="I249" i="4"/>
  <c r="K248" i="4"/>
  <c r="L248" i="4" s="1"/>
  <c r="I248" i="4"/>
  <c r="K247" i="4"/>
  <c r="L247" i="4" s="1"/>
  <c r="I247" i="4"/>
  <c r="K246" i="4"/>
  <c r="L246" i="4" s="1"/>
  <c r="I246" i="4"/>
  <c r="K245" i="4"/>
  <c r="L245" i="4" s="1"/>
  <c r="I245" i="4"/>
  <c r="K244" i="4"/>
  <c r="L244" i="4" s="1"/>
  <c r="I244" i="4"/>
  <c r="K243" i="4"/>
  <c r="L243" i="4" s="1"/>
  <c r="I243" i="4"/>
  <c r="K242" i="4"/>
  <c r="L242" i="4" s="1"/>
  <c r="I242" i="4"/>
  <c r="K241" i="4"/>
  <c r="L241" i="4" s="1"/>
  <c r="I241" i="4"/>
  <c r="K240" i="4"/>
  <c r="L240" i="4" s="1"/>
  <c r="I240" i="4"/>
  <c r="K239" i="4"/>
  <c r="L239" i="4" s="1"/>
  <c r="I239" i="4"/>
  <c r="K238" i="4"/>
  <c r="L238" i="4" s="1"/>
  <c r="I238" i="4"/>
  <c r="K237" i="4"/>
  <c r="L237" i="4" s="1"/>
  <c r="I237" i="4"/>
  <c r="K236" i="4"/>
  <c r="L236" i="4" s="1"/>
  <c r="I236" i="4"/>
  <c r="K235" i="4"/>
  <c r="L235" i="4" s="1"/>
  <c r="I235" i="4"/>
  <c r="K234" i="4"/>
  <c r="L234" i="4" s="1"/>
  <c r="I234" i="4"/>
  <c r="K233" i="4"/>
  <c r="L233" i="4" s="1"/>
  <c r="I233" i="4"/>
  <c r="K232" i="4"/>
  <c r="L232" i="4" s="1"/>
  <c r="I232" i="4"/>
  <c r="K231" i="4"/>
  <c r="L231" i="4" s="1"/>
  <c r="I231" i="4"/>
  <c r="K230" i="4"/>
  <c r="L230" i="4" s="1"/>
  <c r="I230" i="4"/>
  <c r="K229" i="4"/>
  <c r="L229" i="4" s="1"/>
  <c r="I229" i="4"/>
  <c r="K228" i="4"/>
  <c r="L228" i="4" s="1"/>
  <c r="I228" i="4"/>
  <c r="K227" i="4"/>
  <c r="L227" i="4" s="1"/>
  <c r="I227" i="4"/>
  <c r="K226" i="4"/>
  <c r="L226" i="4" s="1"/>
  <c r="I226" i="4"/>
  <c r="K225" i="4"/>
  <c r="L225" i="4" s="1"/>
  <c r="I225" i="4"/>
  <c r="K224" i="4"/>
  <c r="L224" i="4" s="1"/>
  <c r="I224" i="4"/>
  <c r="K223" i="4"/>
  <c r="L223" i="4" s="1"/>
  <c r="I223" i="4"/>
  <c r="K222" i="4"/>
  <c r="L222" i="4" s="1"/>
  <c r="I222" i="4"/>
  <c r="K221" i="4"/>
  <c r="L221" i="4" s="1"/>
  <c r="I221" i="4"/>
  <c r="C221" i="4"/>
  <c r="C241" i="4" s="1"/>
  <c r="C261" i="4" s="1"/>
  <c r="C281" i="4" s="1"/>
  <c r="K220" i="4"/>
  <c r="L220" i="4" s="1"/>
  <c r="I220" i="4"/>
  <c r="C220" i="4"/>
  <c r="C240" i="4" s="1"/>
  <c r="C260" i="4" s="1"/>
  <c r="C280" i="4" s="1"/>
  <c r="K219" i="4"/>
  <c r="L219" i="4" s="1"/>
  <c r="I219" i="4"/>
  <c r="C219" i="4"/>
  <c r="C239" i="4" s="1"/>
  <c r="C259" i="4" s="1"/>
  <c r="C279" i="4" s="1"/>
  <c r="K218" i="4"/>
  <c r="L218" i="4" s="1"/>
  <c r="I218" i="4"/>
  <c r="C218" i="4"/>
  <c r="C238" i="4" s="1"/>
  <c r="C258" i="4" s="1"/>
  <c r="C278" i="4" s="1"/>
  <c r="K217" i="4"/>
  <c r="L217" i="4" s="1"/>
  <c r="I217" i="4"/>
  <c r="C217" i="4"/>
  <c r="C237" i="4" s="1"/>
  <c r="C257" i="4" s="1"/>
  <c r="C277" i="4" s="1"/>
  <c r="K216" i="4"/>
  <c r="L216" i="4" s="1"/>
  <c r="I216" i="4"/>
  <c r="C216" i="4"/>
  <c r="C236" i="4" s="1"/>
  <c r="C256" i="4" s="1"/>
  <c r="C276" i="4" s="1"/>
  <c r="K215" i="4"/>
  <c r="L215" i="4" s="1"/>
  <c r="I215" i="4"/>
  <c r="C215" i="4"/>
  <c r="C235" i="4" s="1"/>
  <c r="C255" i="4" s="1"/>
  <c r="C275" i="4" s="1"/>
  <c r="K214" i="4"/>
  <c r="L214" i="4" s="1"/>
  <c r="I214" i="4"/>
  <c r="C214" i="4"/>
  <c r="C234" i="4" s="1"/>
  <c r="C254" i="4" s="1"/>
  <c r="C274" i="4" s="1"/>
  <c r="K213" i="4"/>
  <c r="L213" i="4" s="1"/>
  <c r="I213" i="4"/>
  <c r="C213" i="4"/>
  <c r="C233" i="4" s="1"/>
  <c r="C253" i="4" s="1"/>
  <c r="C273" i="4" s="1"/>
  <c r="K212" i="4"/>
  <c r="L212" i="4" s="1"/>
  <c r="I212" i="4"/>
  <c r="C212" i="4"/>
  <c r="C232" i="4" s="1"/>
  <c r="C252" i="4" s="1"/>
  <c r="C272" i="4" s="1"/>
  <c r="K211" i="4"/>
  <c r="L211" i="4" s="1"/>
  <c r="I211" i="4"/>
  <c r="C211" i="4"/>
  <c r="C231" i="4" s="1"/>
  <c r="C251" i="4" s="1"/>
  <c r="C271" i="4" s="1"/>
  <c r="K210" i="4"/>
  <c r="L210" i="4" s="1"/>
  <c r="I210" i="4"/>
  <c r="C210" i="4"/>
  <c r="C230" i="4" s="1"/>
  <c r="C250" i="4" s="1"/>
  <c r="C270" i="4" s="1"/>
  <c r="K209" i="4"/>
  <c r="L209" i="4" s="1"/>
  <c r="I209" i="4"/>
  <c r="C209" i="4"/>
  <c r="C229" i="4" s="1"/>
  <c r="C249" i="4" s="1"/>
  <c r="C269" i="4" s="1"/>
  <c r="K208" i="4"/>
  <c r="L208" i="4" s="1"/>
  <c r="I208" i="4"/>
  <c r="C208" i="4"/>
  <c r="C228" i="4" s="1"/>
  <c r="C248" i="4" s="1"/>
  <c r="C268" i="4" s="1"/>
  <c r="K207" i="4"/>
  <c r="L207" i="4" s="1"/>
  <c r="I207" i="4"/>
  <c r="C207" i="4"/>
  <c r="C227" i="4" s="1"/>
  <c r="C247" i="4" s="1"/>
  <c r="C267" i="4" s="1"/>
  <c r="K206" i="4"/>
  <c r="L206" i="4" s="1"/>
  <c r="I206" i="4"/>
  <c r="C206" i="4"/>
  <c r="C226" i="4" s="1"/>
  <c r="C246" i="4" s="1"/>
  <c r="C266" i="4" s="1"/>
  <c r="K205" i="4"/>
  <c r="L205" i="4" s="1"/>
  <c r="I205" i="4"/>
  <c r="C205" i="4"/>
  <c r="C225" i="4" s="1"/>
  <c r="C245" i="4" s="1"/>
  <c r="C265" i="4" s="1"/>
  <c r="K204" i="4"/>
  <c r="L204" i="4" s="1"/>
  <c r="I204" i="4"/>
  <c r="C204" i="4"/>
  <c r="C224" i="4" s="1"/>
  <c r="C244" i="4" s="1"/>
  <c r="C264" i="4" s="1"/>
  <c r="K203" i="4"/>
  <c r="L203" i="4" s="1"/>
  <c r="I203" i="4"/>
  <c r="C203" i="4"/>
  <c r="C223" i="4" s="1"/>
  <c r="C243" i="4" s="1"/>
  <c r="C263" i="4" s="1"/>
  <c r="K202" i="4"/>
  <c r="L202" i="4" s="1"/>
  <c r="I202" i="4"/>
  <c r="C202" i="4"/>
  <c r="C222" i="4" s="1"/>
  <c r="C242" i="4" s="1"/>
  <c r="C262" i="4" s="1"/>
  <c r="K201" i="4"/>
  <c r="L201" i="4" s="1"/>
  <c r="I201" i="4"/>
  <c r="K200" i="4"/>
  <c r="L200" i="4" s="1"/>
  <c r="I200" i="4"/>
  <c r="K199" i="4"/>
  <c r="L199" i="4" s="1"/>
  <c r="I199" i="4"/>
  <c r="K198" i="4"/>
  <c r="L198" i="4" s="1"/>
  <c r="I198" i="4"/>
  <c r="K197" i="4"/>
  <c r="L197" i="4" s="1"/>
  <c r="I197" i="4"/>
  <c r="K196" i="4"/>
  <c r="L196" i="4" s="1"/>
  <c r="I196" i="4"/>
  <c r="K195" i="4"/>
  <c r="L195" i="4" s="1"/>
  <c r="I195" i="4"/>
  <c r="K194" i="4"/>
  <c r="L194" i="4" s="1"/>
  <c r="I194" i="4"/>
  <c r="K193" i="4"/>
  <c r="L193" i="4" s="1"/>
  <c r="I193" i="4"/>
  <c r="K192" i="4"/>
  <c r="L192" i="4" s="1"/>
  <c r="I192" i="4"/>
  <c r="K191" i="4"/>
  <c r="L191" i="4" s="1"/>
  <c r="I191" i="4"/>
  <c r="K190" i="4"/>
  <c r="L190" i="4" s="1"/>
  <c r="I190" i="4"/>
  <c r="K189" i="4"/>
  <c r="L189" i="4" s="1"/>
  <c r="I189" i="4"/>
  <c r="K188" i="4"/>
  <c r="L188" i="4" s="1"/>
  <c r="I188" i="4"/>
  <c r="K187" i="4"/>
  <c r="L187" i="4" s="1"/>
  <c r="I187" i="4"/>
  <c r="K186" i="4"/>
  <c r="L186" i="4" s="1"/>
  <c r="I186" i="4"/>
  <c r="K185" i="4"/>
  <c r="L185" i="4" s="1"/>
  <c r="I185" i="4"/>
  <c r="K184" i="4"/>
  <c r="L184" i="4" s="1"/>
  <c r="I184" i="4"/>
  <c r="K183" i="4"/>
  <c r="L183" i="4" s="1"/>
  <c r="I183" i="4"/>
  <c r="K182" i="4"/>
  <c r="L182" i="4" s="1"/>
  <c r="I182" i="4"/>
  <c r="K181" i="4"/>
  <c r="L181" i="4" s="1"/>
  <c r="I181" i="4"/>
  <c r="K180" i="4"/>
  <c r="L180" i="4" s="1"/>
  <c r="I180" i="4"/>
  <c r="K179" i="4"/>
  <c r="L179" i="4" s="1"/>
  <c r="I179" i="4"/>
  <c r="K178" i="4"/>
  <c r="L178" i="4" s="1"/>
  <c r="I178" i="4"/>
  <c r="K177" i="4"/>
  <c r="L177" i="4" s="1"/>
  <c r="I177" i="4"/>
  <c r="K176" i="4"/>
  <c r="L176" i="4" s="1"/>
  <c r="I176" i="4"/>
  <c r="K175" i="4"/>
  <c r="L175" i="4" s="1"/>
  <c r="I175" i="4"/>
  <c r="K174" i="4"/>
  <c r="L174" i="4" s="1"/>
  <c r="I174" i="4"/>
  <c r="K173" i="4"/>
  <c r="L173" i="4" s="1"/>
  <c r="I173" i="4"/>
  <c r="K172" i="4"/>
  <c r="L172" i="4" s="1"/>
  <c r="I172" i="4"/>
  <c r="K171" i="4"/>
  <c r="L171" i="4" s="1"/>
  <c r="I171" i="4"/>
  <c r="K170" i="4"/>
  <c r="L170" i="4" s="1"/>
  <c r="I170" i="4"/>
  <c r="K169" i="4"/>
  <c r="L169" i="4" s="1"/>
  <c r="I169" i="4"/>
  <c r="K168" i="4"/>
  <c r="L168" i="4" s="1"/>
  <c r="I168" i="4"/>
  <c r="K167" i="4"/>
  <c r="L167" i="4" s="1"/>
  <c r="I167" i="4"/>
  <c r="K166" i="4"/>
  <c r="L166" i="4" s="1"/>
  <c r="I166" i="4"/>
  <c r="K165" i="4"/>
  <c r="L165" i="4" s="1"/>
  <c r="I165" i="4"/>
  <c r="K164" i="4"/>
  <c r="L164" i="4" s="1"/>
  <c r="I164" i="4"/>
  <c r="K163" i="4"/>
  <c r="L163" i="4" s="1"/>
  <c r="I163" i="4"/>
  <c r="K162" i="4"/>
  <c r="L162" i="4" s="1"/>
  <c r="I162" i="4"/>
  <c r="K161" i="4"/>
  <c r="L161" i="4" s="1"/>
  <c r="I161" i="4"/>
  <c r="K160" i="4"/>
  <c r="L160" i="4" s="1"/>
  <c r="I160" i="4"/>
  <c r="K159" i="4"/>
  <c r="L159" i="4" s="1"/>
  <c r="I159" i="4"/>
  <c r="K158" i="4"/>
  <c r="L158" i="4" s="1"/>
  <c r="I158" i="4"/>
  <c r="K157" i="4"/>
  <c r="L157" i="4" s="1"/>
  <c r="I157" i="4"/>
  <c r="K156" i="4"/>
  <c r="L156" i="4" s="1"/>
  <c r="I156" i="4"/>
  <c r="K155" i="4"/>
  <c r="L155" i="4" s="1"/>
  <c r="I155" i="4"/>
  <c r="K154" i="4"/>
  <c r="L154" i="4" s="1"/>
  <c r="I154" i="4"/>
  <c r="K153" i="4"/>
  <c r="L153" i="4" s="1"/>
  <c r="I153" i="4"/>
  <c r="K152" i="4"/>
  <c r="L152" i="4" s="1"/>
  <c r="I152" i="4"/>
  <c r="K151" i="4"/>
  <c r="L151" i="4" s="1"/>
  <c r="I151" i="4"/>
  <c r="K150" i="4"/>
  <c r="L150" i="4" s="1"/>
  <c r="I150" i="4"/>
  <c r="K149" i="4"/>
  <c r="L149" i="4" s="1"/>
  <c r="I149" i="4"/>
  <c r="K148" i="4"/>
  <c r="L148" i="4" s="1"/>
  <c r="I148" i="4"/>
  <c r="K147" i="4"/>
  <c r="L147" i="4" s="1"/>
  <c r="I147" i="4"/>
  <c r="K146" i="4"/>
  <c r="L146" i="4" s="1"/>
  <c r="I146" i="4"/>
  <c r="K145" i="4"/>
  <c r="L145" i="4" s="1"/>
  <c r="I145" i="4"/>
  <c r="K144" i="4"/>
  <c r="L144" i="4" s="1"/>
  <c r="I144" i="4"/>
  <c r="K143" i="4"/>
  <c r="L143" i="4" s="1"/>
  <c r="I143" i="4"/>
  <c r="K142" i="4"/>
  <c r="L142" i="4" s="1"/>
  <c r="I142" i="4"/>
  <c r="K141" i="4"/>
  <c r="L141" i="4" s="1"/>
  <c r="I141" i="4"/>
  <c r="K140" i="4"/>
  <c r="L140" i="4" s="1"/>
  <c r="I140" i="4"/>
  <c r="K139" i="4"/>
  <c r="L139" i="4" s="1"/>
  <c r="I139" i="4"/>
  <c r="K138" i="4"/>
  <c r="L138" i="4" s="1"/>
  <c r="I138" i="4"/>
  <c r="K137" i="4"/>
  <c r="L137" i="4" s="1"/>
  <c r="I137" i="4"/>
  <c r="K136" i="4"/>
  <c r="L136" i="4" s="1"/>
  <c r="I136" i="4"/>
  <c r="K135" i="4"/>
  <c r="L135" i="4" s="1"/>
  <c r="I135" i="4"/>
  <c r="K134" i="4"/>
  <c r="L134" i="4" s="1"/>
  <c r="I134" i="4"/>
  <c r="K133" i="4"/>
  <c r="L133" i="4" s="1"/>
  <c r="I133" i="4"/>
  <c r="K132" i="4"/>
  <c r="L132" i="4" s="1"/>
  <c r="I132" i="4"/>
  <c r="K131" i="4"/>
  <c r="L131" i="4" s="1"/>
  <c r="I131" i="4"/>
  <c r="K130" i="4"/>
  <c r="L130" i="4" s="1"/>
  <c r="I130" i="4"/>
  <c r="K129" i="4"/>
  <c r="L129" i="4" s="1"/>
  <c r="I129" i="4"/>
  <c r="K128" i="4"/>
  <c r="L128" i="4" s="1"/>
  <c r="I128" i="4"/>
  <c r="K127" i="4"/>
  <c r="L127" i="4" s="1"/>
  <c r="I127" i="4"/>
  <c r="K126" i="4"/>
  <c r="L126" i="4" s="1"/>
  <c r="I126" i="4"/>
  <c r="K125" i="4"/>
  <c r="L125" i="4" s="1"/>
  <c r="I125" i="4"/>
  <c r="K124" i="4"/>
  <c r="L124" i="4" s="1"/>
  <c r="I124" i="4"/>
  <c r="K123" i="4"/>
  <c r="L123" i="4" s="1"/>
  <c r="I123" i="4"/>
  <c r="K122" i="4"/>
  <c r="L122" i="4" s="1"/>
  <c r="I122" i="4"/>
  <c r="K121" i="4"/>
  <c r="L121" i="4" s="1"/>
  <c r="I121" i="4"/>
  <c r="K120" i="4"/>
  <c r="L120" i="4" s="1"/>
  <c r="I120" i="4"/>
  <c r="K119" i="4"/>
  <c r="L119" i="4" s="1"/>
  <c r="I119" i="4"/>
  <c r="K118" i="4"/>
  <c r="L118" i="4" s="1"/>
  <c r="I118" i="4"/>
  <c r="K117" i="4"/>
  <c r="L117" i="4" s="1"/>
  <c r="I117" i="4"/>
  <c r="K116" i="4"/>
  <c r="L116" i="4" s="1"/>
  <c r="I116" i="4"/>
  <c r="K115" i="4"/>
  <c r="L115" i="4" s="1"/>
  <c r="I115" i="4"/>
  <c r="K114" i="4"/>
  <c r="L114" i="4" s="1"/>
  <c r="I114" i="4"/>
  <c r="K113" i="4"/>
  <c r="L113" i="4" s="1"/>
  <c r="I113" i="4"/>
  <c r="K112" i="4"/>
  <c r="L112" i="4" s="1"/>
  <c r="I112" i="4"/>
  <c r="K111" i="4"/>
  <c r="L111" i="4" s="1"/>
  <c r="I111" i="4"/>
  <c r="K110" i="4"/>
  <c r="L110" i="4" s="1"/>
  <c r="I110" i="4"/>
  <c r="K109" i="4"/>
  <c r="L109" i="4" s="1"/>
  <c r="I109" i="4"/>
  <c r="K108" i="4"/>
  <c r="L108" i="4" s="1"/>
  <c r="I108" i="4"/>
  <c r="K107" i="4"/>
  <c r="L107" i="4" s="1"/>
  <c r="I107" i="4"/>
  <c r="K106" i="4"/>
  <c r="L106" i="4" s="1"/>
  <c r="I106" i="4"/>
  <c r="K105" i="4"/>
  <c r="L105" i="4" s="1"/>
  <c r="I105" i="4"/>
  <c r="K104" i="4"/>
  <c r="L104" i="4" s="1"/>
  <c r="I104" i="4"/>
  <c r="K103" i="4"/>
  <c r="L103" i="4" s="1"/>
  <c r="I103" i="4"/>
  <c r="K102" i="4"/>
  <c r="L102" i="4" s="1"/>
  <c r="I102" i="4"/>
  <c r="K101" i="4"/>
  <c r="L101" i="4" s="1"/>
  <c r="I101" i="4"/>
  <c r="K100" i="4"/>
  <c r="L100" i="4" s="1"/>
  <c r="I100" i="4"/>
  <c r="K99" i="4"/>
  <c r="L99" i="4" s="1"/>
  <c r="I99" i="4"/>
  <c r="K98" i="4"/>
  <c r="L98" i="4" s="1"/>
  <c r="I98" i="4"/>
  <c r="K97" i="4"/>
  <c r="L97" i="4" s="1"/>
  <c r="I97" i="4"/>
  <c r="K96" i="4"/>
  <c r="L96" i="4" s="1"/>
  <c r="I96" i="4"/>
  <c r="K95" i="4"/>
  <c r="L95" i="4" s="1"/>
  <c r="I95" i="4"/>
  <c r="K94" i="4"/>
  <c r="L94" i="4" s="1"/>
  <c r="I94" i="4"/>
  <c r="K93" i="4"/>
  <c r="L93" i="4" s="1"/>
  <c r="I93" i="4"/>
  <c r="K92" i="4"/>
  <c r="L92" i="4" s="1"/>
  <c r="I92" i="4"/>
  <c r="K91" i="4"/>
  <c r="L91" i="4" s="1"/>
  <c r="I91" i="4"/>
  <c r="K90" i="4"/>
  <c r="L90" i="4" s="1"/>
  <c r="I90" i="4"/>
  <c r="K89" i="4"/>
  <c r="L89" i="4" s="1"/>
  <c r="I89" i="4"/>
  <c r="K88" i="4"/>
  <c r="L88" i="4" s="1"/>
  <c r="I88" i="4"/>
  <c r="K87" i="4"/>
  <c r="L87" i="4" s="1"/>
  <c r="I87" i="4"/>
  <c r="K86" i="4"/>
  <c r="L86" i="4" s="1"/>
  <c r="I86" i="4"/>
  <c r="K85" i="4"/>
  <c r="L85" i="4" s="1"/>
  <c r="I85" i="4"/>
  <c r="K84" i="4"/>
  <c r="L84" i="4" s="1"/>
  <c r="I84" i="4"/>
  <c r="K83" i="4"/>
  <c r="L83" i="4" s="1"/>
  <c r="I83" i="4"/>
  <c r="K82" i="4"/>
  <c r="L82" i="4" s="1"/>
  <c r="I82" i="4"/>
  <c r="K81" i="4"/>
  <c r="L81" i="4" s="1"/>
  <c r="I81" i="4"/>
  <c r="K80" i="4"/>
  <c r="L80" i="4" s="1"/>
  <c r="I80" i="4"/>
  <c r="K79" i="4"/>
  <c r="L79" i="4" s="1"/>
  <c r="I79" i="4"/>
  <c r="K78" i="4"/>
  <c r="L78" i="4" s="1"/>
  <c r="I78" i="4"/>
  <c r="K77" i="4"/>
  <c r="L77" i="4" s="1"/>
  <c r="I77" i="4"/>
  <c r="K76" i="4"/>
  <c r="L76" i="4" s="1"/>
  <c r="I76" i="4"/>
  <c r="K75" i="4"/>
  <c r="L75" i="4" s="1"/>
  <c r="I75" i="4"/>
  <c r="K74" i="4"/>
  <c r="L74" i="4" s="1"/>
  <c r="I74" i="4"/>
  <c r="K73" i="4"/>
  <c r="L73" i="4" s="1"/>
  <c r="I73" i="4"/>
  <c r="K72" i="4"/>
  <c r="L72" i="4" s="1"/>
  <c r="I72" i="4"/>
  <c r="K71" i="4"/>
  <c r="L71" i="4" s="1"/>
  <c r="I71" i="4"/>
  <c r="K70" i="4"/>
  <c r="L70" i="4" s="1"/>
  <c r="I70" i="4"/>
  <c r="K69" i="4"/>
  <c r="L69" i="4" s="1"/>
  <c r="I69" i="4"/>
  <c r="K68" i="4"/>
  <c r="L68" i="4" s="1"/>
  <c r="I68" i="4"/>
  <c r="K67" i="4"/>
  <c r="L67" i="4" s="1"/>
  <c r="I67" i="4"/>
  <c r="K66" i="4"/>
  <c r="L66" i="4" s="1"/>
  <c r="I66" i="4"/>
  <c r="K65" i="4"/>
  <c r="L65" i="4" s="1"/>
  <c r="I65" i="4"/>
  <c r="K64" i="4"/>
  <c r="L64" i="4" s="1"/>
  <c r="I64" i="4"/>
  <c r="K63" i="4"/>
  <c r="L63" i="4" s="1"/>
  <c r="I63" i="4"/>
  <c r="K62" i="4"/>
  <c r="L62" i="4" s="1"/>
  <c r="I62" i="4"/>
  <c r="K61" i="4"/>
  <c r="L61" i="4" s="1"/>
  <c r="I61" i="4"/>
  <c r="K60" i="4"/>
  <c r="L60" i="4" s="1"/>
  <c r="I60" i="4"/>
  <c r="K59" i="4"/>
  <c r="L59" i="4" s="1"/>
  <c r="I59" i="4"/>
  <c r="K58" i="4"/>
  <c r="L58" i="4" s="1"/>
  <c r="I58" i="4"/>
  <c r="K57" i="4"/>
  <c r="L57" i="4" s="1"/>
  <c r="I57" i="4"/>
  <c r="K56" i="4"/>
  <c r="L56" i="4" s="1"/>
  <c r="I56" i="4"/>
  <c r="K55" i="4"/>
  <c r="L55" i="4" s="1"/>
  <c r="I55" i="4"/>
  <c r="K54" i="4"/>
  <c r="L54" i="4" s="1"/>
  <c r="I54" i="4"/>
  <c r="K53" i="4"/>
  <c r="L53" i="4" s="1"/>
  <c r="I53" i="4"/>
  <c r="K52" i="4"/>
  <c r="L52" i="4" s="1"/>
  <c r="I52" i="4"/>
  <c r="K51" i="4"/>
  <c r="L51" i="4" s="1"/>
  <c r="I51" i="4"/>
  <c r="K50" i="4"/>
  <c r="L50" i="4" s="1"/>
  <c r="I50" i="4"/>
  <c r="K49" i="4"/>
  <c r="L49" i="4" s="1"/>
  <c r="I49" i="4"/>
  <c r="K48" i="4"/>
  <c r="L48" i="4" s="1"/>
  <c r="I48" i="4"/>
  <c r="K47" i="4"/>
  <c r="L47" i="4" s="1"/>
  <c r="I47" i="4"/>
  <c r="K46" i="4"/>
  <c r="L46" i="4" s="1"/>
  <c r="I46" i="4"/>
  <c r="K45" i="4"/>
  <c r="L45" i="4" s="1"/>
  <c r="I45" i="4"/>
  <c r="K44" i="4"/>
  <c r="L44" i="4" s="1"/>
  <c r="I44" i="4"/>
  <c r="K43" i="4"/>
  <c r="L43" i="4" s="1"/>
  <c r="I43" i="4"/>
  <c r="K42" i="4"/>
  <c r="L42" i="4" s="1"/>
  <c r="I42" i="4"/>
  <c r="K41" i="4"/>
  <c r="L41" i="4" s="1"/>
  <c r="I41" i="4"/>
  <c r="K40" i="4"/>
  <c r="L40" i="4" s="1"/>
  <c r="I40" i="4"/>
  <c r="K39" i="4"/>
  <c r="L39" i="4" s="1"/>
  <c r="I39" i="4"/>
  <c r="K38" i="4"/>
  <c r="L38" i="4" s="1"/>
  <c r="I38" i="4"/>
  <c r="K37" i="4"/>
  <c r="L37" i="4" s="1"/>
  <c r="I37" i="4"/>
  <c r="K36" i="4"/>
  <c r="L36" i="4" s="1"/>
  <c r="I36" i="4"/>
  <c r="K35" i="4"/>
  <c r="L35" i="4" s="1"/>
  <c r="I35" i="4"/>
  <c r="K34" i="4"/>
  <c r="L34" i="4" s="1"/>
  <c r="I34" i="4"/>
  <c r="K33" i="4"/>
  <c r="L33" i="4" s="1"/>
  <c r="I33" i="4"/>
  <c r="K32" i="4"/>
  <c r="L32" i="4" s="1"/>
  <c r="I32" i="4"/>
  <c r="K31" i="4"/>
  <c r="L31" i="4" s="1"/>
  <c r="I31" i="4"/>
  <c r="K30" i="4"/>
  <c r="L30" i="4" s="1"/>
  <c r="I30" i="4"/>
  <c r="K29" i="4"/>
  <c r="L29" i="4" s="1"/>
  <c r="I29" i="4"/>
  <c r="K28" i="4"/>
  <c r="L28" i="4" s="1"/>
  <c r="I28" i="4"/>
  <c r="K27" i="4"/>
  <c r="L27" i="4" s="1"/>
  <c r="I27" i="4"/>
  <c r="K26" i="4"/>
  <c r="L26" i="4" s="1"/>
  <c r="I26" i="4"/>
  <c r="K25" i="4"/>
  <c r="L25" i="4" s="1"/>
  <c r="I25" i="4"/>
  <c r="K24" i="4"/>
  <c r="L24" i="4" s="1"/>
  <c r="I24" i="4"/>
  <c r="K23" i="4"/>
  <c r="L23" i="4" s="1"/>
  <c r="I23" i="4"/>
  <c r="K22" i="4"/>
  <c r="L22" i="4" s="1"/>
  <c r="I22" i="4"/>
  <c r="K21" i="4"/>
  <c r="L21" i="4" s="1"/>
  <c r="I21" i="4"/>
  <c r="K20" i="4"/>
  <c r="L20" i="4" s="1"/>
  <c r="I20" i="4"/>
  <c r="K19" i="4"/>
  <c r="L19" i="4" s="1"/>
  <c r="I19" i="4"/>
  <c r="K18" i="4"/>
  <c r="L18" i="4" s="1"/>
  <c r="I18" i="4"/>
  <c r="K17" i="4"/>
  <c r="L17" i="4" s="1"/>
  <c r="I17" i="4"/>
  <c r="K16" i="4"/>
  <c r="L16" i="4" s="1"/>
  <c r="I16" i="4"/>
  <c r="K15" i="4"/>
  <c r="L15" i="4" s="1"/>
  <c r="I15" i="4"/>
  <c r="K14" i="4"/>
  <c r="L14" i="4" s="1"/>
  <c r="I14" i="4"/>
  <c r="K13" i="4"/>
  <c r="L13" i="4" s="1"/>
  <c r="I13" i="4"/>
  <c r="K12" i="4"/>
  <c r="L12" i="4" s="1"/>
  <c r="I12" i="4"/>
  <c r="K11" i="4"/>
  <c r="L11" i="4" s="1"/>
  <c r="I11" i="4"/>
  <c r="K10" i="4"/>
  <c r="L10" i="4" s="1"/>
  <c r="I10" i="4"/>
  <c r="K9" i="4"/>
  <c r="L9" i="4" s="1"/>
  <c r="I9" i="4"/>
  <c r="K8" i="4"/>
  <c r="L8" i="4" s="1"/>
  <c r="I8" i="4"/>
  <c r="K7" i="4"/>
  <c r="L7" i="4" s="1"/>
  <c r="I7" i="4"/>
  <c r="K6" i="4"/>
  <c r="L6" i="4" s="1"/>
  <c r="I6" i="4"/>
  <c r="K5" i="4"/>
  <c r="L5" i="4" s="1"/>
  <c r="I5" i="4"/>
  <c r="K4" i="4"/>
  <c r="L4" i="4" s="1"/>
  <c r="I4" i="4"/>
  <c r="K3" i="4"/>
  <c r="L3" i="4" s="1"/>
  <c r="I3" i="4"/>
  <c r="K2" i="4"/>
  <c r="L2" i="4" s="1"/>
  <c r="I2" i="4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D13" i="1"/>
  <c r="D19" i="1" s="1"/>
  <c r="D25" i="1" s="1"/>
  <c r="D31" i="1" s="1"/>
  <c r="D37" i="1" s="1"/>
  <c r="D43" i="1" s="1"/>
  <c r="D49" i="1" s="1"/>
  <c r="D55" i="1" s="1"/>
  <c r="D61" i="1" s="1"/>
  <c r="D67" i="1" s="1"/>
  <c r="D73" i="1" s="1"/>
  <c r="D79" i="1" s="1"/>
  <c r="D85" i="1" s="1"/>
  <c r="D91" i="1" s="1"/>
  <c r="D97" i="1" s="1"/>
  <c r="D103" i="1" s="1"/>
  <c r="D109" i="1" s="1"/>
  <c r="D115" i="1" s="1"/>
  <c r="D121" i="1" s="1"/>
  <c r="D127" i="1" s="1"/>
  <c r="D133" i="1" s="1"/>
  <c r="D139" i="1" s="1"/>
  <c r="D145" i="1" s="1"/>
  <c r="D151" i="1" s="1"/>
  <c r="D157" i="1" s="1"/>
  <c r="D163" i="1" s="1"/>
  <c r="D169" i="1" s="1"/>
  <c r="D175" i="1" s="1"/>
  <c r="D181" i="1" s="1"/>
  <c r="B13" i="1"/>
  <c r="B19" i="1" s="1"/>
  <c r="B25" i="1" s="1"/>
  <c r="B31" i="1" s="1"/>
  <c r="B37" i="1" s="1"/>
  <c r="B43" i="1" s="1"/>
  <c r="B49" i="1" s="1"/>
  <c r="B55" i="1" s="1"/>
  <c r="B61" i="1" s="1"/>
  <c r="B67" i="1" s="1"/>
  <c r="B73" i="1" s="1"/>
  <c r="B79" i="1" s="1"/>
  <c r="B85" i="1" s="1"/>
  <c r="B91" i="1" s="1"/>
  <c r="B97" i="1" s="1"/>
  <c r="B103" i="1" s="1"/>
  <c r="B109" i="1" s="1"/>
  <c r="B115" i="1" s="1"/>
  <c r="B121" i="1" s="1"/>
  <c r="B127" i="1" s="1"/>
  <c r="B133" i="1" s="1"/>
  <c r="B139" i="1" s="1"/>
  <c r="B145" i="1" s="1"/>
  <c r="B151" i="1" s="1"/>
  <c r="B157" i="1" s="1"/>
  <c r="B163" i="1" s="1"/>
  <c r="B169" i="1" s="1"/>
  <c r="B175" i="1" s="1"/>
  <c r="B181" i="1" s="1"/>
  <c r="G12" i="1"/>
  <c r="H12" i="1" s="1"/>
  <c r="D12" i="1"/>
  <c r="D18" i="1" s="1"/>
  <c r="D24" i="1" s="1"/>
  <c r="D30" i="1" s="1"/>
  <c r="D36" i="1" s="1"/>
  <c r="D42" i="1" s="1"/>
  <c r="D48" i="1" s="1"/>
  <c r="D54" i="1" s="1"/>
  <c r="D60" i="1" s="1"/>
  <c r="D66" i="1" s="1"/>
  <c r="D72" i="1" s="1"/>
  <c r="D78" i="1" s="1"/>
  <c r="D84" i="1" s="1"/>
  <c r="D90" i="1" s="1"/>
  <c r="D96" i="1" s="1"/>
  <c r="D102" i="1" s="1"/>
  <c r="D108" i="1" s="1"/>
  <c r="D114" i="1" s="1"/>
  <c r="D120" i="1" s="1"/>
  <c r="D126" i="1" s="1"/>
  <c r="D132" i="1" s="1"/>
  <c r="D138" i="1" s="1"/>
  <c r="D144" i="1" s="1"/>
  <c r="D150" i="1" s="1"/>
  <c r="D156" i="1" s="1"/>
  <c r="D162" i="1" s="1"/>
  <c r="D168" i="1" s="1"/>
  <c r="D174" i="1" s="1"/>
  <c r="D180" i="1" s="1"/>
  <c r="B12" i="1"/>
  <c r="B18" i="1" s="1"/>
  <c r="B24" i="1" s="1"/>
  <c r="B30" i="1" s="1"/>
  <c r="B36" i="1" s="1"/>
  <c r="B42" i="1" s="1"/>
  <c r="B48" i="1" s="1"/>
  <c r="B54" i="1" s="1"/>
  <c r="B60" i="1" s="1"/>
  <c r="B66" i="1" s="1"/>
  <c r="B72" i="1" s="1"/>
  <c r="B78" i="1" s="1"/>
  <c r="B84" i="1" s="1"/>
  <c r="B90" i="1" s="1"/>
  <c r="B96" i="1" s="1"/>
  <c r="B102" i="1" s="1"/>
  <c r="B108" i="1" s="1"/>
  <c r="B114" i="1" s="1"/>
  <c r="B120" i="1" s="1"/>
  <c r="B126" i="1" s="1"/>
  <c r="B132" i="1" s="1"/>
  <c r="B138" i="1" s="1"/>
  <c r="B144" i="1" s="1"/>
  <c r="B150" i="1" s="1"/>
  <c r="B156" i="1" s="1"/>
  <c r="B162" i="1" s="1"/>
  <c r="B168" i="1" s="1"/>
  <c r="B174" i="1" s="1"/>
  <c r="B180" i="1" s="1"/>
  <c r="G11" i="1"/>
  <c r="H11" i="1" s="1"/>
  <c r="D11" i="1"/>
  <c r="D17" i="1" s="1"/>
  <c r="D23" i="1" s="1"/>
  <c r="D29" i="1" s="1"/>
  <c r="D35" i="1" s="1"/>
  <c r="D41" i="1" s="1"/>
  <c r="D47" i="1" s="1"/>
  <c r="D53" i="1" s="1"/>
  <c r="D59" i="1" s="1"/>
  <c r="D65" i="1" s="1"/>
  <c r="D71" i="1" s="1"/>
  <c r="D77" i="1" s="1"/>
  <c r="D83" i="1" s="1"/>
  <c r="D89" i="1" s="1"/>
  <c r="D95" i="1" s="1"/>
  <c r="D101" i="1" s="1"/>
  <c r="D107" i="1" s="1"/>
  <c r="D113" i="1" s="1"/>
  <c r="D119" i="1" s="1"/>
  <c r="D125" i="1" s="1"/>
  <c r="D131" i="1" s="1"/>
  <c r="D137" i="1" s="1"/>
  <c r="D143" i="1" s="1"/>
  <c r="D149" i="1" s="1"/>
  <c r="D155" i="1" s="1"/>
  <c r="D161" i="1" s="1"/>
  <c r="D167" i="1" s="1"/>
  <c r="D173" i="1" s="1"/>
  <c r="D179" i="1" s="1"/>
  <c r="B11" i="1"/>
  <c r="B17" i="1" s="1"/>
  <c r="B23" i="1" s="1"/>
  <c r="B29" i="1" s="1"/>
  <c r="B35" i="1" s="1"/>
  <c r="B41" i="1" s="1"/>
  <c r="B47" i="1" s="1"/>
  <c r="B53" i="1" s="1"/>
  <c r="B59" i="1" s="1"/>
  <c r="B65" i="1" s="1"/>
  <c r="B71" i="1" s="1"/>
  <c r="B77" i="1" s="1"/>
  <c r="B83" i="1" s="1"/>
  <c r="B89" i="1" s="1"/>
  <c r="B95" i="1" s="1"/>
  <c r="B101" i="1" s="1"/>
  <c r="B107" i="1" s="1"/>
  <c r="B113" i="1" s="1"/>
  <c r="B119" i="1" s="1"/>
  <c r="B125" i="1" s="1"/>
  <c r="B131" i="1" s="1"/>
  <c r="B137" i="1" s="1"/>
  <c r="B143" i="1" s="1"/>
  <c r="B149" i="1" s="1"/>
  <c r="B155" i="1" s="1"/>
  <c r="B161" i="1" s="1"/>
  <c r="B167" i="1" s="1"/>
  <c r="B173" i="1" s="1"/>
  <c r="B179" i="1" s="1"/>
  <c r="G10" i="1"/>
  <c r="H10" i="1" s="1"/>
  <c r="D10" i="1"/>
  <c r="D16" i="1" s="1"/>
  <c r="D22" i="1" s="1"/>
  <c r="D28" i="1" s="1"/>
  <c r="D34" i="1" s="1"/>
  <c r="D40" i="1" s="1"/>
  <c r="D46" i="1" s="1"/>
  <c r="D52" i="1" s="1"/>
  <c r="D58" i="1" s="1"/>
  <c r="D64" i="1" s="1"/>
  <c r="D70" i="1" s="1"/>
  <c r="D76" i="1" s="1"/>
  <c r="D82" i="1" s="1"/>
  <c r="D88" i="1" s="1"/>
  <c r="D94" i="1" s="1"/>
  <c r="D100" i="1" s="1"/>
  <c r="D106" i="1" s="1"/>
  <c r="D112" i="1" s="1"/>
  <c r="D118" i="1" s="1"/>
  <c r="D124" i="1" s="1"/>
  <c r="D130" i="1" s="1"/>
  <c r="D136" i="1" s="1"/>
  <c r="D142" i="1" s="1"/>
  <c r="D148" i="1" s="1"/>
  <c r="D154" i="1" s="1"/>
  <c r="D160" i="1" s="1"/>
  <c r="D166" i="1" s="1"/>
  <c r="D172" i="1" s="1"/>
  <c r="D178" i="1" s="1"/>
  <c r="B10" i="1"/>
  <c r="B16" i="1" s="1"/>
  <c r="B22" i="1" s="1"/>
  <c r="B28" i="1" s="1"/>
  <c r="B34" i="1" s="1"/>
  <c r="B40" i="1" s="1"/>
  <c r="B46" i="1" s="1"/>
  <c r="B52" i="1" s="1"/>
  <c r="B58" i="1" s="1"/>
  <c r="B64" i="1" s="1"/>
  <c r="B70" i="1" s="1"/>
  <c r="B76" i="1" s="1"/>
  <c r="B82" i="1" s="1"/>
  <c r="B88" i="1" s="1"/>
  <c r="B94" i="1" s="1"/>
  <c r="B100" i="1" s="1"/>
  <c r="B106" i="1" s="1"/>
  <c r="B112" i="1" s="1"/>
  <c r="B118" i="1" s="1"/>
  <c r="B124" i="1" s="1"/>
  <c r="B130" i="1" s="1"/>
  <c r="B136" i="1" s="1"/>
  <c r="B142" i="1" s="1"/>
  <c r="B148" i="1" s="1"/>
  <c r="B154" i="1" s="1"/>
  <c r="B160" i="1" s="1"/>
  <c r="B166" i="1" s="1"/>
  <c r="B172" i="1" s="1"/>
  <c r="B178" i="1" s="1"/>
  <c r="G9" i="1"/>
  <c r="H9" i="1" s="1"/>
  <c r="D9" i="1"/>
  <c r="D15" i="1" s="1"/>
  <c r="D21" i="1" s="1"/>
  <c r="D27" i="1" s="1"/>
  <c r="D33" i="1" s="1"/>
  <c r="D39" i="1" s="1"/>
  <c r="D45" i="1" s="1"/>
  <c r="D51" i="1" s="1"/>
  <c r="D57" i="1" s="1"/>
  <c r="D63" i="1" s="1"/>
  <c r="D69" i="1" s="1"/>
  <c r="D75" i="1" s="1"/>
  <c r="D81" i="1" s="1"/>
  <c r="D87" i="1" s="1"/>
  <c r="D93" i="1" s="1"/>
  <c r="D99" i="1" s="1"/>
  <c r="D105" i="1" s="1"/>
  <c r="D111" i="1" s="1"/>
  <c r="D117" i="1" s="1"/>
  <c r="D123" i="1" s="1"/>
  <c r="D129" i="1" s="1"/>
  <c r="D135" i="1" s="1"/>
  <c r="D141" i="1" s="1"/>
  <c r="D147" i="1" s="1"/>
  <c r="D153" i="1" s="1"/>
  <c r="D159" i="1" s="1"/>
  <c r="D165" i="1" s="1"/>
  <c r="D171" i="1" s="1"/>
  <c r="D177" i="1" s="1"/>
  <c r="B9" i="1"/>
  <c r="B15" i="1" s="1"/>
  <c r="B21" i="1" s="1"/>
  <c r="B27" i="1" s="1"/>
  <c r="B33" i="1" s="1"/>
  <c r="B39" i="1" s="1"/>
  <c r="B45" i="1" s="1"/>
  <c r="B51" i="1" s="1"/>
  <c r="B57" i="1" s="1"/>
  <c r="B63" i="1" s="1"/>
  <c r="B69" i="1" s="1"/>
  <c r="B75" i="1" s="1"/>
  <c r="B81" i="1" s="1"/>
  <c r="B87" i="1" s="1"/>
  <c r="B93" i="1" s="1"/>
  <c r="B99" i="1" s="1"/>
  <c r="B105" i="1" s="1"/>
  <c r="B111" i="1" s="1"/>
  <c r="B117" i="1" s="1"/>
  <c r="B123" i="1" s="1"/>
  <c r="B129" i="1" s="1"/>
  <c r="B135" i="1" s="1"/>
  <c r="B141" i="1" s="1"/>
  <c r="B147" i="1" s="1"/>
  <c r="B153" i="1" s="1"/>
  <c r="B159" i="1" s="1"/>
  <c r="B165" i="1" s="1"/>
  <c r="B171" i="1" s="1"/>
  <c r="B177" i="1" s="1"/>
  <c r="G8" i="1"/>
  <c r="H8" i="1" s="1"/>
  <c r="D8" i="1"/>
  <c r="D14" i="1" s="1"/>
  <c r="D20" i="1" s="1"/>
  <c r="D26" i="1" s="1"/>
  <c r="D32" i="1" s="1"/>
  <c r="D38" i="1" s="1"/>
  <c r="D44" i="1" s="1"/>
  <c r="D50" i="1" s="1"/>
  <c r="D56" i="1" s="1"/>
  <c r="D62" i="1" s="1"/>
  <c r="D68" i="1" s="1"/>
  <c r="D74" i="1" s="1"/>
  <c r="D80" i="1" s="1"/>
  <c r="D86" i="1" s="1"/>
  <c r="D92" i="1" s="1"/>
  <c r="D98" i="1" s="1"/>
  <c r="D104" i="1" s="1"/>
  <c r="D110" i="1" s="1"/>
  <c r="D116" i="1" s="1"/>
  <c r="D122" i="1" s="1"/>
  <c r="D128" i="1" s="1"/>
  <c r="D134" i="1" s="1"/>
  <c r="D140" i="1" s="1"/>
  <c r="D146" i="1" s="1"/>
  <c r="D152" i="1" s="1"/>
  <c r="D158" i="1" s="1"/>
  <c r="D164" i="1" s="1"/>
  <c r="D170" i="1" s="1"/>
  <c r="D176" i="1" s="1"/>
  <c r="B8" i="1"/>
  <c r="B14" i="1" s="1"/>
  <c r="B20" i="1" s="1"/>
  <c r="B26" i="1" s="1"/>
  <c r="B32" i="1" s="1"/>
  <c r="B38" i="1" s="1"/>
  <c r="B44" i="1" s="1"/>
  <c r="B50" i="1" s="1"/>
  <c r="B56" i="1" s="1"/>
  <c r="B62" i="1" s="1"/>
  <c r="B68" i="1" s="1"/>
  <c r="B74" i="1" s="1"/>
  <c r="B80" i="1" s="1"/>
  <c r="B86" i="1" s="1"/>
  <c r="B92" i="1" s="1"/>
  <c r="B98" i="1" s="1"/>
  <c r="B104" i="1" s="1"/>
  <c r="B110" i="1" s="1"/>
  <c r="B116" i="1" s="1"/>
  <c r="B122" i="1" s="1"/>
  <c r="B128" i="1" s="1"/>
  <c r="B134" i="1" s="1"/>
  <c r="B140" i="1" s="1"/>
  <c r="B146" i="1" s="1"/>
  <c r="B152" i="1" s="1"/>
  <c r="B158" i="1" s="1"/>
  <c r="B164" i="1" s="1"/>
  <c r="B170" i="1" s="1"/>
  <c r="B176" i="1" s="1"/>
  <c r="G7" i="1"/>
  <c r="H7" i="1" s="1"/>
  <c r="G6" i="1"/>
  <c r="H6" i="1" s="1"/>
  <c r="G5" i="1"/>
  <c r="H5" i="1" s="1"/>
  <c r="G4" i="1"/>
  <c r="H4" i="1" s="1"/>
  <c r="G3" i="1"/>
  <c r="G2" i="1"/>
  <c r="L4" i="3" l="1"/>
  <c r="L5" i="3"/>
  <c r="L6" i="3"/>
  <c r="L8" i="3"/>
  <c r="L13" i="3"/>
  <c r="L15" i="3"/>
  <c r="L16" i="3"/>
  <c r="L17" i="3"/>
  <c r="L21" i="3"/>
  <c r="L22" i="3"/>
  <c r="L23" i="3"/>
  <c r="L24" i="3"/>
  <c r="L25" i="3"/>
  <c r="L27" i="3"/>
  <c r="L28" i="3"/>
  <c r="L29" i="3"/>
  <c r="L30" i="3"/>
  <c r="L33" i="3"/>
  <c r="L37" i="3"/>
  <c r="L38" i="3"/>
  <c r="L39" i="3"/>
  <c r="L40" i="3"/>
  <c r="L41" i="3"/>
  <c r="L42" i="3"/>
  <c r="L44" i="3"/>
  <c r="L45" i="3"/>
  <c r="L47" i="3"/>
  <c r="L49" i="3"/>
  <c r="L53" i="3"/>
  <c r="L54" i="3"/>
  <c r="L55" i="3"/>
  <c r="L56" i="3"/>
  <c r="L57" i="3"/>
  <c r="L59" i="3"/>
  <c r="L60" i="3"/>
  <c r="L61" i="3"/>
  <c r="L62" i="3"/>
  <c r="L65" i="3"/>
  <c r="L66" i="3"/>
  <c r="L68" i="3"/>
  <c r="L69" i="3"/>
  <c r="L70" i="3"/>
  <c r="L71" i="3"/>
  <c r="L72" i="3"/>
  <c r="L73" i="3"/>
  <c r="L74" i="3"/>
  <c r="L77" i="3"/>
  <c r="L79" i="3"/>
  <c r="L81" i="3"/>
  <c r="L82" i="3"/>
  <c r="L84" i="3"/>
  <c r="L85" i="3"/>
  <c r="L86" i="3"/>
  <c r="L87" i="3"/>
  <c r="L88" i="3"/>
  <c r="L89" i="3"/>
  <c r="L90" i="3"/>
  <c r="L91" i="3"/>
  <c r="L93" i="3"/>
  <c r="L94" i="3"/>
  <c r="L97" i="3"/>
  <c r="L98" i="3"/>
  <c r="L100" i="3"/>
  <c r="L101" i="3"/>
  <c r="L102" i="3"/>
  <c r="L103" i="3"/>
  <c r="L104" i="3"/>
  <c r="L105" i="3"/>
  <c r="L106" i="3"/>
  <c r="L109" i="3"/>
  <c r="L110" i="3"/>
  <c r="L113" i="3"/>
  <c r="L114" i="3"/>
  <c r="L116" i="3"/>
  <c r="L117" i="3"/>
  <c r="L118" i="3"/>
  <c r="L119" i="3"/>
  <c r="L120" i="3"/>
  <c r="L121" i="3"/>
  <c r="L122" i="3"/>
  <c r="L125" i="3"/>
  <c r="L126" i="3"/>
  <c r="L129" i="3"/>
  <c r="L130" i="3"/>
  <c r="L132" i="3"/>
  <c r="L133" i="3"/>
  <c r="L134" i="3"/>
  <c r="L135" i="3"/>
  <c r="L136" i="3"/>
  <c r="L137" i="3"/>
  <c r="L138" i="3"/>
  <c r="L141" i="3"/>
  <c r="L142" i="3"/>
  <c r="L145" i="3"/>
  <c r="L146" i="3"/>
  <c r="L148" i="3"/>
  <c r="L149" i="3"/>
  <c r="L150" i="3"/>
  <c r="L151" i="3"/>
  <c r="L152" i="3"/>
  <c r="L153" i="3"/>
  <c r="L154" i="3"/>
  <c r="L157" i="3"/>
  <c r="L158" i="3"/>
  <c r="L161" i="3"/>
  <c r="L162" i="3"/>
  <c r="L164" i="3"/>
  <c r="L165" i="3"/>
  <c r="L166" i="3"/>
  <c r="L167" i="3"/>
  <c r="L168" i="3"/>
  <c r="L169" i="3"/>
  <c r="L170" i="3"/>
  <c r="L173" i="3"/>
  <c r="L174" i="3"/>
  <c r="L177" i="3"/>
  <c r="L178" i="3"/>
  <c r="L180" i="3"/>
  <c r="L181" i="3"/>
  <c r="L182" i="3"/>
  <c r="L183" i="3"/>
  <c r="L184" i="3"/>
  <c r="L185" i="3"/>
  <c r="L186" i="3"/>
  <c r="L189" i="3"/>
  <c r="L190" i="3"/>
  <c r="L193" i="3"/>
  <c r="L194" i="3"/>
  <c r="L196" i="3"/>
  <c r="L197" i="3"/>
  <c r="L198" i="3"/>
  <c r="L199" i="3"/>
  <c r="L200" i="3"/>
  <c r="L201" i="3"/>
  <c r="L202" i="3"/>
  <c r="L205" i="3"/>
  <c r="L206" i="3"/>
  <c r="L209" i="3"/>
  <c r="L210" i="3"/>
  <c r="L212" i="3"/>
  <c r="L213" i="3"/>
  <c r="L214" i="3"/>
  <c r="L215" i="3"/>
  <c r="L216" i="3"/>
  <c r="L217" i="3"/>
  <c r="L218" i="3"/>
  <c r="L221" i="3"/>
  <c r="L222" i="3"/>
  <c r="L225" i="3"/>
  <c r="L226" i="3"/>
  <c r="L228" i="3"/>
  <c r="L229" i="3"/>
  <c r="L231" i="3"/>
  <c r="L233" i="3"/>
  <c r="L234" i="3"/>
  <c r="L235" i="3"/>
  <c r="L236" i="3"/>
  <c r="L237" i="3"/>
  <c r="L239" i="3"/>
  <c r="L241" i="3"/>
  <c r="L242" i="3"/>
  <c r="L243" i="3"/>
  <c r="L244" i="3"/>
  <c r="L245" i="3"/>
  <c r="L247" i="3"/>
  <c r="L249" i="3"/>
  <c r="L250" i="3"/>
  <c r="L251" i="3"/>
  <c r="L252" i="3"/>
  <c r="L253" i="3"/>
  <c r="L255" i="3"/>
  <c r="L257" i="3"/>
  <c r="L258" i="3"/>
  <c r="L259" i="3"/>
  <c r="L260" i="3"/>
  <c r="L261" i="3"/>
  <c r="L263" i="3"/>
  <c r="L265" i="3"/>
  <c r="L266" i="3"/>
  <c r="L267" i="3"/>
  <c r="L268" i="3"/>
  <c r="L269" i="3"/>
  <c r="L271" i="3"/>
  <c r="L273" i="3"/>
  <c r="L274" i="3"/>
  <c r="L275" i="3"/>
  <c r="L276" i="3"/>
  <c r="L277" i="3"/>
  <c r="L279" i="3"/>
  <c r="L281" i="3"/>
  <c r="L282" i="3"/>
  <c r="L283" i="3"/>
  <c r="L284" i="3"/>
  <c r="L285" i="3"/>
  <c r="L287" i="3"/>
  <c r="L289" i="3"/>
  <c r="L290" i="3"/>
  <c r="L291" i="3"/>
  <c r="L292" i="3"/>
  <c r="L293" i="3"/>
  <c r="L295" i="3"/>
  <c r="L297" i="3"/>
  <c r="L298" i="3"/>
  <c r="L299" i="3"/>
  <c r="L300" i="3"/>
  <c r="L301" i="3"/>
  <c r="L303" i="3"/>
  <c r="L305" i="3"/>
  <c r="L306" i="3"/>
  <c r="L307" i="3"/>
  <c r="L308" i="3"/>
  <c r="L309" i="3"/>
  <c r="L311" i="3"/>
  <c r="L313" i="3"/>
  <c r="L314" i="3"/>
  <c r="L315" i="3"/>
  <c r="L316" i="3"/>
  <c r="L317" i="3"/>
  <c r="L319" i="3"/>
  <c r="L321" i="3"/>
  <c r="L322" i="3"/>
  <c r="L323" i="3"/>
  <c r="L324" i="3"/>
  <c r="L325" i="3"/>
  <c r="L327" i="3"/>
  <c r="L329" i="3"/>
  <c r="L330" i="3"/>
  <c r="L331" i="3"/>
  <c r="L332" i="3"/>
  <c r="L333" i="3"/>
  <c r="L335" i="3"/>
  <c r="L337" i="3"/>
  <c r="L338" i="3"/>
  <c r="L339" i="3"/>
  <c r="L340" i="3"/>
  <c r="L341" i="3"/>
  <c r="L343" i="3"/>
  <c r="L345" i="3"/>
  <c r="L346" i="3"/>
  <c r="L347" i="3"/>
  <c r="L348" i="3"/>
  <c r="L349" i="3"/>
  <c r="L351" i="3"/>
  <c r="L353" i="3"/>
  <c r="L354" i="3"/>
  <c r="L355" i="3"/>
  <c r="L356" i="3"/>
  <c r="L357" i="3"/>
  <c r="L359" i="3"/>
  <c r="L361" i="3"/>
  <c r="L362" i="3"/>
  <c r="L363" i="3"/>
  <c r="L364" i="3"/>
  <c r="L365" i="3"/>
  <c r="L367" i="3"/>
  <c r="L369" i="3"/>
  <c r="L370" i="3"/>
  <c r="L371" i="3"/>
  <c r="L372" i="3"/>
  <c r="L373" i="3"/>
  <c r="L375" i="3"/>
  <c r="L377" i="3"/>
  <c r="L378" i="3"/>
  <c r="L379" i="3"/>
  <c r="L380" i="3"/>
  <c r="L381" i="3"/>
  <c r="L383" i="3"/>
  <c r="L385" i="3"/>
  <c r="L386" i="3"/>
  <c r="L387" i="3"/>
  <c r="L388" i="3"/>
  <c r="L389" i="3"/>
  <c r="L391" i="3"/>
  <c r="L393" i="3"/>
  <c r="L394" i="3"/>
  <c r="L395" i="3"/>
  <c r="L396" i="3"/>
  <c r="L397" i="3"/>
  <c r="L399" i="3"/>
  <c r="L11" i="3"/>
  <c r="L18" i="3"/>
  <c r="L43" i="3"/>
  <c r="L63" i="3"/>
  <c r="L78" i="3"/>
  <c r="L7" i="3"/>
  <c r="L31" i="3"/>
  <c r="L46" i="3"/>
  <c r="L75" i="3"/>
  <c r="L107" i="3"/>
  <c r="L123" i="3"/>
  <c r="L139" i="3"/>
  <c r="L155" i="3"/>
  <c r="L171" i="3"/>
  <c r="L187" i="3"/>
  <c r="L203" i="3"/>
  <c r="L219" i="3"/>
  <c r="L95" i="3"/>
  <c r="L111" i="3"/>
  <c r="L127" i="3"/>
  <c r="L143" i="3"/>
  <c r="L159" i="3"/>
  <c r="L175" i="3"/>
  <c r="L191" i="3"/>
  <c r="L207" i="3"/>
  <c r="L223" i="3"/>
  <c r="L3" i="3"/>
  <c r="L19" i="3"/>
  <c r="L35" i="3"/>
  <c r="L51" i="3"/>
  <c r="L67" i="3"/>
  <c r="L83" i="3"/>
  <c r="L99" i="3"/>
  <c r="L115" i="3"/>
  <c r="L131" i="3"/>
  <c r="L147" i="3"/>
  <c r="L163" i="3"/>
  <c r="L179" i="3"/>
  <c r="L195" i="3"/>
  <c r="L211" i="3"/>
  <c r="L227" i="3"/>
</calcChain>
</file>

<file path=xl/sharedStrings.xml><?xml version="1.0" encoding="utf-8"?>
<sst xmlns="http://schemas.openxmlformats.org/spreadsheetml/2006/main" count="7553" uniqueCount="30">
  <si>
    <t>Evolution</t>
  </si>
  <si>
    <t>Day</t>
  </si>
  <si>
    <t>Strain</t>
  </si>
  <si>
    <t>Culture</t>
  </si>
  <si>
    <t>Count</t>
  </si>
  <si>
    <t>Dilution</t>
  </si>
  <si>
    <t>Factor</t>
  </si>
  <si>
    <t>CFU</t>
  </si>
  <si>
    <t>Cefepime</t>
  </si>
  <si>
    <t>ATEC</t>
  </si>
  <si>
    <t>Drug</t>
  </si>
  <si>
    <t>Count2</t>
  </si>
  <si>
    <t>Volume</t>
  </si>
  <si>
    <t>Average Count</t>
  </si>
  <si>
    <t>PA</t>
  </si>
  <si>
    <t>Amikacin</t>
  </si>
  <si>
    <t>MG1655</t>
  </si>
  <si>
    <t>PL</t>
  </si>
  <si>
    <t>Levofloxacin</t>
  </si>
  <si>
    <t>A</t>
  </si>
  <si>
    <t>B</t>
  </si>
  <si>
    <t>C</t>
  </si>
  <si>
    <t>D</t>
  </si>
  <si>
    <t>PC</t>
  </si>
  <si>
    <t>count/(dilution*(volume/1000)</t>
  </si>
  <si>
    <t>Line</t>
  </si>
  <si>
    <t>Count 1</t>
  </si>
  <si>
    <t>Count 2</t>
  </si>
  <si>
    <t>AvgCount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</si>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</sst>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4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/>
    <xf numFmtId="0" fontId="0" fillId="0" borderId="0" xfId="0" quotePrefix="1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164" fontId="0" fillId="2" borderId="6" xfId="0" applyNumberFormat="1" applyFill="1" applyBorder="1" applyAlignment="1">
      <alignment horizontal="left"/>
    </xf>
    <xf numFmtId="164" fontId="0" fillId="0" borderId="0" xfId="0" applyNumberFormat="1"/>
    <xf numFmtId="164" fontId="0" fillId="2" borderId="7" xfId="0" applyNumberFormat="1" applyFill="1" applyBorder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164" fontId="2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30AE-5006-B34F-9979-46DEAED927E3}">
  <dimension ref="A1:I581"/>
  <sheetViews>
    <sheetView topLeftCell="A112" workbookViewId="0">
      <selection activeCell="H122" sqref="H122"/>
    </sheetView>
  </sheetViews>
  <sheetFormatPr defaultColWidth="11" defaultRowHeight="15.9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>
        <v>1</v>
      </c>
      <c r="C2" s="1" t="s">
        <v>9</v>
      </c>
      <c r="D2" s="1">
        <v>1</v>
      </c>
      <c r="E2">
        <v>6</v>
      </c>
      <c r="F2">
        <v>6</v>
      </c>
      <c r="G2">
        <f>1/10^F2</f>
        <v>9.9999999999999995E-7</v>
      </c>
      <c r="H2" s="2">
        <f>E2/(G2*0.02)</f>
        <v>300000000</v>
      </c>
    </row>
    <row r="3" spans="1:9">
      <c r="A3" t="s">
        <v>8</v>
      </c>
      <c r="B3">
        <v>1</v>
      </c>
      <c r="C3" s="1" t="s">
        <v>9</v>
      </c>
      <c r="D3" s="1">
        <v>2</v>
      </c>
      <c r="E3">
        <v>9</v>
      </c>
      <c r="F3">
        <v>6</v>
      </c>
      <c r="G3">
        <f t="shared" ref="G3:G66" si="0">1/10^F3</f>
        <v>9.9999999999999995E-7</v>
      </c>
      <c r="H3" s="2">
        <f>E3/(G3*0.02)</f>
        <v>450000000</v>
      </c>
    </row>
    <row r="4" spans="1:9">
      <c r="A4" t="s">
        <v>8</v>
      </c>
      <c r="B4">
        <v>1</v>
      </c>
      <c r="C4" s="1" t="s">
        <v>9</v>
      </c>
      <c r="D4" s="1">
        <v>3</v>
      </c>
      <c r="E4">
        <v>8</v>
      </c>
      <c r="F4">
        <v>6</v>
      </c>
      <c r="G4">
        <f t="shared" si="0"/>
        <v>9.9999999999999995E-7</v>
      </c>
      <c r="H4" s="2">
        <f t="shared" ref="H3:H66" si="1">E4/(G4*0.02)</f>
        <v>400000000</v>
      </c>
    </row>
    <row r="5" spans="1:9">
      <c r="A5" t="s">
        <v>8</v>
      </c>
      <c r="B5">
        <v>1</v>
      </c>
      <c r="C5" s="1" t="s">
        <v>9</v>
      </c>
      <c r="D5" s="1">
        <v>4</v>
      </c>
      <c r="E5">
        <v>9</v>
      </c>
      <c r="F5">
        <v>6</v>
      </c>
      <c r="G5">
        <f t="shared" si="0"/>
        <v>9.9999999999999995E-7</v>
      </c>
      <c r="H5" s="2">
        <f t="shared" si="1"/>
        <v>450000000</v>
      </c>
    </row>
    <row r="6" spans="1:9">
      <c r="A6" t="s">
        <v>8</v>
      </c>
      <c r="B6">
        <v>1</v>
      </c>
      <c r="C6" s="1" t="s">
        <v>9</v>
      </c>
      <c r="D6" s="1">
        <v>5</v>
      </c>
      <c r="E6">
        <v>11</v>
      </c>
      <c r="F6">
        <v>6</v>
      </c>
      <c r="G6">
        <f t="shared" si="0"/>
        <v>9.9999999999999995E-7</v>
      </c>
      <c r="H6" s="2">
        <f t="shared" si="1"/>
        <v>550000000</v>
      </c>
    </row>
    <row r="7" spans="1:9">
      <c r="A7" t="s">
        <v>8</v>
      </c>
      <c r="B7">
        <v>1</v>
      </c>
      <c r="C7" s="1" t="s">
        <v>9</v>
      </c>
      <c r="D7" s="1">
        <v>6</v>
      </c>
      <c r="E7">
        <v>9</v>
      </c>
      <c r="F7">
        <v>6</v>
      </c>
      <c r="G7">
        <f t="shared" si="0"/>
        <v>9.9999999999999995E-7</v>
      </c>
      <c r="H7" s="2">
        <f t="shared" si="1"/>
        <v>450000000</v>
      </c>
    </row>
    <row r="8" spans="1:9">
      <c r="A8" t="s">
        <v>8</v>
      </c>
      <c r="B8">
        <f>B2+0.5</f>
        <v>1.5</v>
      </c>
      <c r="C8" s="1" t="s">
        <v>9</v>
      </c>
      <c r="D8" s="1">
        <f>D2</f>
        <v>1</v>
      </c>
      <c r="E8">
        <v>3</v>
      </c>
      <c r="F8">
        <v>2</v>
      </c>
      <c r="G8">
        <f t="shared" si="0"/>
        <v>0.01</v>
      </c>
      <c r="H8" s="2">
        <f t="shared" si="1"/>
        <v>15000</v>
      </c>
      <c r="I8" s="3"/>
    </row>
    <row r="9" spans="1:9">
      <c r="A9" t="s">
        <v>8</v>
      </c>
      <c r="B9">
        <f>B3+0.5</f>
        <v>1.5</v>
      </c>
      <c r="C9" s="1" t="s">
        <v>9</v>
      </c>
      <c r="D9" s="1">
        <f t="shared" ref="D9:D72" si="2">D3</f>
        <v>2</v>
      </c>
      <c r="E9">
        <v>13</v>
      </c>
      <c r="F9">
        <v>2</v>
      </c>
      <c r="G9">
        <f t="shared" si="0"/>
        <v>0.01</v>
      </c>
      <c r="H9" s="2">
        <f t="shared" si="1"/>
        <v>65000</v>
      </c>
      <c r="I9" s="3"/>
    </row>
    <row r="10" spans="1:9">
      <c r="A10" t="s">
        <v>8</v>
      </c>
      <c r="B10">
        <f>B4+0.5</f>
        <v>1.5</v>
      </c>
      <c r="C10" s="1" t="s">
        <v>9</v>
      </c>
      <c r="D10" s="1">
        <f t="shared" si="2"/>
        <v>3</v>
      </c>
      <c r="E10">
        <v>11</v>
      </c>
      <c r="F10">
        <v>3</v>
      </c>
      <c r="G10">
        <f t="shared" si="0"/>
        <v>1E-3</v>
      </c>
      <c r="H10" s="2">
        <f t="shared" si="1"/>
        <v>550000</v>
      </c>
      <c r="I10" s="3"/>
    </row>
    <row r="11" spans="1:9">
      <c r="A11" t="s">
        <v>8</v>
      </c>
      <c r="B11">
        <f>B5+0.5</f>
        <v>1.5</v>
      </c>
      <c r="C11" s="1" t="s">
        <v>9</v>
      </c>
      <c r="D11" s="1">
        <f t="shared" si="2"/>
        <v>4</v>
      </c>
      <c r="E11">
        <v>1</v>
      </c>
      <c r="F11">
        <v>4</v>
      </c>
      <c r="G11">
        <f t="shared" si="0"/>
        <v>1E-4</v>
      </c>
      <c r="H11" s="2">
        <f t="shared" si="1"/>
        <v>499999.99999999994</v>
      </c>
      <c r="I11" s="3"/>
    </row>
    <row r="12" spans="1:9">
      <c r="A12" t="s">
        <v>8</v>
      </c>
      <c r="B12">
        <f>B6+0.5</f>
        <v>1.5</v>
      </c>
      <c r="C12" s="1" t="s">
        <v>9</v>
      </c>
      <c r="D12" s="1">
        <f>D6</f>
        <v>5</v>
      </c>
      <c r="E12">
        <v>8</v>
      </c>
      <c r="F12">
        <v>2</v>
      </c>
      <c r="G12">
        <f t="shared" si="0"/>
        <v>0.01</v>
      </c>
      <c r="H12" s="2">
        <f t="shared" si="1"/>
        <v>40000</v>
      </c>
      <c r="I12" s="3"/>
    </row>
    <row r="13" spans="1:9">
      <c r="A13" t="s">
        <v>8</v>
      </c>
      <c r="B13">
        <f t="shared" ref="B13:B76" si="3">B7+0.5</f>
        <v>1.5</v>
      </c>
      <c r="C13" s="1" t="s">
        <v>9</v>
      </c>
      <c r="D13" s="1">
        <f t="shared" si="2"/>
        <v>6</v>
      </c>
      <c r="E13">
        <v>19</v>
      </c>
      <c r="F13">
        <v>3</v>
      </c>
      <c r="G13">
        <f t="shared" si="0"/>
        <v>1E-3</v>
      </c>
      <c r="H13" s="2">
        <f t="shared" si="1"/>
        <v>949999.99999999988</v>
      </c>
      <c r="I13" s="3"/>
    </row>
    <row r="14" spans="1:9">
      <c r="A14" t="s">
        <v>8</v>
      </c>
      <c r="B14">
        <f t="shared" si="3"/>
        <v>2</v>
      </c>
      <c r="C14" s="1" t="s">
        <v>9</v>
      </c>
      <c r="D14" s="1">
        <f t="shared" si="2"/>
        <v>1</v>
      </c>
      <c r="E14">
        <v>9</v>
      </c>
      <c r="F14">
        <v>6</v>
      </c>
      <c r="G14">
        <f t="shared" si="0"/>
        <v>9.9999999999999995E-7</v>
      </c>
      <c r="H14" s="2">
        <f t="shared" si="1"/>
        <v>450000000</v>
      </c>
    </row>
    <row r="15" spans="1:9">
      <c r="A15" t="s">
        <v>8</v>
      </c>
      <c r="B15">
        <f t="shared" si="3"/>
        <v>2</v>
      </c>
      <c r="C15" s="1" t="s">
        <v>9</v>
      </c>
      <c r="D15" s="1">
        <f t="shared" si="2"/>
        <v>2</v>
      </c>
      <c r="E15">
        <v>15</v>
      </c>
      <c r="F15">
        <v>6</v>
      </c>
      <c r="G15">
        <f t="shared" si="0"/>
        <v>9.9999999999999995E-7</v>
      </c>
      <c r="H15" s="2">
        <f t="shared" si="1"/>
        <v>750000000</v>
      </c>
    </row>
    <row r="16" spans="1:9">
      <c r="A16" t="s">
        <v>8</v>
      </c>
      <c r="B16">
        <f t="shared" si="3"/>
        <v>2</v>
      </c>
      <c r="C16" s="1" t="s">
        <v>9</v>
      </c>
      <c r="D16" s="1">
        <f t="shared" si="2"/>
        <v>3</v>
      </c>
      <c r="E16">
        <v>7</v>
      </c>
      <c r="F16">
        <v>6</v>
      </c>
      <c r="G16">
        <f t="shared" si="0"/>
        <v>9.9999999999999995E-7</v>
      </c>
      <c r="H16" s="2">
        <f t="shared" si="1"/>
        <v>350000000</v>
      </c>
    </row>
    <row r="17" spans="1:8">
      <c r="A17" t="s">
        <v>8</v>
      </c>
      <c r="B17">
        <f t="shared" si="3"/>
        <v>2</v>
      </c>
      <c r="C17" s="1" t="s">
        <v>9</v>
      </c>
      <c r="D17" s="1">
        <f t="shared" si="2"/>
        <v>4</v>
      </c>
      <c r="E17">
        <v>5</v>
      </c>
      <c r="F17">
        <v>6</v>
      </c>
      <c r="G17">
        <f t="shared" si="0"/>
        <v>9.9999999999999995E-7</v>
      </c>
      <c r="H17" s="2">
        <f t="shared" si="1"/>
        <v>250000000</v>
      </c>
    </row>
    <row r="18" spans="1:8">
      <c r="A18" t="s">
        <v>8</v>
      </c>
      <c r="B18">
        <f t="shared" si="3"/>
        <v>2</v>
      </c>
      <c r="C18" s="1" t="s">
        <v>9</v>
      </c>
      <c r="D18" s="1">
        <f t="shared" si="2"/>
        <v>5</v>
      </c>
      <c r="E18">
        <v>6</v>
      </c>
      <c r="F18">
        <v>6</v>
      </c>
      <c r="G18">
        <f t="shared" si="0"/>
        <v>9.9999999999999995E-7</v>
      </c>
      <c r="H18" s="2">
        <f t="shared" si="1"/>
        <v>300000000</v>
      </c>
    </row>
    <row r="19" spans="1:8">
      <c r="A19" t="s">
        <v>8</v>
      </c>
      <c r="B19">
        <f t="shared" si="3"/>
        <v>2</v>
      </c>
      <c r="C19" s="1" t="s">
        <v>9</v>
      </c>
      <c r="D19" s="1">
        <f t="shared" si="2"/>
        <v>6</v>
      </c>
      <c r="E19">
        <v>3</v>
      </c>
      <c r="F19">
        <v>6</v>
      </c>
      <c r="G19">
        <f t="shared" si="0"/>
        <v>9.9999999999999995E-7</v>
      </c>
      <c r="H19" s="2">
        <f t="shared" si="1"/>
        <v>150000000</v>
      </c>
    </row>
    <row r="20" spans="1:8">
      <c r="A20" t="s">
        <v>8</v>
      </c>
      <c r="B20">
        <f t="shared" si="3"/>
        <v>2.5</v>
      </c>
      <c r="C20" s="1" t="s">
        <v>9</v>
      </c>
      <c r="D20" s="1">
        <f t="shared" si="2"/>
        <v>1</v>
      </c>
      <c r="E20">
        <v>13</v>
      </c>
      <c r="F20">
        <v>2</v>
      </c>
      <c r="G20">
        <f t="shared" si="0"/>
        <v>0.01</v>
      </c>
      <c r="H20" s="2">
        <f t="shared" si="1"/>
        <v>65000</v>
      </c>
    </row>
    <row r="21" spans="1:8">
      <c r="A21" t="s">
        <v>8</v>
      </c>
      <c r="B21">
        <f t="shared" si="3"/>
        <v>2.5</v>
      </c>
      <c r="C21" s="1" t="s">
        <v>9</v>
      </c>
      <c r="D21" s="1">
        <f t="shared" si="2"/>
        <v>2</v>
      </c>
      <c r="E21">
        <v>5</v>
      </c>
      <c r="F21">
        <v>2</v>
      </c>
      <c r="G21">
        <f t="shared" si="0"/>
        <v>0.01</v>
      </c>
      <c r="H21" s="2">
        <f t="shared" si="1"/>
        <v>25000</v>
      </c>
    </row>
    <row r="22" spans="1:8">
      <c r="A22" t="s">
        <v>8</v>
      </c>
      <c r="B22">
        <f t="shared" si="3"/>
        <v>2.5</v>
      </c>
      <c r="C22" s="1" t="s">
        <v>9</v>
      </c>
      <c r="D22" s="1">
        <f t="shared" si="2"/>
        <v>3</v>
      </c>
      <c r="E22">
        <v>6</v>
      </c>
      <c r="F22">
        <v>3</v>
      </c>
      <c r="G22">
        <f t="shared" si="0"/>
        <v>1E-3</v>
      </c>
      <c r="H22" s="2">
        <f t="shared" si="1"/>
        <v>300000</v>
      </c>
    </row>
    <row r="23" spans="1:8">
      <c r="A23" t="s">
        <v>8</v>
      </c>
      <c r="B23">
        <f t="shared" si="3"/>
        <v>2.5</v>
      </c>
      <c r="C23" s="1" t="s">
        <v>9</v>
      </c>
      <c r="D23" s="1">
        <f t="shared" si="2"/>
        <v>4</v>
      </c>
      <c r="E23">
        <v>6</v>
      </c>
      <c r="F23">
        <v>2</v>
      </c>
      <c r="G23">
        <f t="shared" si="0"/>
        <v>0.01</v>
      </c>
      <c r="H23" s="2">
        <f t="shared" si="1"/>
        <v>30000</v>
      </c>
    </row>
    <row r="24" spans="1:8">
      <c r="A24" t="s">
        <v>8</v>
      </c>
      <c r="B24">
        <f t="shared" si="3"/>
        <v>2.5</v>
      </c>
      <c r="C24" s="1" t="s">
        <v>9</v>
      </c>
      <c r="D24" s="1">
        <f t="shared" si="2"/>
        <v>5</v>
      </c>
      <c r="E24">
        <v>6</v>
      </c>
      <c r="F24">
        <v>3</v>
      </c>
      <c r="G24">
        <f t="shared" si="0"/>
        <v>1E-3</v>
      </c>
      <c r="H24" s="2">
        <f t="shared" si="1"/>
        <v>300000</v>
      </c>
    </row>
    <row r="25" spans="1:8">
      <c r="A25" t="s">
        <v>8</v>
      </c>
      <c r="B25">
        <f t="shared" si="3"/>
        <v>2.5</v>
      </c>
      <c r="C25" s="1" t="s">
        <v>9</v>
      </c>
      <c r="D25" s="1">
        <f t="shared" si="2"/>
        <v>6</v>
      </c>
      <c r="E25">
        <v>3</v>
      </c>
      <c r="F25">
        <v>2</v>
      </c>
      <c r="G25">
        <f t="shared" si="0"/>
        <v>0.01</v>
      </c>
      <c r="H25" s="2">
        <f t="shared" si="1"/>
        <v>15000</v>
      </c>
    </row>
    <row r="26" spans="1:8">
      <c r="A26" t="s">
        <v>8</v>
      </c>
      <c r="B26">
        <f t="shared" si="3"/>
        <v>3</v>
      </c>
      <c r="C26" s="1" t="s">
        <v>9</v>
      </c>
      <c r="D26" s="1">
        <f t="shared" si="2"/>
        <v>1</v>
      </c>
      <c r="E26">
        <v>5</v>
      </c>
      <c r="F26">
        <v>6</v>
      </c>
      <c r="G26">
        <f t="shared" si="0"/>
        <v>9.9999999999999995E-7</v>
      </c>
      <c r="H26" s="2">
        <f t="shared" si="1"/>
        <v>250000000</v>
      </c>
    </row>
    <row r="27" spans="1:8">
      <c r="A27" t="s">
        <v>8</v>
      </c>
      <c r="B27">
        <f t="shared" si="3"/>
        <v>3</v>
      </c>
      <c r="C27" s="1" t="s">
        <v>9</v>
      </c>
      <c r="D27" s="1">
        <f t="shared" si="2"/>
        <v>2</v>
      </c>
      <c r="E27">
        <v>14</v>
      </c>
      <c r="F27">
        <v>6</v>
      </c>
      <c r="G27">
        <f t="shared" si="0"/>
        <v>9.9999999999999995E-7</v>
      </c>
      <c r="H27" s="2">
        <f t="shared" si="1"/>
        <v>700000000</v>
      </c>
    </row>
    <row r="28" spans="1:8">
      <c r="A28" t="s">
        <v>8</v>
      </c>
      <c r="B28">
        <f t="shared" si="3"/>
        <v>3</v>
      </c>
      <c r="C28" s="1" t="s">
        <v>9</v>
      </c>
      <c r="D28" s="1">
        <f t="shared" si="2"/>
        <v>3</v>
      </c>
      <c r="E28">
        <v>7</v>
      </c>
      <c r="F28">
        <v>6</v>
      </c>
      <c r="G28">
        <f t="shared" si="0"/>
        <v>9.9999999999999995E-7</v>
      </c>
      <c r="H28" s="2">
        <f t="shared" si="1"/>
        <v>350000000</v>
      </c>
    </row>
    <row r="29" spans="1:8">
      <c r="A29" t="s">
        <v>8</v>
      </c>
      <c r="B29">
        <f t="shared" si="3"/>
        <v>3</v>
      </c>
      <c r="C29" s="1" t="s">
        <v>9</v>
      </c>
      <c r="D29" s="1">
        <f t="shared" si="2"/>
        <v>4</v>
      </c>
      <c r="E29">
        <v>15</v>
      </c>
      <c r="F29">
        <v>6</v>
      </c>
      <c r="G29">
        <f t="shared" si="0"/>
        <v>9.9999999999999995E-7</v>
      </c>
      <c r="H29" s="2">
        <f t="shared" si="1"/>
        <v>750000000</v>
      </c>
    </row>
    <row r="30" spans="1:8">
      <c r="A30" t="s">
        <v>8</v>
      </c>
      <c r="B30">
        <f t="shared" si="3"/>
        <v>3</v>
      </c>
      <c r="C30" s="1" t="s">
        <v>9</v>
      </c>
      <c r="D30" s="1">
        <f t="shared" si="2"/>
        <v>5</v>
      </c>
      <c r="E30">
        <v>7</v>
      </c>
      <c r="F30">
        <v>6</v>
      </c>
      <c r="G30">
        <f t="shared" si="0"/>
        <v>9.9999999999999995E-7</v>
      </c>
      <c r="H30" s="2">
        <f t="shared" si="1"/>
        <v>350000000</v>
      </c>
    </row>
    <row r="31" spans="1:8">
      <c r="A31" t="s">
        <v>8</v>
      </c>
      <c r="B31">
        <f t="shared" si="3"/>
        <v>3</v>
      </c>
      <c r="C31" s="1" t="s">
        <v>9</v>
      </c>
      <c r="D31" s="1">
        <f t="shared" si="2"/>
        <v>6</v>
      </c>
      <c r="E31">
        <v>8</v>
      </c>
      <c r="F31">
        <v>6</v>
      </c>
      <c r="G31">
        <f t="shared" si="0"/>
        <v>9.9999999999999995E-7</v>
      </c>
      <c r="H31" s="2">
        <f t="shared" si="1"/>
        <v>400000000</v>
      </c>
    </row>
    <row r="32" spans="1:8">
      <c r="A32" t="s">
        <v>8</v>
      </c>
      <c r="B32">
        <f t="shared" si="3"/>
        <v>3.5</v>
      </c>
      <c r="C32" s="1" t="s">
        <v>9</v>
      </c>
      <c r="D32" s="1">
        <f t="shared" si="2"/>
        <v>1</v>
      </c>
      <c r="E32">
        <v>5</v>
      </c>
      <c r="F32">
        <v>4</v>
      </c>
      <c r="G32">
        <f t="shared" si="0"/>
        <v>1E-4</v>
      </c>
      <c r="H32" s="2">
        <f t="shared" si="1"/>
        <v>2499999.9999999995</v>
      </c>
    </row>
    <row r="33" spans="1:8">
      <c r="A33" t="s">
        <v>8</v>
      </c>
      <c r="B33">
        <f t="shared" si="3"/>
        <v>3.5</v>
      </c>
      <c r="C33" s="1" t="s">
        <v>9</v>
      </c>
      <c r="D33" s="1">
        <f t="shared" si="2"/>
        <v>2</v>
      </c>
      <c r="E33">
        <v>3</v>
      </c>
      <c r="F33">
        <v>4</v>
      </c>
      <c r="G33">
        <f t="shared" si="0"/>
        <v>1E-4</v>
      </c>
      <c r="H33" s="2">
        <f t="shared" si="1"/>
        <v>1499999.9999999998</v>
      </c>
    </row>
    <row r="34" spans="1:8">
      <c r="A34" t="s">
        <v>8</v>
      </c>
      <c r="B34">
        <f t="shared" si="3"/>
        <v>3.5</v>
      </c>
      <c r="C34" s="1" t="s">
        <v>9</v>
      </c>
      <c r="D34" s="1">
        <f t="shared" si="2"/>
        <v>3</v>
      </c>
      <c r="E34">
        <v>3</v>
      </c>
      <c r="F34">
        <v>3</v>
      </c>
      <c r="G34">
        <f t="shared" si="0"/>
        <v>1E-3</v>
      </c>
      <c r="H34" s="2">
        <f t="shared" si="1"/>
        <v>150000</v>
      </c>
    </row>
    <row r="35" spans="1:8">
      <c r="A35" t="s">
        <v>8</v>
      </c>
      <c r="B35">
        <f t="shared" si="3"/>
        <v>3.5</v>
      </c>
      <c r="C35" s="1" t="s">
        <v>9</v>
      </c>
      <c r="D35" s="1">
        <f t="shared" si="2"/>
        <v>4</v>
      </c>
      <c r="E35">
        <v>18</v>
      </c>
      <c r="F35">
        <v>4</v>
      </c>
      <c r="G35">
        <f t="shared" si="0"/>
        <v>1E-4</v>
      </c>
      <c r="H35" s="2">
        <f t="shared" si="1"/>
        <v>8999999.9999999981</v>
      </c>
    </row>
    <row r="36" spans="1:8">
      <c r="A36" t="s">
        <v>8</v>
      </c>
      <c r="B36">
        <f t="shared" si="3"/>
        <v>3.5</v>
      </c>
      <c r="C36" s="1" t="s">
        <v>9</v>
      </c>
      <c r="D36" s="1">
        <f t="shared" si="2"/>
        <v>5</v>
      </c>
      <c r="E36">
        <v>3</v>
      </c>
      <c r="F36">
        <v>4</v>
      </c>
      <c r="G36">
        <f t="shared" si="0"/>
        <v>1E-4</v>
      </c>
      <c r="H36" s="2">
        <f t="shared" si="1"/>
        <v>1499999.9999999998</v>
      </c>
    </row>
    <row r="37" spans="1:8">
      <c r="A37" t="s">
        <v>8</v>
      </c>
      <c r="B37">
        <f t="shared" si="3"/>
        <v>3.5</v>
      </c>
      <c r="C37" s="1" t="s">
        <v>9</v>
      </c>
      <c r="D37" s="1">
        <f t="shared" si="2"/>
        <v>6</v>
      </c>
      <c r="E37">
        <v>3</v>
      </c>
      <c r="F37">
        <v>4</v>
      </c>
      <c r="G37">
        <f t="shared" si="0"/>
        <v>1E-4</v>
      </c>
      <c r="H37" s="2">
        <f t="shared" si="1"/>
        <v>1499999.9999999998</v>
      </c>
    </row>
    <row r="38" spans="1:8">
      <c r="A38" t="s">
        <v>8</v>
      </c>
      <c r="B38">
        <f t="shared" si="3"/>
        <v>4</v>
      </c>
      <c r="C38" s="1" t="s">
        <v>9</v>
      </c>
      <c r="D38" s="1">
        <f t="shared" si="2"/>
        <v>1</v>
      </c>
      <c r="E38">
        <v>7</v>
      </c>
      <c r="F38">
        <v>6</v>
      </c>
      <c r="G38">
        <f t="shared" si="0"/>
        <v>9.9999999999999995E-7</v>
      </c>
      <c r="H38" s="2">
        <f t="shared" si="1"/>
        <v>350000000</v>
      </c>
    </row>
    <row r="39" spans="1:8">
      <c r="A39" t="s">
        <v>8</v>
      </c>
      <c r="B39">
        <f t="shared" si="3"/>
        <v>4</v>
      </c>
      <c r="C39" s="1" t="s">
        <v>9</v>
      </c>
      <c r="D39" s="1">
        <f t="shared" si="2"/>
        <v>2</v>
      </c>
      <c r="E39">
        <v>5</v>
      </c>
      <c r="F39">
        <v>6</v>
      </c>
      <c r="G39">
        <f t="shared" si="0"/>
        <v>9.9999999999999995E-7</v>
      </c>
      <c r="H39" s="2">
        <f t="shared" si="1"/>
        <v>250000000</v>
      </c>
    </row>
    <row r="40" spans="1:8">
      <c r="A40" t="s">
        <v>8</v>
      </c>
      <c r="B40">
        <f t="shared" si="3"/>
        <v>4</v>
      </c>
      <c r="C40" s="1" t="s">
        <v>9</v>
      </c>
      <c r="D40" s="1">
        <f t="shared" si="2"/>
        <v>3</v>
      </c>
      <c r="E40">
        <v>4</v>
      </c>
      <c r="F40">
        <v>6</v>
      </c>
      <c r="G40">
        <f t="shared" si="0"/>
        <v>9.9999999999999995E-7</v>
      </c>
      <c r="H40" s="2">
        <f t="shared" si="1"/>
        <v>200000000</v>
      </c>
    </row>
    <row r="41" spans="1:8">
      <c r="A41" t="s">
        <v>8</v>
      </c>
      <c r="B41">
        <f t="shared" si="3"/>
        <v>4</v>
      </c>
      <c r="C41" s="1" t="s">
        <v>9</v>
      </c>
      <c r="D41" s="1">
        <f t="shared" si="2"/>
        <v>4</v>
      </c>
      <c r="E41">
        <v>6</v>
      </c>
      <c r="F41">
        <v>6</v>
      </c>
      <c r="G41">
        <f t="shared" si="0"/>
        <v>9.9999999999999995E-7</v>
      </c>
      <c r="H41" s="2">
        <f t="shared" si="1"/>
        <v>300000000</v>
      </c>
    </row>
    <row r="42" spans="1:8">
      <c r="A42" t="s">
        <v>8</v>
      </c>
      <c r="B42">
        <f t="shared" si="3"/>
        <v>4</v>
      </c>
      <c r="C42" s="1" t="s">
        <v>9</v>
      </c>
      <c r="D42" s="1">
        <f t="shared" si="2"/>
        <v>5</v>
      </c>
      <c r="E42">
        <v>5</v>
      </c>
      <c r="F42">
        <v>6</v>
      </c>
      <c r="G42">
        <f t="shared" si="0"/>
        <v>9.9999999999999995E-7</v>
      </c>
      <c r="H42" s="2">
        <f t="shared" si="1"/>
        <v>250000000</v>
      </c>
    </row>
    <row r="43" spans="1:8">
      <c r="A43" t="s">
        <v>8</v>
      </c>
      <c r="B43">
        <f t="shared" si="3"/>
        <v>4</v>
      </c>
      <c r="C43" s="1" t="s">
        <v>9</v>
      </c>
      <c r="D43" s="1">
        <f t="shared" si="2"/>
        <v>6</v>
      </c>
      <c r="E43">
        <v>6</v>
      </c>
      <c r="F43">
        <v>6</v>
      </c>
      <c r="G43">
        <f t="shared" si="0"/>
        <v>9.9999999999999995E-7</v>
      </c>
      <c r="H43" s="2">
        <f t="shared" si="1"/>
        <v>300000000</v>
      </c>
    </row>
    <row r="44" spans="1:8">
      <c r="A44" t="s">
        <v>8</v>
      </c>
      <c r="B44">
        <f t="shared" si="3"/>
        <v>4.5</v>
      </c>
      <c r="C44" s="1" t="s">
        <v>9</v>
      </c>
      <c r="D44" s="1">
        <f t="shared" si="2"/>
        <v>1</v>
      </c>
      <c r="E44">
        <v>5</v>
      </c>
      <c r="F44">
        <v>4</v>
      </c>
      <c r="G44">
        <f t="shared" si="0"/>
        <v>1E-4</v>
      </c>
      <c r="H44" s="2">
        <f t="shared" si="1"/>
        <v>2499999.9999999995</v>
      </c>
    </row>
    <row r="45" spans="1:8">
      <c r="A45" t="s">
        <v>8</v>
      </c>
      <c r="B45">
        <f t="shared" si="3"/>
        <v>4.5</v>
      </c>
      <c r="C45" s="1" t="s">
        <v>9</v>
      </c>
      <c r="D45" s="1">
        <f t="shared" si="2"/>
        <v>2</v>
      </c>
      <c r="E45">
        <v>5</v>
      </c>
      <c r="F45">
        <v>2</v>
      </c>
      <c r="G45">
        <f t="shared" si="0"/>
        <v>0.01</v>
      </c>
      <c r="H45" s="2">
        <f t="shared" si="1"/>
        <v>25000</v>
      </c>
    </row>
    <row r="46" spans="1:8">
      <c r="A46" t="s">
        <v>8</v>
      </c>
      <c r="B46">
        <f t="shared" si="3"/>
        <v>4.5</v>
      </c>
      <c r="C46" s="1" t="s">
        <v>9</v>
      </c>
      <c r="D46" s="1">
        <f t="shared" si="2"/>
        <v>3</v>
      </c>
      <c r="E46">
        <v>2</v>
      </c>
      <c r="F46">
        <v>2</v>
      </c>
      <c r="G46">
        <f t="shared" si="0"/>
        <v>0.01</v>
      </c>
      <c r="H46" s="2">
        <f t="shared" si="1"/>
        <v>10000</v>
      </c>
    </row>
    <row r="47" spans="1:8">
      <c r="A47" t="s">
        <v>8</v>
      </c>
      <c r="B47">
        <f t="shared" si="3"/>
        <v>4.5</v>
      </c>
      <c r="C47" s="1" t="s">
        <v>9</v>
      </c>
      <c r="D47" s="1">
        <f t="shared" si="2"/>
        <v>4</v>
      </c>
      <c r="E47">
        <v>4</v>
      </c>
      <c r="F47">
        <v>3</v>
      </c>
      <c r="G47">
        <f t="shared" si="0"/>
        <v>1E-3</v>
      </c>
      <c r="H47" s="2">
        <f t="shared" si="1"/>
        <v>199999.99999999997</v>
      </c>
    </row>
    <row r="48" spans="1:8">
      <c r="A48" t="s">
        <v>8</v>
      </c>
      <c r="B48">
        <f t="shared" si="3"/>
        <v>4.5</v>
      </c>
      <c r="C48" s="1" t="s">
        <v>9</v>
      </c>
      <c r="D48" s="1">
        <f t="shared" si="2"/>
        <v>5</v>
      </c>
      <c r="E48">
        <v>2</v>
      </c>
      <c r="F48">
        <v>2</v>
      </c>
      <c r="G48">
        <f t="shared" si="0"/>
        <v>0.01</v>
      </c>
      <c r="H48" s="2">
        <f t="shared" si="1"/>
        <v>10000</v>
      </c>
    </row>
    <row r="49" spans="1:8">
      <c r="A49" t="s">
        <v>8</v>
      </c>
      <c r="B49">
        <f t="shared" si="3"/>
        <v>4.5</v>
      </c>
      <c r="C49" s="1" t="s">
        <v>9</v>
      </c>
      <c r="D49" s="1">
        <f t="shared" si="2"/>
        <v>6</v>
      </c>
      <c r="E49">
        <v>7</v>
      </c>
      <c r="F49">
        <v>3</v>
      </c>
      <c r="G49">
        <f t="shared" si="0"/>
        <v>1E-3</v>
      </c>
      <c r="H49" s="2">
        <f t="shared" si="1"/>
        <v>350000</v>
      </c>
    </row>
    <row r="50" spans="1:8">
      <c r="A50" t="s">
        <v>8</v>
      </c>
      <c r="B50">
        <f t="shared" si="3"/>
        <v>5</v>
      </c>
      <c r="C50" s="1" t="s">
        <v>9</v>
      </c>
      <c r="D50" s="1">
        <f t="shared" si="2"/>
        <v>1</v>
      </c>
      <c r="E50">
        <v>9</v>
      </c>
      <c r="F50">
        <v>6</v>
      </c>
      <c r="G50">
        <f t="shared" si="0"/>
        <v>9.9999999999999995E-7</v>
      </c>
      <c r="H50" s="2">
        <f t="shared" si="1"/>
        <v>450000000</v>
      </c>
    </row>
    <row r="51" spans="1:8">
      <c r="A51" t="s">
        <v>8</v>
      </c>
      <c r="B51">
        <f t="shared" si="3"/>
        <v>5</v>
      </c>
      <c r="C51" s="1" t="s">
        <v>9</v>
      </c>
      <c r="D51" s="1">
        <f t="shared" si="2"/>
        <v>2</v>
      </c>
      <c r="E51">
        <v>8</v>
      </c>
      <c r="F51">
        <v>6</v>
      </c>
      <c r="G51">
        <f t="shared" si="0"/>
        <v>9.9999999999999995E-7</v>
      </c>
      <c r="H51" s="2">
        <f t="shared" si="1"/>
        <v>400000000</v>
      </c>
    </row>
    <row r="52" spans="1:8">
      <c r="A52" t="s">
        <v>8</v>
      </c>
      <c r="B52">
        <f t="shared" si="3"/>
        <v>5</v>
      </c>
      <c r="C52" s="1" t="s">
        <v>9</v>
      </c>
      <c r="D52" s="1">
        <f t="shared" si="2"/>
        <v>3</v>
      </c>
      <c r="E52">
        <v>9</v>
      </c>
      <c r="F52">
        <v>6</v>
      </c>
      <c r="G52">
        <f t="shared" si="0"/>
        <v>9.9999999999999995E-7</v>
      </c>
      <c r="H52" s="2">
        <f t="shared" si="1"/>
        <v>450000000</v>
      </c>
    </row>
    <row r="53" spans="1:8">
      <c r="A53" t="s">
        <v>8</v>
      </c>
      <c r="B53">
        <f t="shared" si="3"/>
        <v>5</v>
      </c>
      <c r="C53" s="1" t="s">
        <v>9</v>
      </c>
      <c r="D53" s="1">
        <f t="shared" si="2"/>
        <v>4</v>
      </c>
      <c r="E53">
        <v>6</v>
      </c>
      <c r="F53">
        <v>6</v>
      </c>
      <c r="G53">
        <f t="shared" si="0"/>
        <v>9.9999999999999995E-7</v>
      </c>
      <c r="H53" s="2">
        <f t="shared" si="1"/>
        <v>300000000</v>
      </c>
    </row>
    <row r="54" spans="1:8">
      <c r="A54" t="s">
        <v>8</v>
      </c>
      <c r="B54">
        <f t="shared" si="3"/>
        <v>5</v>
      </c>
      <c r="C54" s="1" t="s">
        <v>9</v>
      </c>
      <c r="D54" s="1">
        <f t="shared" si="2"/>
        <v>5</v>
      </c>
      <c r="E54">
        <v>5</v>
      </c>
      <c r="F54">
        <v>6</v>
      </c>
      <c r="G54">
        <f t="shared" si="0"/>
        <v>9.9999999999999995E-7</v>
      </c>
      <c r="H54" s="2">
        <f t="shared" si="1"/>
        <v>250000000</v>
      </c>
    </row>
    <row r="55" spans="1:8">
      <c r="A55" t="s">
        <v>8</v>
      </c>
      <c r="B55">
        <f t="shared" si="3"/>
        <v>5</v>
      </c>
      <c r="C55" s="1" t="s">
        <v>9</v>
      </c>
      <c r="D55" s="1">
        <f t="shared" si="2"/>
        <v>6</v>
      </c>
      <c r="E55">
        <v>5</v>
      </c>
      <c r="F55">
        <v>6</v>
      </c>
      <c r="G55">
        <f t="shared" si="0"/>
        <v>9.9999999999999995E-7</v>
      </c>
      <c r="H55" s="2">
        <f t="shared" si="1"/>
        <v>250000000</v>
      </c>
    </row>
    <row r="56" spans="1:8">
      <c r="A56" t="s">
        <v>8</v>
      </c>
      <c r="B56">
        <f t="shared" si="3"/>
        <v>5.5</v>
      </c>
      <c r="C56" s="1" t="s">
        <v>9</v>
      </c>
      <c r="D56" s="1">
        <f t="shared" si="2"/>
        <v>1</v>
      </c>
      <c r="E56">
        <v>10</v>
      </c>
      <c r="F56">
        <v>4</v>
      </c>
      <c r="G56">
        <f t="shared" si="0"/>
        <v>1E-4</v>
      </c>
      <c r="H56" s="2">
        <f t="shared" si="1"/>
        <v>4999999.9999999991</v>
      </c>
    </row>
    <row r="57" spans="1:8">
      <c r="A57" t="s">
        <v>8</v>
      </c>
      <c r="B57">
        <f t="shared" si="3"/>
        <v>5.5</v>
      </c>
      <c r="C57" s="1" t="s">
        <v>9</v>
      </c>
      <c r="D57" s="1">
        <f t="shared" si="2"/>
        <v>2</v>
      </c>
      <c r="E57">
        <v>16</v>
      </c>
      <c r="F57">
        <v>3</v>
      </c>
      <c r="G57">
        <f t="shared" si="0"/>
        <v>1E-3</v>
      </c>
      <c r="H57" s="2">
        <f t="shared" si="1"/>
        <v>799999.99999999988</v>
      </c>
    </row>
    <row r="58" spans="1:8">
      <c r="A58" t="s">
        <v>8</v>
      </c>
      <c r="B58">
        <f t="shared" si="3"/>
        <v>5.5</v>
      </c>
      <c r="C58" s="1" t="s">
        <v>9</v>
      </c>
      <c r="D58" s="1">
        <f t="shared" si="2"/>
        <v>3</v>
      </c>
      <c r="E58">
        <v>2</v>
      </c>
      <c r="F58">
        <v>4</v>
      </c>
      <c r="G58">
        <f t="shared" si="0"/>
        <v>1E-4</v>
      </c>
      <c r="H58" s="2">
        <f t="shared" si="1"/>
        <v>999999.99999999988</v>
      </c>
    </row>
    <row r="59" spans="1:8">
      <c r="A59" t="s">
        <v>8</v>
      </c>
      <c r="B59">
        <f t="shared" si="3"/>
        <v>5.5</v>
      </c>
      <c r="C59" s="1" t="s">
        <v>9</v>
      </c>
      <c r="D59" s="1">
        <f t="shared" si="2"/>
        <v>4</v>
      </c>
      <c r="E59">
        <v>1</v>
      </c>
      <c r="F59">
        <v>3</v>
      </c>
      <c r="G59">
        <f t="shared" si="0"/>
        <v>1E-3</v>
      </c>
      <c r="H59" s="2">
        <f t="shared" si="1"/>
        <v>49999.999999999993</v>
      </c>
    </row>
    <row r="60" spans="1:8">
      <c r="A60" t="s">
        <v>8</v>
      </c>
      <c r="B60">
        <f t="shared" si="3"/>
        <v>5.5</v>
      </c>
      <c r="C60" s="1" t="s">
        <v>9</v>
      </c>
      <c r="D60" s="1">
        <f t="shared" si="2"/>
        <v>5</v>
      </c>
      <c r="E60">
        <v>1</v>
      </c>
      <c r="F60">
        <v>3</v>
      </c>
      <c r="G60">
        <f t="shared" si="0"/>
        <v>1E-3</v>
      </c>
      <c r="H60" s="2">
        <f t="shared" si="1"/>
        <v>49999.999999999993</v>
      </c>
    </row>
    <row r="61" spans="1:8">
      <c r="A61" t="s">
        <v>8</v>
      </c>
      <c r="B61">
        <f t="shared" si="3"/>
        <v>5.5</v>
      </c>
      <c r="C61" s="1" t="s">
        <v>9</v>
      </c>
      <c r="D61" s="1">
        <f t="shared" si="2"/>
        <v>6</v>
      </c>
      <c r="E61">
        <v>3</v>
      </c>
      <c r="F61">
        <v>3</v>
      </c>
      <c r="G61">
        <f t="shared" si="0"/>
        <v>1E-3</v>
      </c>
      <c r="H61" s="2">
        <f t="shared" si="1"/>
        <v>150000</v>
      </c>
    </row>
    <row r="62" spans="1:8">
      <c r="A62" t="s">
        <v>8</v>
      </c>
      <c r="B62">
        <f t="shared" si="3"/>
        <v>6</v>
      </c>
      <c r="C62" s="1" t="s">
        <v>9</v>
      </c>
      <c r="D62" s="1">
        <f t="shared" si="2"/>
        <v>1</v>
      </c>
      <c r="E62">
        <v>11</v>
      </c>
      <c r="F62">
        <v>6</v>
      </c>
      <c r="G62">
        <f t="shared" si="0"/>
        <v>9.9999999999999995E-7</v>
      </c>
      <c r="H62" s="2">
        <f t="shared" si="1"/>
        <v>550000000</v>
      </c>
    </row>
    <row r="63" spans="1:8">
      <c r="A63" t="s">
        <v>8</v>
      </c>
      <c r="B63">
        <f t="shared" si="3"/>
        <v>6</v>
      </c>
      <c r="C63" s="1" t="s">
        <v>9</v>
      </c>
      <c r="D63" s="1">
        <f t="shared" si="2"/>
        <v>2</v>
      </c>
      <c r="E63">
        <v>6</v>
      </c>
      <c r="F63">
        <v>6</v>
      </c>
      <c r="G63">
        <f t="shared" si="0"/>
        <v>9.9999999999999995E-7</v>
      </c>
      <c r="H63" s="2">
        <f t="shared" si="1"/>
        <v>300000000</v>
      </c>
    </row>
    <row r="64" spans="1:8">
      <c r="A64" t="s">
        <v>8</v>
      </c>
      <c r="B64">
        <f t="shared" si="3"/>
        <v>6</v>
      </c>
      <c r="C64" s="1" t="s">
        <v>9</v>
      </c>
      <c r="D64" s="1">
        <f t="shared" si="2"/>
        <v>3</v>
      </c>
      <c r="E64">
        <v>10</v>
      </c>
      <c r="F64">
        <v>6</v>
      </c>
      <c r="G64">
        <f t="shared" si="0"/>
        <v>9.9999999999999995E-7</v>
      </c>
      <c r="H64" s="2">
        <f t="shared" si="1"/>
        <v>500000000</v>
      </c>
    </row>
    <row r="65" spans="1:8">
      <c r="A65" t="s">
        <v>8</v>
      </c>
      <c r="B65">
        <f t="shared" si="3"/>
        <v>6</v>
      </c>
      <c r="C65" s="1" t="s">
        <v>9</v>
      </c>
      <c r="D65" s="1">
        <f t="shared" si="2"/>
        <v>4</v>
      </c>
      <c r="E65">
        <v>12</v>
      </c>
      <c r="F65">
        <v>6</v>
      </c>
      <c r="G65">
        <f t="shared" si="0"/>
        <v>9.9999999999999995E-7</v>
      </c>
      <c r="H65" s="2">
        <f t="shared" si="1"/>
        <v>600000000</v>
      </c>
    </row>
    <row r="66" spans="1:8">
      <c r="A66" t="s">
        <v>8</v>
      </c>
      <c r="B66">
        <f t="shared" si="3"/>
        <v>6</v>
      </c>
      <c r="C66" s="1" t="s">
        <v>9</v>
      </c>
      <c r="D66" s="1">
        <f t="shared" si="2"/>
        <v>5</v>
      </c>
      <c r="E66">
        <v>8</v>
      </c>
      <c r="F66">
        <v>6</v>
      </c>
      <c r="G66">
        <f t="shared" si="0"/>
        <v>9.9999999999999995E-7</v>
      </c>
      <c r="H66" s="2">
        <f t="shared" si="1"/>
        <v>400000000</v>
      </c>
    </row>
    <row r="67" spans="1:8">
      <c r="A67" t="s">
        <v>8</v>
      </c>
      <c r="B67">
        <f t="shared" si="3"/>
        <v>6</v>
      </c>
      <c r="C67" s="1" t="s">
        <v>9</v>
      </c>
      <c r="D67" s="1">
        <f t="shared" si="2"/>
        <v>6</v>
      </c>
      <c r="E67">
        <v>9</v>
      </c>
      <c r="F67">
        <v>6</v>
      </c>
      <c r="G67">
        <f t="shared" ref="G67:G130" si="4">1/10^F67</f>
        <v>9.9999999999999995E-7</v>
      </c>
      <c r="H67" s="2">
        <f t="shared" ref="H67:H130" si="5">E67/(G67*0.02)</f>
        <v>450000000</v>
      </c>
    </row>
    <row r="68" spans="1:8">
      <c r="A68" t="s">
        <v>8</v>
      </c>
      <c r="B68">
        <f t="shared" si="3"/>
        <v>6.5</v>
      </c>
      <c r="C68" s="1" t="s">
        <v>9</v>
      </c>
      <c r="D68" s="1">
        <f t="shared" si="2"/>
        <v>1</v>
      </c>
      <c r="E68">
        <v>13</v>
      </c>
      <c r="F68">
        <v>2</v>
      </c>
      <c r="G68">
        <f t="shared" si="4"/>
        <v>0.01</v>
      </c>
      <c r="H68" s="2">
        <f t="shared" si="5"/>
        <v>65000</v>
      </c>
    </row>
    <row r="69" spans="1:8">
      <c r="A69" t="s">
        <v>8</v>
      </c>
      <c r="B69">
        <f t="shared" si="3"/>
        <v>6.5</v>
      </c>
      <c r="C69" s="1" t="s">
        <v>9</v>
      </c>
      <c r="D69" s="1">
        <f t="shared" si="2"/>
        <v>2</v>
      </c>
      <c r="E69">
        <v>31</v>
      </c>
      <c r="F69">
        <v>3</v>
      </c>
      <c r="G69">
        <f t="shared" si="4"/>
        <v>1E-3</v>
      </c>
      <c r="H69" s="2">
        <f t="shared" si="5"/>
        <v>1549999.9999999998</v>
      </c>
    </row>
    <row r="70" spans="1:8">
      <c r="A70" t="s">
        <v>8</v>
      </c>
      <c r="B70">
        <f t="shared" si="3"/>
        <v>6.5</v>
      </c>
      <c r="C70" s="1" t="s">
        <v>9</v>
      </c>
      <c r="D70" s="1">
        <f t="shared" si="2"/>
        <v>3</v>
      </c>
      <c r="E70">
        <v>3</v>
      </c>
      <c r="F70">
        <v>3</v>
      </c>
      <c r="G70">
        <f t="shared" si="4"/>
        <v>1E-3</v>
      </c>
      <c r="H70" s="2">
        <f t="shared" si="5"/>
        <v>150000</v>
      </c>
    </row>
    <row r="71" spans="1:8">
      <c r="A71" t="s">
        <v>8</v>
      </c>
      <c r="B71">
        <f t="shared" si="3"/>
        <v>6.5</v>
      </c>
      <c r="C71" s="1" t="s">
        <v>9</v>
      </c>
      <c r="D71" s="1">
        <f t="shared" si="2"/>
        <v>4</v>
      </c>
      <c r="E71">
        <v>9</v>
      </c>
      <c r="F71">
        <v>3</v>
      </c>
      <c r="G71">
        <f t="shared" si="4"/>
        <v>1E-3</v>
      </c>
      <c r="H71" s="2">
        <f t="shared" si="5"/>
        <v>449999.99999999994</v>
      </c>
    </row>
    <row r="72" spans="1:8">
      <c r="A72" t="s">
        <v>8</v>
      </c>
      <c r="B72">
        <f t="shared" si="3"/>
        <v>6.5</v>
      </c>
      <c r="C72" s="1" t="s">
        <v>9</v>
      </c>
      <c r="D72" s="1">
        <f t="shared" si="2"/>
        <v>5</v>
      </c>
      <c r="E72">
        <v>6</v>
      </c>
      <c r="F72">
        <v>4</v>
      </c>
      <c r="G72">
        <f t="shared" si="4"/>
        <v>1E-4</v>
      </c>
      <c r="H72" s="2">
        <f t="shared" si="5"/>
        <v>2999999.9999999995</v>
      </c>
    </row>
    <row r="73" spans="1:8">
      <c r="A73" t="s">
        <v>8</v>
      </c>
      <c r="B73">
        <f t="shared" si="3"/>
        <v>6.5</v>
      </c>
      <c r="C73" s="1" t="s">
        <v>9</v>
      </c>
      <c r="D73" s="1">
        <f t="shared" ref="D73:D136" si="6">D67</f>
        <v>6</v>
      </c>
      <c r="E73">
        <v>10</v>
      </c>
      <c r="F73">
        <v>2</v>
      </c>
      <c r="G73">
        <f t="shared" si="4"/>
        <v>0.01</v>
      </c>
      <c r="H73" s="2">
        <f t="shared" si="5"/>
        <v>50000</v>
      </c>
    </row>
    <row r="74" spans="1:8">
      <c r="A74" t="s">
        <v>8</v>
      </c>
      <c r="B74">
        <f t="shared" si="3"/>
        <v>7</v>
      </c>
      <c r="C74" s="1" t="s">
        <v>9</v>
      </c>
      <c r="D74" s="1">
        <f t="shared" si="6"/>
        <v>1</v>
      </c>
      <c r="E74">
        <v>6</v>
      </c>
      <c r="F74">
        <v>6</v>
      </c>
      <c r="G74">
        <f t="shared" si="4"/>
        <v>9.9999999999999995E-7</v>
      </c>
      <c r="H74" s="2">
        <f t="shared" si="5"/>
        <v>300000000</v>
      </c>
    </row>
    <row r="75" spans="1:8">
      <c r="A75" t="s">
        <v>8</v>
      </c>
      <c r="B75">
        <f t="shared" si="3"/>
        <v>7</v>
      </c>
      <c r="C75" s="1" t="s">
        <v>9</v>
      </c>
      <c r="D75" s="1">
        <f t="shared" si="6"/>
        <v>2</v>
      </c>
      <c r="E75">
        <v>2</v>
      </c>
      <c r="F75">
        <v>6</v>
      </c>
      <c r="G75">
        <f t="shared" si="4"/>
        <v>9.9999999999999995E-7</v>
      </c>
      <c r="H75" s="2">
        <f t="shared" si="5"/>
        <v>100000000</v>
      </c>
    </row>
    <row r="76" spans="1:8">
      <c r="A76" t="s">
        <v>8</v>
      </c>
      <c r="B76">
        <f t="shared" si="3"/>
        <v>7</v>
      </c>
      <c r="C76" s="1" t="s">
        <v>9</v>
      </c>
      <c r="D76" s="1">
        <f t="shared" si="6"/>
        <v>3</v>
      </c>
      <c r="E76">
        <v>9</v>
      </c>
      <c r="F76">
        <v>6</v>
      </c>
      <c r="G76">
        <f t="shared" si="4"/>
        <v>9.9999999999999995E-7</v>
      </c>
      <c r="H76" s="2">
        <f t="shared" si="5"/>
        <v>450000000</v>
      </c>
    </row>
    <row r="77" spans="1:8">
      <c r="A77" t="s">
        <v>8</v>
      </c>
      <c r="B77">
        <f t="shared" ref="B77:B140" si="7">B71+0.5</f>
        <v>7</v>
      </c>
      <c r="C77" s="1" t="s">
        <v>9</v>
      </c>
      <c r="D77" s="1">
        <f t="shared" si="6"/>
        <v>4</v>
      </c>
      <c r="E77">
        <v>4</v>
      </c>
      <c r="F77">
        <v>6</v>
      </c>
      <c r="G77">
        <f t="shared" si="4"/>
        <v>9.9999999999999995E-7</v>
      </c>
      <c r="H77" s="2">
        <f t="shared" si="5"/>
        <v>200000000</v>
      </c>
    </row>
    <row r="78" spans="1:8">
      <c r="A78" t="s">
        <v>8</v>
      </c>
      <c r="B78">
        <f t="shared" si="7"/>
        <v>7</v>
      </c>
      <c r="C78" s="1" t="s">
        <v>9</v>
      </c>
      <c r="D78" s="1">
        <f t="shared" si="6"/>
        <v>5</v>
      </c>
      <c r="E78">
        <v>10</v>
      </c>
      <c r="F78">
        <v>6</v>
      </c>
      <c r="G78">
        <f t="shared" si="4"/>
        <v>9.9999999999999995E-7</v>
      </c>
      <c r="H78" s="2">
        <f t="shared" si="5"/>
        <v>500000000</v>
      </c>
    </row>
    <row r="79" spans="1:8">
      <c r="A79" t="s">
        <v>8</v>
      </c>
      <c r="B79">
        <f t="shared" si="7"/>
        <v>7</v>
      </c>
      <c r="C79" s="1" t="s">
        <v>9</v>
      </c>
      <c r="D79" s="1">
        <f t="shared" si="6"/>
        <v>6</v>
      </c>
      <c r="E79">
        <v>9</v>
      </c>
      <c r="F79">
        <v>6</v>
      </c>
      <c r="G79">
        <f t="shared" si="4"/>
        <v>9.9999999999999995E-7</v>
      </c>
      <c r="H79" s="2">
        <f t="shared" si="5"/>
        <v>450000000</v>
      </c>
    </row>
    <row r="80" spans="1:8">
      <c r="A80" t="s">
        <v>8</v>
      </c>
      <c r="B80">
        <f t="shared" si="7"/>
        <v>7.5</v>
      </c>
      <c r="C80" s="1" t="s">
        <v>9</v>
      </c>
      <c r="D80" s="1">
        <f t="shared" si="6"/>
        <v>1</v>
      </c>
      <c r="E80">
        <v>3</v>
      </c>
      <c r="F80">
        <v>2</v>
      </c>
      <c r="G80">
        <f t="shared" si="4"/>
        <v>0.01</v>
      </c>
      <c r="H80" s="2">
        <f t="shared" si="5"/>
        <v>15000</v>
      </c>
    </row>
    <row r="81" spans="1:8">
      <c r="A81" t="s">
        <v>8</v>
      </c>
      <c r="B81">
        <f t="shared" si="7"/>
        <v>7.5</v>
      </c>
      <c r="C81" s="1" t="s">
        <v>9</v>
      </c>
      <c r="D81" s="1">
        <f t="shared" si="6"/>
        <v>2</v>
      </c>
      <c r="E81">
        <v>9</v>
      </c>
      <c r="F81">
        <v>2</v>
      </c>
      <c r="G81">
        <f t="shared" si="4"/>
        <v>0.01</v>
      </c>
      <c r="H81" s="2">
        <f t="shared" si="5"/>
        <v>45000</v>
      </c>
    </row>
    <row r="82" spans="1:8">
      <c r="A82" t="s">
        <v>8</v>
      </c>
      <c r="B82">
        <f t="shared" si="7"/>
        <v>7.5</v>
      </c>
      <c r="C82" s="1" t="s">
        <v>9</v>
      </c>
      <c r="D82" s="1">
        <f t="shared" si="6"/>
        <v>3</v>
      </c>
      <c r="E82">
        <v>9</v>
      </c>
      <c r="F82">
        <v>3</v>
      </c>
      <c r="G82">
        <f t="shared" si="4"/>
        <v>1E-3</v>
      </c>
      <c r="H82" s="2">
        <f t="shared" si="5"/>
        <v>449999.99999999994</v>
      </c>
    </row>
    <row r="83" spans="1:8">
      <c r="A83" t="s">
        <v>8</v>
      </c>
      <c r="B83">
        <f t="shared" si="7"/>
        <v>7.5</v>
      </c>
      <c r="C83" s="1" t="s">
        <v>9</v>
      </c>
      <c r="D83" s="1">
        <f t="shared" si="6"/>
        <v>4</v>
      </c>
      <c r="E83">
        <v>21</v>
      </c>
      <c r="F83">
        <v>3</v>
      </c>
      <c r="G83">
        <f t="shared" si="4"/>
        <v>1E-3</v>
      </c>
      <c r="H83" s="2">
        <f t="shared" si="5"/>
        <v>1050000</v>
      </c>
    </row>
    <row r="84" spans="1:8">
      <c r="A84" t="s">
        <v>8</v>
      </c>
      <c r="B84">
        <f t="shared" si="7"/>
        <v>7.5</v>
      </c>
      <c r="C84" s="1" t="s">
        <v>9</v>
      </c>
      <c r="D84" s="1">
        <f t="shared" si="6"/>
        <v>5</v>
      </c>
      <c r="E84">
        <v>5</v>
      </c>
      <c r="F84">
        <v>2</v>
      </c>
      <c r="G84">
        <f t="shared" si="4"/>
        <v>0.01</v>
      </c>
      <c r="H84" s="2">
        <f t="shared" si="5"/>
        <v>25000</v>
      </c>
    </row>
    <row r="85" spans="1:8">
      <c r="A85" t="s">
        <v>8</v>
      </c>
      <c r="B85">
        <f t="shared" si="7"/>
        <v>7.5</v>
      </c>
      <c r="C85" s="1" t="s">
        <v>9</v>
      </c>
      <c r="D85" s="1">
        <f t="shared" si="6"/>
        <v>6</v>
      </c>
      <c r="E85">
        <v>24</v>
      </c>
      <c r="F85">
        <v>3</v>
      </c>
      <c r="G85">
        <f t="shared" si="4"/>
        <v>1E-3</v>
      </c>
      <c r="H85" s="2">
        <f t="shared" si="5"/>
        <v>1200000</v>
      </c>
    </row>
    <row r="86" spans="1:8">
      <c r="A86" t="s">
        <v>8</v>
      </c>
      <c r="B86">
        <f t="shared" si="7"/>
        <v>8</v>
      </c>
      <c r="C86" s="1" t="s">
        <v>9</v>
      </c>
      <c r="D86" s="1">
        <f t="shared" si="6"/>
        <v>1</v>
      </c>
      <c r="E86">
        <v>3</v>
      </c>
      <c r="F86">
        <v>6</v>
      </c>
      <c r="G86">
        <f t="shared" si="4"/>
        <v>9.9999999999999995E-7</v>
      </c>
      <c r="H86" s="2">
        <f t="shared" si="5"/>
        <v>150000000</v>
      </c>
    </row>
    <row r="87" spans="1:8">
      <c r="A87" t="s">
        <v>8</v>
      </c>
      <c r="B87">
        <f t="shared" si="7"/>
        <v>8</v>
      </c>
      <c r="C87" s="1" t="s">
        <v>9</v>
      </c>
      <c r="D87" s="1">
        <f t="shared" si="6"/>
        <v>2</v>
      </c>
      <c r="E87">
        <v>12</v>
      </c>
      <c r="F87">
        <v>6</v>
      </c>
      <c r="G87">
        <f t="shared" si="4"/>
        <v>9.9999999999999995E-7</v>
      </c>
      <c r="H87" s="2">
        <f t="shared" si="5"/>
        <v>600000000</v>
      </c>
    </row>
    <row r="88" spans="1:8">
      <c r="A88" t="s">
        <v>8</v>
      </c>
      <c r="B88">
        <f t="shared" si="7"/>
        <v>8</v>
      </c>
      <c r="C88" s="1" t="s">
        <v>9</v>
      </c>
      <c r="D88" s="1">
        <f t="shared" si="6"/>
        <v>3</v>
      </c>
      <c r="E88">
        <v>9</v>
      </c>
      <c r="F88">
        <v>6</v>
      </c>
      <c r="G88">
        <f t="shared" si="4"/>
        <v>9.9999999999999995E-7</v>
      </c>
      <c r="H88" s="2">
        <f t="shared" si="5"/>
        <v>450000000</v>
      </c>
    </row>
    <row r="89" spans="1:8">
      <c r="A89" t="s">
        <v>8</v>
      </c>
      <c r="B89">
        <f t="shared" si="7"/>
        <v>8</v>
      </c>
      <c r="C89" s="1" t="s">
        <v>9</v>
      </c>
      <c r="D89" s="1">
        <f t="shared" si="6"/>
        <v>4</v>
      </c>
      <c r="E89">
        <v>8</v>
      </c>
      <c r="F89">
        <v>6</v>
      </c>
      <c r="G89">
        <f t="shared" si="4"/>
        <v>9.9999999999999995E-7</v>
      </c>
      <c r="H89" s="2">
        <f t="shared" si="5"/>
        <v>400000000</v>
      </c>
    </row>
    <row r="90" spans="1:8">
      <c r="A90" t="s">
        <v>8</v>
      </c>
      <c r="B90">
        <f t="shared" si="7"/>
        <v>8</v>
      </c>
      <c r="C90" s="1" t="s">
        <v>9</v>
      </c>
      <c r="D90" s="1">
        <f t="shared" si="6"/>
        <v>5</v>
      </c>
      <c r="E90">
        <v>9</v>
      </c>
      <c r="F90">
        <v>6</v>
      </c>
      <c r="G90">
        <f t="shared" si="4"/>
        <v>9.9999999999999995E-7</v>
      </c>
      <c r="H90" s="2">
        <f t="shared" si="5"/>
        <v>450000000</v>
      </c>
    </row>
    <row r="91" spans="1:8">
      <c r="A91" t="s">
        <v>8</v>
      </c>
      <c r="B91">
        <f t="shared" si="7"/>
        <v>8</v>
      </c>
      <c r="C91" s="1" t="s">
        <v>9</v>
      </c>
      <c r="D91" s="1">
        <f t="shared" si="6"/>
        <v>6</v>
      </c>
      <c r="E91">
        <v>7</v>
      </c>
      <c r="F91">
        <v>6</v>
      </c>
      <c r="G91">
        <f t="shared" si="4"/>
        <v>9.9999999999999995E-7</v>
      </c>
      <c r="H91" s="2">
        <f t="shared" si="5"/>
        <v>350000000</v>
      </c>
    </row>
    <row r="92" spans="1:8">
      <c r="A92" t="s">
        <v>8</v>
      </c>
      <c r="B92">
        <f t="shared" si="7"/>
        <v>8.5</v>
      </c>
      <c r="C92" s="1" t="s">
        <v>9</v>
      </c>
      <c r="D92" s="1">
        <f t="shared" si="6"/>
        <v>1</v>
      </c>
      <c r="E92">
        <v>3</v>
      </c>
      <c r="F92">
        <v>2</v>
      </c>
      <c r="G92">
        <f t="shared" si="4"/>
        <v>0.01</v>
      </c>
      <c r="H92" s="2">
        <f t="shared" si="5"/>
        <v>15000</v>
      </c>
    </row>
    <row r="93" spans="1:8">
      <c r="A93" t="s">
        <v>8</v>
      </c>
      <c r="B93">
        <f t="shared" si="7"/>
        <v>8.5</v>
      </c>
      <c r="C93" s="1" t="s">
        <v>9</v>
      </c>
      <c r="D93" s="1">
        <f t="shared" si="6"/>
        <v>2</v>
      </c>
      <c r="E93">
        <v>7</v>
      </c>
      <c r="F93">
        <v>3</v>
      </c>
      <c r="G93">
        <f t="shared" si="4"/>
        <v>1E-3</v>
      </c>
      <c r="H93" s="2">
        <f t="shared" si="5"/>
        <v>350000</v>
      </c>
    </row>
    <row r="94" spans="1:8">
      <c r="A94" t="s">
        <v>8</v>
      </c>
      <c r="B94">
        <f t="shared" si="7"/>
        <v>8.5</v>
      </c>
      <c r="C94" s="1" t="s">
        <v>9</v>
      </c>
      <c r="D94" s="1">
        <f t="shared" si="6"/>
        <v>3</v>
      </c>
      <c r="E94">
        <v>6</v>
      </c>
      <c r="F94">
        <v>5</v>
      </c>
      <c r="G94">
        <f t="shared" si="4"/>
        <v>1.0000000000000001E-5</v>
      </c>
      <c r="H94" s="2">
        <f t="shared" si="5"/>
        <v>29999999.999999996</v>
      </c>
    </row>
    <row r="95" spans="1:8">
      <c r="A95" t="s">
        <v>8</v>
      </c>
      <c r="B95">
        <f t="shared" si="7"/>
        <v>8.5</v>
      </c>
      <c r="C95" s="1" t="s">
        <v>9</v>
      </c>
      <c r="D95" s="1">
        <f t="shared" si="6"/>
        <v>4</v>
      </c>
      <c r="E95">
        <v>5</v>
      </c>
      <c r="F95">
        <v>4</v>
      </c>
      <c r="G95">
        <f t="shared" si="4"/>
        <v>1E-4</v>
      </c>
      <c r="H95" s="2">
        <f t="shared" si="5"/>
        <v>2499999.9999999995</v>
      </c>
    </row>
    <row r="96" spans="1:8">
      <c r="A96" t="s">
        <v>8</v>
      </c>
      <c r="B96">
        <f t="shared" si="7"/>
        <v>8.5</v>
      </c>
      <c r="C96" s="1" t="s">
        <v>9</v>
      </c>
      <c r="D96" s="1">
        <f t="shared" si="6"/>
        <v>5</v>
      </c>
      <c r="E96">
        <v>3</v>
      </c>
      <c r="F96">
        <v>4</v>
      </c>
      <c r="G96">
        <f t="shared" si="4"/>
        <v>1E-4</v>
      </c>
      <c r="H96" s="2">
        <f t="shared" si="5"/>
        <v>1499999.9999999998</v>
      </c>
    </row>
    <row r="97" spans="1:8">
      <c r="A97" t="s">
        <v>8</v>
      </c>
      <c r="B97">
        <f t="shared" si="7"/>
        <v>8.5</v>
      </c>
      <c r="C97" s="1" t="s">
        <v>9</v>
      </c>
      <c r="D97" s="1">
        <f t="shared" si="6"/>
        <v>6</v>
      </c>
      <c r="E97">
        <v>2</v>
      </c>
      <c r="F97">
        <v>3</v>
      </c>
      <c r="G97">
        <f t="shared" si="4"/>
        <v>1E-3</v>
      </c>
      <c r="H97" s="2">
        <f t="shared" si="5"/>
        <v>99999.999999999985</v>
      </c>
    </row>
    <row r="98" spans="1:8">
      <c r="A98" t="s">
        <v>8</v>
      </c>
      <c r="B98">
        <f t="shared" si="7"/>
        <v>9</v>
      </c>
      <c r="C98" s="1" t="s">
        <v>9</v>
      </c>
      <c r="D98" s="1">
        <f t="shared" si="6"/>
        <v>1</v>
      </c>
      <c r="E98">
        <v>3</v>
      </c>
      <c r="F98">
        <v>6</v>
      </c>
      <c r="G98">
        <f t="shared" si="4"/>
        <v>9.9999999999999995E-7</v>
      </c>
      <c r="H98" s="2">
        <f t="shared" si="5"/>
        <v>150000000</v>
      </c>
    </row>
    <row r="99" spans="1:8">
      <c r="A99" t="s">
        <v>8</v>
      </c>
      <c r="B99">
        <f t="shared" si="7"/>
        <v>9</v>
      </c>
      <c r="C99" s="1" t="s">
        <v>9</v>
      </c>
      <c r="D99" s="1">
        <f t="shared" si="6"/>
        <v>2</v>
      </c>
      <c r="E99">
        <v>10</v>
      </c>
      <c r="F99">
        <v>6</v>
      </c>
      <c r="G99">
        <f t="shared" si="4"/>
        <v>9.9999999999999995E-7</v>
      </c>
      <c r="H99" s="2">
        <f t="shared" si="5"/>
        <v>500000000</v>
      </c>
    </row>
    <row r="100" spans="1:8">
      <c r="A100" t="s">
        <v>8</v>
      </c>
      <c r="B100">
        <f t="shared" si="7"/>
        <v>9</v>
      </c>
      <c r="C100" s="1" t="s">
        <v>9</v>
      </c>
      <c r="D100" s="1">
        <f t="shared" si="6"/>
        <v>3</v>
      </c>
      <c r="E100">
        <v>7</v>
      </c>
      <c r="F100">
        <v>6</v>
      </c>
      <c r="G100">
        <f t="shared" si="4"/>
        <v>9.9999999999999995E-7</v>
      </c>
      <c r="H100" s="2">
        <f t="shared" si="5"/>
        <v>350000000</v>
      </c>
    </row>
    <row r="101" spans="1:8">
      <c r="A101" t="s">
        <v>8</v>
      </c>
      <c r="B101">
        <f t="shared" si="7"/>
        <v>9</v>
      </c>
      <c r="C101" s="1" t="s">
        <v>9</v>
      </c>
      <c r="D101" s="1">
        <f t="shared" si="6"/>
        <v>4</v>
      </c>
      <c r="E101">
        <v>5</v>
      </c>
      <c r="F101">
        <v>6</v>
      </c>
      <c r="G101">
        <f t="shared" si="4"/>
        <v>9.9999999999999995E-7</v>
      </c>
      <c r="H101" s="2">
        <f t="shared" si="5"/>
        <v>250000000</v>
      </c>
    </row>
    <row r="102" spans="1:8">
      <c r="A102" t="s">
        <v>8</v>
      </c>
      <c r="B102">
        <f t="shared" si="7"/>
        <v>9</v>
      </c>
      <c r="C102" s="1" t="s">
        <v>9</v>
      </c>
      <c r="D102" s="1">
        <f t="shared" si="6"/>
        <v>5</v>
      </c>
      <c r="E102" s="4">
        <v>9</v>
      </c>
      <c r="F102">
        <v>6</v>
      </c>
      <c r="G102">
        <f t="shared" si="4"/>
        <v>9.9999999999999995E-7</v>
      </c>
      <c r="H102" s="2">
        <f t="shared" si="5"/>
        <v>450000000</v>
      </c>
    </row>
    <row r="103" spans="1:8">
      <c r="A103" t="s">
        <v>8</v>
      </c>
      <c r="B103">
        <f t="shared" si="7"/>
        <v>9</v>
      </c>
      <c r="C103" s="1" t="s">
        <v>9</v>
      </c>
      <c r="D103" s="1">
        <f t="shared" si="6"/>
        <v>6</v>
      </c>
      <c r="E103">
        <v>9</v>
      </c>
      <c r="F103">
        <v>6</v>
      </c>
      <c r="G103">
        <f t="shared" si="4"/>
        <v>9.9999999999999995E-7</v>
      </c>
      <c r="H103" s="2">
        <f t="shared" si="5"/>
        <v>450000000</v>
      </c>
    </row>
    <row r="104" spans="1:8">
      <c r="A104" t="s">
        <v>8</v>
      </c>
      <c r="B104">
        <f t="shared" si="7"/>
        <v>9.5</v>
      </c>
      <c r="C104" s="1" t="s">
        <v>9</v>
      </c>
      <c r="D104" s="1">
        <f t="shared" si="6"/>
        <v>1</v>
      </c>
      <c r="E104">
        <v>2</v>
      </c>
      <c r="F104">
        <v>4</v>
      </c>
      <c r="G104">
        <f t="shared" si="4"/>
        <v>1E-4</v>
      </c>
      <c r="H104" s="2">
        <f t="shared" si="5"/>
        <v>999999.99999999988</v>
      </c>
    </row>
    <row r="105" spans="1:8">
      <c r="A105" t="s">
        <v>8</v>
      </c>
      <c r="B105">
        <f t="shared" si="7"/>
        <v>9.5</v>
      </c>
      <c r="C105" s="1" t="s">
        <v>9</v>
      </c>
      <c r="D105" s="1">
        <f t="shared" si="6"/>
        <v>2</v>
      </c>
      <c r="E105">
        <v>5</v>
      </c>
      <c r="F105">
        <v>2</v>
      </c>
      <c r="G105">
        <f t="shared" si="4"/>
        <v>0.01</v>
      </c>
      <c r="H105" s="2">
        <f t="shared" si="5"/>
        <v>25000</v>
      </c>
    </row>
    <row r="106" spans="1:8">
      <c r="A106" t="s">
        <v>8</v>
      </c>
      <c r="B106">
        <f t="shared" si="7"/>
        <v>9.5</v>
      </c>
      <c r="C106" s="1" t="s">
        <v>9</v>
      </c>
      <c r="D106" s="1">
        <f t="shared" si="6"/>
        <v>3</v>
      </c>
      <c r="E106">
        <v>6</v>
      </c>
      <c r="F106">
        <v>5</v>
      </c>
      <c r="G106">
        <f t="shared" si="4"/>
        <v>1.0000000000000001E-5</v>
      </c>
      <c r="H106" s="2">
        <f t="shared" si="5"/>
        <v>29999999.999999996</v>
      </c>
    </row>
    <row r="107" spans="1:8">
      <c r="A107" t="s">
        <v>8</v>
      </c>
      <c r="B107">
        <f t="shared" si="7"/>
        <v>9.5</v>
      </c>
      <c r="C107" s="1" t="s">
        <v>9</v>
      </c>
      <c r="D107" s="1">
        <f t="shared" si="6"/>
        <v>4</v>
      </c>
      <c r="E107">
        <v>15</v>
      </c>
      <c r="F107">
        <v>4</v>
      </c>
      <c r="G107">
        <f t="shared" si="4"/>
        <v>1E-4</v>
      </c>
      <c r="H107" s="2">
        <f t="shared" si="5"/>
        <v>7499999.9999999991</v>
      </c>
    </row>
    <row r="108" spans="1:8">
      <c r="A108" t="s">
        <v>8</v>
      </c>
      <c r="B108">
        <f t="shared" si="7"/>
        <v>9.5</v>
      </c>
      <c r="C108" s="1" t="s">
        <v>9</v>
      </c>
      <c r="D108" s="1">
        <f t="shared" si="6"/>
        <v>5</v>
      </c>
      <c r="E108">
        <v>8</v>
      </c>
      <c r="F108">
        <v>4</v>
      </c>
      <c r="G108">
        <f t="shared" si="4"/>
        <v>1E-4</v>
      </c>
      <c r="H108" s="2">
        <f t="shared" si="5"/>
        <v>3999999.9999999995</v>
      </c>
    </row>
    <row r="109" spans="1:8">
      <c r="A109" t="s">
        <v>8</v>
      </c>
      <c r="B109">
        <f t="shared" si="7"/>
        <v>9.5</v>
      </c>
      <c r="C109" s="1" t="s">
        <v>9</v>
      </c>
      <c r="D109" s="1">
        <f t="shared" si="6"/>
        <v>6</v>
      </c>
      <c r="E109">
        <v>2</v>
      </c>
      <c r="F109">
        <v>5</v>
      </c>
      <c r="G109">
        <f t="shared" si="4"/>
        <v>1.0000000000000001E-5</v>
      </c>
      <c r="H109" s="2">
        <f t="shared" si="5"/>
        <v>10000000</v>
      </c>
    </row>
    <row r="110" spans="1:8">
      <c r="A110" t="s">
        <v>8</v>
      </c>
      <c r="B110">
        <f t="shared" si="7"/>
        <v>10</v>
      </c>
      <c r="C110" s="1" t="s">
        <v>9</v>
      </c>
      <c r="D110" s="1">
        <f t="shared" si="6"/>
        <v>1</v>
      </c>
      <c r="E110">
        <v>6</v>
      </c>
      <c r="F110">
        <v>6</v>
      </c>
      <c r="G110">
        <f t="shared" si="4"/>
        <v>9.9999999999999995E-7</v>
      </c>
      <c r="H110" s="2">
        <f t="shared" si="5"/>
        <v>300000000</v>
      </c>
    </row>
    <row r="111" spans="1:8">
      <c r="A111" t="s">
        <v>8</v>
      </c>
      <c r="B111">
        <f t="shared" si="7"/>
        <v>10</v>
      </c>
      <c r="C111" s="1" t="s">
        <v>9</v>
      </c>
      <c r="D111" s="1">
        <f t="shared" si="6"/>
        <v>2</v>
      </c>
      <c r="E111">
        <v>12</v>
      </c>
      <c r="F111">
        <v>6</v>
      </c>
      <c r="G111">
        <f t="shared" si="4"/>
        <v>9.9999999999999995E-7</v>
      </c>
      <c r="H111" s="2">
        <f t="shared" si="5"/>
        <v>600000000</v>
      </c>
    </row>
    <row r="112" spans="1:8">
      <c r="A112" t="s">
        <v>8</v>
      </c>
      <c r="B112">
        <f t="shared" si="7"/>
        <v>10</v>
      </c>
      <c r="C112" s="1" t="s">
        <v>9</v>
      </c>
      <c r="D112" s="1">
        <f t="shared" si="6"/>
        <v>3</v>
      </c>
      <c r="E112">
        <v>8</v>
      </c>
      <c r="F112">
        <v>6</v>
      </c>
      <c r="G112">
        <f t="shared" si="4"/>
        <v>9.9999999999999995E-7</v>
      </c>
      <c r="H112" s="2">
        <f t="shared" si="5"/>
        <v>400000000</v>
      </c>
    </row>
    <row r="113" spans="1:8">
      <c r="A113" t="s">
        <v>8</v>
      </c>
      <c r="B113">
        <f t="shared" si="7"/>
        <v>10</v>
      </c>
      <c r="C113" s="1" t="s">
        <v>9</v>
      </c>
      <c r="D113" s="1">
        <f t="shared" si="6"/>
        <v>4</v>
      </c>
      <c r="E113">
        <v>3</v>
      </c>
      <c r="F113">
        <v>6</v>
      </c>
      <c r="G113">
        <f t="shared" si="4"/>
        <v>9.9999999999999995E-7</v>
      </c>
      <c r="H113" s="2">
        <f t="shared" si="5"/>
        <v>150000000</v>
      </c>
    </row>
    <row r="114" spans="1:8">
      <c r="A114" t="s">
        <v>8</v>
      </c>
      <c r="B114">
        <f t="shared" si="7"/>
        <v>10</v>
      </c>
      <c r="C114" s="1" t="s">
        <v>9</v>
      </c>
      <c r="D114" s="1">
        <f t="shared" si="6"/>
        <v>5</v>
      </c>
      <c r="E114">
        <v>7</v>
      </c>
      <c r="F114">
        <v>6</v>
      </c>
      <c r="G114">
        <f t="shared" si="4"/>
        <v>9.9999999999999995E-7</v>
      </c>
      <c r="H114" s="2">
        <f t="shared" si="5"/>
        <v>350000000</v>
      </c>
    </row>
    <row r="115" spans="1:8">
      <c r="A115" t="s">
        <v>8</v>
      </c>
      <c r="B115">
        <f t="shared" si="7"/>
        <v>10</v>
      </c>
      <c r="C115" s="1" t="s">
        <v>9</v>
      </c>
      <c r="D115" s="1">
        <f t="shared" si="6"/>
        <v>6</v>
      </c>
      <c r="E115">
        <v>3</v>
      </c>
      <c r="F115">
        <v>6</v>
      </c>
      <c r="G115">
        <f t="shared" si="4"/>
        <v>9.9999999999999995E-7</v>
      </c>
      <c r="H115" s="2">
        <f t="shared" si="5"/>
        <v>150000000</v>
      </c>
    </row>
    <row r="116" spans="1:8">
      <c r="A116" t="s">
        <v>8</v>
      </c>
      <c r="B116">
        <f t="shared" si="7"/>
        <v>10.5</v>
      </c>
      <c r="C116" s="1" t="s">
        <v>9</v>
      </c>
      <c r="D116" s="1">
        <f t="shared" si="6"/>
        <v>1</v>
      </c>
      <c r="E116">
        <v>12</v>
      </c>
      <c r="F116">
        <v>2</v>
      </c>
      <c r="G116">
        <f t="shared" si="4"/>
        <v>0.01</v>
      </c>
      <c r="H116" s="2">
        <f t="shared" si="5"/>
        <v>60000</v>
      </c>
    </row>
    <row r="117" spans="1:8">
      <c r="A117" t="s">
        <v>8</v>
      </c>
      <c r="B117">
        <f t="shared" si="7"/>
        <v>10.5</v>
      </c>
      <c r="C117" s="1" t="s">
        <v>9</v>
      </c>
      <c r="D117" s="1">
        <f t="shared" si="6"/>
        <v>2</v>
      </c>
      <c r="E117">
        <v>10</v>
      </c>
      <c r="F117">
        <v>2</v>
      </c>
      <c r="G117">
        <f t="shared" si="4"/>
        <v>0.01</v>
      </c>
      <c r="H117" s="2">
        <f t="shared" si="5"/>
        <v>50000</v>
      </c>
    </row>
    <row r="118" spans="1:8">
      <c r="A118" t="s">
        <v>8</v>
      </c>
      <c r="B118">
        <f t="shared" si="7"/>
        <v>10.5</v>
      </c>
      <c r="C118" s="1" t="s">
        <v>9</v>
      </c>
      <c r="D118" s="1">
        <f t="shared" si="6"/>
        <v>3</v>
      </c>
      <c r="E118">
        <v>20</v>
      </c>
      <c r="F118">
        <v>5</v>
      </c>
      <c r="G118">
        <f t="shared" si="4"/>
        <v>1.0000000000000001E-5</v>
      </c>
      <c r="H118" s="2">
        <f t="shared" si="5"/>
        <v>99999999.999999985</v>
      </c>
    </row>
    <row r="119" spans="1:8">
      <c r="A119" t="s">
        <v>8</v>
      </c>
      <c r="B119">
        <f t="shared" si="7"/>
        <v>10.5</v>
      </c>
      <c r="C119" s="1" t="s">
        <v>9</v>
      </c>
      <c r="D119" s="1">
        <f t="shared" si="6"/>
        <v>4</v>
      </c>
      <c r="E119">
        <v>7</v>
      </c>
      <c r="F119">
        <v>5</v>
      </c>
      <c r="G119">
        <f t="shared" si="4"/>
        <v>1.0000000000000001E-5</v>
      </c>
      <c r="H119" s="2">
        <f t="shared" si="5"/>
        <v>35000000</v>
      </c>
    </row>
    <row r="120" spans="1:8">
      <c r="A120" t="s">
        <v>8</v>
      </c>
      <c r="B120">
        <f t="shared" si="7"/>
        <v>10.5</v>
      </c>
      <c r="C120" s="1" t="s">
        <v>9</v>
      </c>
      <c r="D120" s="1">
        <f t="shared" si="6"/>
        <v>5</v>
      </c>
      <c r="E120">
        <v>12</v>
      </c>
      <c r="F120">
        <v>4</v>
      </c>
      <c r="G120">
        <f t="shared" si="4"/>
        <v>1E-4</v>
      </c>
      <c r="H120" s="2">
        <f t="shared" si="5"/>
        <v>5999999.9999999991</v>
      </c>
    </row>
    <row r="121" spans="1:8">
      <c r="A121" t="s">
        <v>8</v>
      </c>
      <c r="B121">
        <f t="shared" si="7"/>
        <v>10.5</v>
      </c>
      <c r="C121" s="1" t="s">
        <v>9</v>
      </c>
      <c r="D121" s="1">
        <f t="shared" si="6"/>
        <v>6</v>
      </c>
      <c r="E121">
        <v>17</v>
      </c>
      <c r="F121">
        <v>5</v>
      </c>
      <c r="G121">
        <f t="shared" si="4"/>
        <v>1.0000000000000001E-5</v>
      </c>
      <c r="H121" s="2">
        <f t="shared" si="5"/>
        <v>85000000</v>
      </c>
    </row>
    <row r="122" spans="1:8">
      <c r="A122" t="s">
        <v>8</v>
      </c>
      <c r="B122">
        <f t="shared" si="7"/>
        <v>11</v>
      </c>
      <c r="C122" s="1" t="s">
        <v>9</v>
      </c>
      <c r="D122" s="1">
        <f t="shared" si="6"/>
        <v>1</v>
      </c>
      <c r="E122">
        <v>2</v>
      </c>
      <c r="F122">
        <v>6</v>
      </c>
      <c r="G122">
        <f t="shared" si="4"/>
        <v>9.9999999999999995E-7</v>
      </c>
      <c r="H122" s="2">
        <f t="shared" si="5"/>
        <v>100000000</v>
      </c>
    </row>
    <row r="123" spans="1:8">
      <c r="A123" t="s">
        <v>8</v>
      </c>
      <c r="B123">
        <f t="shared" si="7"/>
        <v>11</v>
      </c>
      <c r="C123" s="1" t="s">
        <v>9</v>
      </c>
      <c r="D123" s="1">
        <f t="shared" si="6"/>
        <v>2</v>
      </c>
      <c r="E123">
        <v>3</v>
      </c>
      <c r="F123">
        <v>6</v>
      </c>
      <c r="G123">
        <f t="shared" si="4"/>
        <v>9.9999999999999995E-7</v>
      </c>
      <c r="H123" s="2">
        <f t="shared" si="5"/>
        <v>150000000</v>
      </c>
    </row>
    <row r="124" spans="1:8">
      <c r="A124" t="s">
        <v>8</v>
      </c>
      <c r="B124">
        <f t="shared" si="7"/>
        <v>11</v>
      </c>
      <c r="C124" s="1" t="s">
        <v>9</v>
      </c>
      <c r="D124" s="1">
        <f t="shared" si="6"/>
        <v>3</v>
      </c>
      <c r="E124">
        <v>6</v>
      </c>
      <c r="F124">
        <v>6</v>
      </c>
      <c r="G124">
        <f t="shared" si="4"/>
        <v>9.9999999999999995E-7</v>
      </c>
      <c r="H124" s="2">
        <f t="shared" si="5"/>
        <v>300000000</v>
      </c>
    </row>
    <row r="125" spans="1:8">
      <c r="A125" t="s">
        <v>8</v>
      </c>
      <c r="B125">
        <f t="shared" si="7"/>
        <v>11</v>
      </c>
      <c r="C125" s="1" t="s">
        <v>9</v>
      </c>
      <c r="D125" s="1">
        <f t="shared" si="6"/>
        <v>4</v>
      </c>
      <c r="E125">
        <v>9</v>
      </c>
      <c r="F125">
        <v>6</v>
      </c>
      <c r="G125">
        <f t="shared" si="4"/>
        <v>9.9999999999999995E-7</v>
      </c>
      <c r="H125" s="2">
        <f t="shared" si="5"/>
        <v>450000000</v>
      </c>
    </row>
    <row r="126" spans="1:8">
      <c r="A126" t="s">
        <v>8</v>
      </c>
      <c r="B126">
        <f t="shared" si="7"/>
        <v>11</v>
      </c>
      <c r="C126" s="1" t="s">
        <v>9</v>
      </c>
      <c r="D126" s="1">
        <f t="shared" si="6"/>
        <v>5</v>
      </c>
      <c r="E126">
        <v>11</v>
      </c>
      <c r="F126">
        <v>6</v>
      </c>
      <c r="G126">
        <f t="shared" si="4"/>
        <v>9.9999999999999995E-7</v>
      </c>
      <c r="H126" s="2">
        <f t="shared" si="5"/>
        <v>550000000</v>
      </c>
    </row>
    <row r="127" spans="1:8">
      <c r="A127" t="s">
        <v>8</v>
      </c>
      <c r="B127">
        <f t="shared" si="7"/>
        <v>11</v>
      </c>
      <c r="C127" s="1" t="s">
        <v>9</v>
      </c>
      <c r="D127" s="1">
        <f t="shared" si="6"/>
        <v>6</v>
      </c>
      <c r="E127">
        <v>4</v>
      </c>
      <c r="F127">
        <v>6</v>
      </c>
      <c r="G127">
        <f t="shared" si="4"/>
        <v>9.9999999999999995E-7</v>
      </c>
      <c r="H127" s="2">
        <f t="shared" si="5"/>
        <v>200000000</v>
      </c>
    </row>
    <row r="128" spans="1:8">
      <c r="A128" t="s">
        <v>8</v>
      </c>
      <c r="B128">
        <f t="shared" si="7"/>
        <v>11.5</v>
      </c>
      <c r="C128" s="1" t="s">
        <v>9</v>
      </c>
      <c r="D128" s="1">
        <f t="shared" si="6"/>
        <v>1</v>
      </c>
      <c r="E128">
        <v>6</v>
      </c>
      <c r="F128">
        <v>5</v>
      </c>
      <c r="G128">
        <f t="shared" si="4"/>
        <v>1.0000000000000001E-5</v>
      </c>
      <c r="H128" s="2">
        <f t="shared" si="5"/>
        <v>29999999.999999996</v>
      </c>
    </row>
    <row r="129" spans="1:8">
      <c r="A129" t="s">
        <v>8</v>
      </c>
      <c r="B129">
        <f t="shared" si="7"/>
        <v>11.5</v>
      </c>
      <c r="C129" s="1" t="s">
        <v>9</v>
      </c>
      <c r="D129" s="1">
        <f t="shared" si="6"/>
        <v>2</v>
      </c>
      <c r="E129">
        <v>1</v>
      </c>
      <c r="F129">
        <v>4</v>
      </c>
      <c r="G129">
        <f t="shared" si="4"/>
        <v>1E-4</v>
      </c>
      <c r="H129" s="2">
        <f t="shared" si="5"/>
        <v>499999.99999999994</v>
      </c>
    </row>
    <row r="130" spans="1:8">
      <c r="A130" t="s">
        <v>8</v>
      </c>
      <c r="B130">
        <f t="shared" si="7"/>
        <v>11.5</v>
      </c>
      <c r="C130" s="1" t="s">
        <v>9</v>
      </c>
      <c r="D130" s="1">
        <f t="shared" si="6"/>
        <v>3</v>
      </c>
      <c r="E130">
        <v>13</v>
      </c>
      <c r="F130">
        <v>5</v>
      </c>
      <c r="G130">
        <f t="shared" si="4"/>
        <v>1.0000000000000001E-5</v>
      </c>
      <c r="H130" s="2">
        <f t="shared" si="5"/>
        <v>64999999.999999993</v>
      </c>
    </row>
    <row r="131" spans="1:8">
      <c r="A131" t="s">
        <v>8</v>
      </c>
      <c r="B131">
        <f t="shared" si="7"/>
        <v>11.5</v>
      </c>
      <c r="C131" s="1" t="s">
        <v>9</v>
      </c>
      <c r="D131" s="1">
        <f t="shared" si="6"/>
        <v>4</v>
      </c>
      <c r="E131">
        <v>5</v>
      </c>
      <c r="F131">
        <v>5</v>
      </c>
      <c r="G131">
        <f t="shared" ref="G131:G181" si="8">1/10^F131</f>
        <v>1.0000000000000001E-5</v>
      </c>
      <c r="H131" s="2">
        <f t="shared" ref="H131:H181" si="9">E131/(G131*0.02)</f>
        <v>24999999.999999996</v>
      </c>
    </row>
    <row r="132" spans="1:8">
      <c r="A132" t="s">
        <v>8</v>
      </c>
      <c r="B132">
        <f t="shared" si="7"/>
        <v>11.5</v>
      </c>
      <c r="C132" s="1" t="s">
        <v>9</v>
      </c>
      <c r="D132" s="1">
        <f t="shared" si="6"/>
        <v>5</v>
      </c>
      <c r="E132">
        <v>20</v>
      </c>
      <c r="F132">
        <v>4</v>
      </c>
      <c r="G132">
        <f t="shared" si="8"/>
        <v>1E-4</v>
      </c>
      <c r="H132" s="2">
        <f t="shared" si="9"/>
        <v>9999999.9999999981</v>
      </c>
    </row>
    <row r="133" spans="1:8">
      <c r="A133" t="s">
        <v>8</v>
      </c>
      <c r="B133">
        <f t="shared" si="7"/>
        <v>11.5</v>
      </c>
      <c r="C133" s="1" t="s">
        <v>9</v>
      </c>
      <c r="D133" s="1">
        <f t="shared" si="6"/>
        <v>6</v>
      </c>
      <c r="E133">
        <v>11</v>
      </c>
      <c r="F133">
        <v>5</v>
      </c>
      <c r="G133">
        <f t="shared" si="8"/>
        <v>1.0000000000000001E-5</v>
      </c>
      <c r="H133" s="2">
        <f t="shared" si="9"/>
        <v>54999999.999999993</v>
      </c>
    </row>
    <row r="134" spans="1:8">
      <c r="A134" t="s">
        <v>8</v>
      </c>
      <c r="B134">
        <f t="shared" si="7"/>
        <v>12</v>
      </c>
      <c r="C134" s="1" t="s">
        <v>9</v>
      </c>
      <c r="D134" s="1">
        <f t="shared" si="6"/>
        <v>1</v>
      </c>
      <c r="E134">
        <v>2</v>
      </c>
      <c r="F134">
        <v>6</v>
      </c>
      <c r="G134">
        <f t="shared" si="8"/>
        <v>9.9999999999999995E-7</v>
      </c>
      <c r="H134" s="2">
        <f t="shared" si="9"/>
        <v>100000000</v>
      </c>
    </row>
    <row r="135" spans="1:8">
      <c r="A135" t="s">
        <v>8</v>
      </c>
      <c r="B135">
        <f t="shared" si="7"/>
        <v>12</v>
      </c>
      <c r="C135" s="1" t="s">
        <v>9</v>
      </c>
      <c r="D135" s="1">
        <f t="shared" si="6"/>
        <v>2</v>
      </c>
      <c r="E135">
        <v>15</v>
      </c>
      <c r="F135">
        <v>6</v>
      </c>
      <c r="G135">
        <f t="shared" si="8"/>
        <v>9.9999999999999995E-7</v>
      </c>
      <c r="H135" s="2">
        <f t="shared" si="9"/>
        <v>750000000</v>
      </c>
    </row>
    <row r="136" spans="1:8">
      <c r="A136" t="s">
        <v>8</v>
      </c>
      <c r="B136">
        <f t="shared" si="7"/>
        <v>12</v>
      </c>
      <c r="C136" s="1" t="s">
        <v>9</v>
      </c>
      <c r="D136" s="1">
        <f t="shared" si="6"/>
        <v>3</v>
      </c>
      <c r="E136">
        <v>6</v>
      </c>
      <c r="F136">
        <v>6</v>
      </c>
      <c r="G136">
        <f t="shared" si="8"/>
        <v>9.9999999999999995E-7</v>
      </c>
      <c r="H136" s="2">
        <f t="shared" si="9"/>
        <v>300000000</v>
      </c>
    </row>
    <row r="137" spans="1:8">
      <c r="A137" t="s">
        <v>8</v>
      </c>
      <c r="B137">
        <f t="shared" si="7"/>
        <v>12</v>
      </c>
      <c r="C137" s="1" t="s">
        <v>9</v>
      </c>
      <c r="D137" s="1">
        <f t="shared" ref="D137:D181" si="10">D131</f>
        <v>4</v>
      </c>
      <c r="E137">
        <v>8</v>
      </c>
      <c r="F137">
        <v>6</v>
      </c>
      <c r="G137">
        <f t="shared" si="8"/>
        <v>9.9999999999999995E-7</v>
      </c>
      <c r="H137" s="2">
        <f t="shared" si="9"/>
        <v>400000000</v>
      </c>
    </row>
    <row r="138" spans="1:8">
      <c r="A138" t="s">
        <v>8</v>
      </c>
      <c r="B138">
        <f t="shared" si="7"/>
        <v>12</v>
      </c>
      <c r="C138" s="1" t="s">
        <v>9</v>
      </c>
      <c r="D138" s="1">
        <f t="shared" si="10"/>
        <v>5</v>
      </c>
      <c r="E138">
        <v>7</v>
      </c>
      <c r="F138">
        <v>6</v>
      </c>
      <c r="G138">
        <f t="shared" si="8"/>
        <v>9.9999999999999995E-7</v>
      </c>
      <c r="H138" s="2">
        <f t="shared" si="9"/>
        <v>350000000</v>
      </c>
    </row>
    <row r="139" spans="1:8">
      <c r="A139" t="s">
        <v>8</v>
      </c>
      <c r="B139">
        <f t="shared" si="7"/>
        <v>12</v>
      </c>
      <c r="C139" s="1" t="s">
        <v>9</v>
      </c>
      <c r="D139" s="1">
        <f t="shared" si="10"/>
        <v>6</v>
      </c>
      <c r="E139">
        <v>8</v>
      </c>
      <c r="F139">
        <v>6</v>
      </c>
      <c r="G139">
        <f t="shared" si="8"/>
        <v>9.9999999999999995E-7</v>
      </c>
      <c r="H139" s="2">
        <f t="shared" si="9"/>
        <v>400000000</v>
      </c>
    </row>
    <row r="140" spans="1:8">
      <c r="A140" t="s">
        <v>8</v>
      </c>
      <c r="B140">
        <f t="shared" si="7"/>
        <v>12.5</v>
      </c>
      <c r="C140" s="1" t="s">
        <v>9</v>
      </c>
      <c r="D140" s="1">
        <f t="shared" si="10"/>
        <v>1</v>
      </c>
      <c r="E140">
        <v>7</v>
      </c>
      <c r="F140">
        <v>5</v>
      </c>
      <c r="G140">
        <f t="shared" si="8"/>
        <v>1.0000000000000001E-5</v>
      </c>
      <c r="H140" s="2">
        <f t="shared" si="9"/>
        <v>35000000</v>
      </c>
    </row>
    <row r="141" spans="1:8">
      <c r="A141" t="s">
        <v>8</v>
      </c>
      <c r="B141">
        <f t="shared" ref="B141:B181" si="11">B135+0.5</f>
        <v>12.5</v>
      </c>
      <c r="C141" s="1" t="s">
        <v>9</v>
      </c>
      <c r="D141" s="1">
        <f t="shared" si="10"/>
        <v>2</v>
      </c>
      <c r="E141">
        <v>8</v>
      </c>
      <c r="F141">
        <v>4</v>
      </c>
      <c r="G141">
        <f t="shared" si="8"/>
        <v>1E-4</v>
      </c>
      <c r="H141" s="2">
        <f t="shared" si="9"/>
        <v>3999999.9999999995</v>
      </c>
    </row>
    <row r="142" spans="1:8">
      <c r="A142" t="s">
        <v>8</v>
      </c>
      <c r="B142">
        <f t="shared" si="11"/>
        <v>12.5</v>
      </c>
      <c r="C142" s="1" t="s">
        <v>9</v>
      </c>
      <c r="D142" s="1">
        <f t="shared" si="10"/>
        <v>3</v>
      </c>
      <c r="E142">
        <v>9</v>
      </c>
      <c r="F142">
        <v>5</v>
      </c>
      <c r="G142">
        <f t="shared" si="8"/>
        <v>1.0000000000000001E-5</v>
      </c>
      <c r="H142" s="2">
        <f t="shared" si="9"/>
        <v>44999999.999999993</v>
      </c>
    </row>
    <row r="143" spans="1:8">
      <c r="A143" t="s">
        <v>8</v>
      </c>
      <c r="B143">
        <f t="shared" si="11"/>
        <v>12.5</v>
      </c>
      <c r="C143" s="1" t="s">
        <v>9</v>
      </c>
      <c r="D143" s="1">
        <f t="shared" si="10"/>
        <v>4</v>
      </c>
      <c r="E143">
        <v>3</v>
      </c>
      <c r="F143">
        <v>5</v>
      </c>
      <c r="G143">
        <f t="shared" si="8"/>
        <v>1.0000000000000001E-5</v>
      </c>
      <c r="H143" s="2">
        <f t="shared" si="9"/>
        <v>14999999.999999998</v>
      </c>
    </row>
    <row r="144" spans="1:8">
      <c r="A144" t="s">
        <v>8</v>
      </c>
      <c r="B144">
        <f t="shared" si="11"/>
        <v>12.5</v>
      </c>
      <c r="C144" s="1" t="s">
        <v>9</v>
      </c>
      <c r="D144" s="1">
        <f t="shared" si="10"/>
        <v>5</v>
      </c>
      <c r="E144">
        <v>7</v>
      </c>
      <c r="F144">
        <v>5</v>
      </c>
      <c r="G144">
        <f t="shared" si="8"/>
        <v>1.0000000000000001E-5</v>
      </c>
      <c r="H144" s="2">
        <f t="shared" si="9"/>
        <v>35000000</v>
      </c>
    </row>
    <row r="145" spans="1:8">
      <c r="A145" t="s">
        <v>8</v>
      </c>
      <c r="B145">
        <f t="shared" si="11"/>
        <v>12.5</v>
      </c>
      <c r="C145" s="1" t="s">
        <v>9</v>
      </c>
      <c r="D145" s="1">
        <f t="shared" si="10"/>
        <v>6</v>
      </c>
      <c r="E145">
        <v>6</v>
      </c>
      <c r="F145">
        <v>6</v>
      </c>
      <c r="G145">
        <f t="shared" si="8"/>
        <v>9.9999999999999995E-7</v>
      </c>
      <c r="H145" s="2">
        <f t="shared" si="9"/>
        <v>300000000</v>
      </c>
    </row>
    <row r="146" spans="1:8">
      <c r="A146" t="s">
        <v>8</v>
      </c>
      <c r="B146">
        <f t="shared" si="11"/>
        <v>13</v>
      </c>
      <c r="C146" s="1" t="s">
        <v>9</v>
      </c>
      <c r="D146" s="1">
        <f t="shared" si="10"/>
        <v>1</v>
      </c>
      <c r="E146">
        <v>4</v>
      </c>
      <c r="F146">
        <v>6</v>
      </c>
      <c r="G146">
        <f t="shared" si="8"/>
        <v>9.9999999999999995E-7</v>
      </c>
      <c r="H146" s="2">
        <f t="shared" si="9"/>
        <v>200000000</v>
      </c>
    </row>
    <row r="147" spans="1:8">
      <c r="A147" t="s">
        <v>8</v>
      </c>
      <c r="B147">
        <f t="shared" si="11"/>
        <v>13</v>
      </c>
      <c r="C147" s="1" t="s">
        <v>9</v>
      </c>
      <c r="D147" s="1">
        <f t="shared" si="10"/>
        <v>2</v>
      </c>
      <c r="E147">
        <v>3</v>
      </c>
      <c r="F147">
        <v>6</v>
      </c>
      <c r="G147">
        <f t="shared" si="8"/>
        <v>9.9999999999999995E-7</v>
      </c>
      <c r="H147" s="2">
        <f t="shared" si="9"/>
        <v>150000000</v>
      </c>
    </row>
    <row r="148" spans="1:8">
      <c r="A148" t="s">
        <v>8</v>
      </c>
      <c r="B148">
        <f t="shared" si="11"/>
        <v>13</v>
      </c>
      <c r="C148" s="1" t="s">
        <v>9</v>
      </c>
      <c r="D148" s="1">
        <f t="shared" si="10"/>
        <v>3</v>
      </c>
      <c r="E148">
        <v>3</v>
      </c>
      <c r="F148">
        <v>6</v>
      </c>
      <c r="G148">
        <f t="shared" si="8"/>
        <v>9.9999999999999995E-7</v>
      </c>
      <c r="H148" s="2">
        <f t="shared" si="9"/>
        <v>150000000</v>
      </c>
    </row>
    <row r="149" spans="1:8">
      <c r="A149" t="s">
        <v>8</v>
      </c>
      <c r="B149">
        <f t="shared" si="11"/>
        <v>13</v>
      </c>
      <c r="C149" s="1" t="s">
        <v>9</v>
      </c>
      <c r="D149" s="1">
        <f t="shared" si="10"/>
        <v>4</v>
      </c>
      <c r="E149">
        <v>2</v>
      </c>
      <c r="F149">
        <v>6</v>
      </c>
      <c r="G149">
        <f t="shared" si="8"/>
        <v>9.9999999999999995E-7</v>
      </c>
      <c r="H149" s="2">
        <f t="shared" si="9"/>
        <v>100000000</v>
      </c>
    </row>
    <row r="150" spans="1:8">
      <c r="A150" t="s">
        <v>8</v>
      </c>
      <c r="B150">
        <f t="shared" si="11"/>
        <v>13</v>
      </c>
      <c r="C150" s="1" t="s">
        <v>9</v>
      </c>
      <c r="D150" s="1">
        <f t="shared" si="10"/>
        <v>5</v>
      </c>
      <c r="E150">
        <v>10</v>
      </c>
      <c r="F150">
        <v>6</v>
      </c>
      <c r="G150">
        <f t="shared" si="8"/>
        <v>9.9999999999999995E-7</v>
      </c>
      <c r="H150" s="2">
        <f t="shared" si="9"/>
        <v>500000000</v>
      </c>
    </row>
    <row r="151" spans="1:8">
      <c r="A151" t="s">
        <v>8</v>
      </c>
      <c r="B151">
        <f t="shared" si="11"/>
        <v>13</v>
      </c>
      <c r="C151" s="1" t="s">
        <v>9</v>
      </c>
      <c r="D151" s="1">
        <f t="shared" si="10"/>
        <v>6</v>
      </c>
      <c r="E151">
        <v>9</v>
      </c>
      <c r="F151">
        <v>6</v>
      </c>
      <c r="G151">
        <f t="shared" si="8"/>
        <v>9.9999999999999995E-7</v>
      </c>
      <c r="H151" s="2">
        <f t="shared" si="9"/>
        <v>450000000</v>
      </c>
    </row>
    <row r="152" spans="1:8">
      <c r="A152" t="s">
        <v>8</v>
      </c>
      <c r="B152">
        <f t="shared" si="11"/>
        <v>13.5</v>
      </c>
      <c r="C152" s="1" t="s">
        <v>9</v>
      </c>
      <c r="D152" s="1">
        <f t="shared" si="10"/>
        <v>1</v>
      </c>
      <c r="E152">
        <v>4</v>
      </c>
      <c r="F152">
        <v>5</v>
      </c>
      <c r="G152">
        <f t="shared" si="8"/>
        <v>1.0000000000000001E-5</v>
      </c>
      <c r="H152" s="2">
        <f t="shared" si="9"/>
        <v>20000000</v>
      </c>
    </row>
    <row r="153" spans="1:8">
      <c r="A153" t="s">
        <v>8</v>
      </c>
      <c r="B153">
        <f t="shared" si="11"/>
        <v>13.5</v>
      </c>
      <c r="C153" s="1" t="s">
        <v>9</v>
      </c>
      <c r="D153" s="1">
        <f t="shared" si="10"/>
        <v>2</v>
      </c>
      <c r="E153">
        <v>2</v>
      </c>
      <c r="F153">
        <v>5</v>
      </c>
      <c r="G153">
        <f t="shared" si="8"/>
        <v>1.0000000000000001E-5</v>
      </c>
      <c r="H153" s="2">
        <f t="shared" si="9"/>
        <v>10000000</v>
      </c>
    </row>
    <row r="154" spans="1:8">
      <c r="A154" t="s">
        <v>8</v>
      </c>
      <c r="B154">
        <f t="shared" si="11"/>
        <v>13.5</v>
      </c>
      <c r="C154" s="1" t="s">
        <v>9</v>
      </c>
      <c r="D154" s="1">
        <f t="shared" si="10"/>
        <v>3</v>
      </c>
      <c r="E154">
        <v>1</v>
      </c>
      <c r="F154">
        <v>6</v>
      </c>
      <c r="G154">
        <f t="shared" si="8"/>
        <v>9.9999999999999995E-7</v>
      </c>
      <c r="H154" s="2">
        <f t="shared" si="9"/>
        <v>50000000</v>
      </c>
    </row>
    <row r="155" spans="1:8">
      <c r="A155" t="s">
        <v>8</v>
      </c>
      <c r="B155">
        <f t="shared" si="11"/>
        <v>13.5</v>
      </c>
      <c r="C155" s="1" t="s">
        <v>9</v>
      </c>
      <c r="D155" s="1">
        <f t="shared" si="10"/>
        <v>4</v>
      </c>
      <c r="E155">
        <v>7</v>
      </c>
      <c r="F155">
        <v>5</v>
      </c>
      <c r="G155">
        <f t="shared" si="8"/>
        <v>1.0000000000000001E-5</v>
      </c>
      <c r="H155" s="2">
        <f t="shared" si="9"/>
        <v>35000000</v>
      </c>
    </row>
    <row r="156" spans="1:8">
      <c r="A156" t="s">
        <v>8</v>
      </c>
      <c r="B156">
        <f t="shared" si="11"/>
        <v>13.5</v>
      </c>
      <c r="C156" s="1" t="s">
        <v>9</v>
      </c>
      <c r="D156" s="1">
        <f t="shared" si="10"/>
        <v>5</v>
      </c>
      <c r="E156">
        <v>6</v>
      </c>
      <c r="F156">
        <v>5</v>
      </c>
      <c r="G156">
        <f t="shared" si="8"/>
        <v>1.0000000000000001E-5</v>
      </c>
      <c r="H156" s="2">
        <f t="shared" si="9"/>
        <v>29999999.999999996</v>
      </c>
    </row>
    <row r="157" spans="1:8">
      <c r="A157" t="s">
        <v>8</v>
      </c>
      <c r="B157">
        <f t="shared" si="11"/>
        <v>13.5</v>
      </c>
      <c r="C157" s="1" t="s">
        <v>9</v>
      </c>
      <c r="D157" s="1">
        <f t="shared" si="10"/>
        <v>6</v>
      </c>
      <c r="E157">
        <v>13</v>
      </c>
      <c r="F157">
        <v>5</v>
      </c>
      <c r="G157">
        <f t="shared" si="8"/>
        <v>1.0000000000000001E-5</v>
      </c>
      <c r="H157" s="2">
        <f t="shared" si="9"/>
        <v>64999999.999999993</v>
      </c>
    </row>
    <row r="158" spans="1:8">
      <c r="A158" t="s">
        <v>8</v>
      </c>
      <c r="B158">
        <f t="shared" si="11"/>
        <v>14</v>
      </c>
      <c r="C158" s="1" t="s">
        <v>9</v>
      </c>
      <c r="D158" s="1">
        <f t="shared" si="10"/>
        <v>1</v>
      </c>
      <c r="E158">
        <v>3</v>
      </c>
      <c r="F158">
        <v>6</v>
      </c>
      <c r="G158">
        <f t="shared" si="8"/>
        <v>9.9999999999999995E-7</v>
      </c>
      <c r="H158" s="2">
        <f t="shared" si="9"/>
        <v>150000000</v>
      </c>
    </row>
    <row r="159" spans="1:8">
      <c r="A159" t="s">
        <v>8</v>
      </c>
      <c r="B159">
        <f t="shared" si="11"/>
        <v>14</v>
      </c>
      <c r="C159" s="1" t="s">
        <v>9</v>
      </c>
      <c r="D159" s="1">
        <f t="shared" si="10"/>
        <v>2</v>
      </c>
      <c r="E159">
        <v>9</v>
      </c>
      <c r="F159">
        <v>6</v>
      </c>
      <c r="G159">
        <f t="shared" si="8"/>
        <v>9.9999999999999995E-7</v>
      </c>
      <c r="H159" s="2">
        <f t="shared" si="9"/>
        <v>450000000</v>
      </c>
    </row>
    <row r="160" spans="1:8">
      <c r="A160" t="s">
        <v>8</v>
      </c>
      <c r="B160">
        <f t="shared" si="11"/>
        <v>14</v>
      </c>
      <c r="C160" s="1" t="s">
        <v>9</v>
      </c>
      <c r="D160" s="1">
        <f t="shared" si="10"/>
        <v>3</v>
      </c>
      <c r="E160">
        <v>2</v>
      </c>
      <c r="F160">
        <v>6</v>
      </c>
      <c r="G160">
        <f t="shared" si="8"/>
        <v>9.9999999999999995E-7</v>
      </c>
      <c r="H160" s="2">
        <f t="shared" si="9"/>
        <v>100000000</v>
      </c>
    </row>
    <row r="161" spans="1:8">
      <c r="A161" t="s">
        <v>8</v>
      </c>
      <c r="B161">
        <f t="shared" si="11"/>
        <v>14</v>
      </c>
      <c r="C161" s="1" t="s">
        <v>9</v>
      </c>
      <c r="D161" s="1">
        <f t="shared" si="10"/>
        <v>4</v>
      </c>
      <c r="E161">
        <v>9</v>
      </c>
      <c r="F161">
        <v>6</v>
      </c>
      <c r="G161">
        <f t="shared" si="8"/>
        <v>9.9999999999999995E-7</v>
      </c>
      <c r="H161" s="2">
        <f t="shared" si="9"/>
        <v>450000000</v>
      </c>
    </row>
    <row r="162" spans="1:8">
      <c r="A162" t="s">
        <v>8</v>
      </c>
      <c r="B162">
        <f t="shared" si="11"/>
        <v>14</v>
      </c>
      <c r="C162" s="1" t="s">
        <v>9</v>
      </c>
      <c r="D162" s="1">
        <f t="shared" si="10"/>
        <v>5</v>
      </c>
      <c r="E162">
        <v>6</v>
      </c>
      <c r="F162">
        <v>6</v>
      </c>
      <c r="G162">
        <f t="shared" si="8"/>
        <v>9.9999999999999995E-7</v>
      </c>
      <c r="H162" s="2">
        <f t="shared" si="9"/>
        <v>300000000</v>
      </c>
    </row>
    <row r="163" spans="1:8">
      <c r="A163" t="s">
        <v>8</v>
      </c>
      <c r="B163">
        <f t="shared" si="11"/>
        <v>14</v>
      </c>
      <c r="C163" s="1" t="s">
        <v>9</v>
      </c>
      <c r="D163" s="1">
        <f t="shared" si="10"/>
        <v>6</v>
      </c>
      <c r="E163">
        <v>4</v>
      </c>
      <c r="F163">
        <v>6</v>
      </c>
      <c r="G163">
        <f t="shared" si="8"/>
        <v>9.9999999999999995E-7</v>
      </c>
      <c r="H163" s="2">
        <f t="shared" si="9"/>
        <v>200000000</v>
      </c>
    </row>
    <row r="164" spans="1:8">
      <c r="A164" t="s">
        <v>8</v>
      </c>
      <c r="B164">
        <f t="shared" si="11"/>
        <v>14.5</v>
      </c>
      <c r="C164" s="1" t="s">
        <v>9</v>
      </c>
      <c r="D164" s="1">
        <f t="shared" si="10"/>
        <v>1</v>
      </c>
      <c r="E164">
        <v>5</v>
      </c>
      <c r="F164">
        <v>5</v>
      </c>
      <c r="G164">
        <f t="shared" si="8"/>
        <v>1.0000000000000001E-5</v>
      </c>
      <c r="H164" s="2">
        <f t="shared" si="9"/>
        <v>24999999.999999996</v>
      </c>
    </row>
    <row r="165" spans="1:8">
      <c r="A165" t="s">
        <v>8</v>
      </c>
      <c r="B165">
        <f t="shared" si="11"/>
        <v>14.5</v>
      </c>
      <c r="C165" s="1" t="s">
        <v>9</v>
      </c>
      <c r="D165" s="1">
        <f t="shared" si="10"/>
        <v>2</v>
      </c>
      <c r="E165">
        <v>3</v>
      </c>
      <c r="F165">
        <v>5</v>
      </c>
      <c r="G165">
        <f t="shared" si="8"/>
        <v>1.0000000000000001E-5</v>
      </c>
      <c r="H165" s="2">
        <f t="shared" si="9"/>
        <v>14999999.999999998</v>
      </c>
    </row>
    <row r="166" spans="1:8">
      <c r="A166" t="s">
        <v>8</v>
      </c>
      <c r="B166">
        <f t="shared" si="11"/>
        <v>14.5</v>
      </c>
      <c r="C166" s="1" t="s">
        <v>9</v>
      </c>
      <c r="D166" s="1">
        <f t="shared" si="10"/>
        <v>3</v>
      </c>
      <c r="E166">
        <v>2</v>
      </c>
      <c r="F166">
        <v>6</v>
      </c>
      <c r="G166">
        <f t="shared" si="8"/>
        <v>9.9999999999999995E-7</v>
      </c>
      <c r="H166" s="2">
        <f t="shared" si="9"/>
        <v>100000000</v>
      </c>
    </row>
    <row r="167" spans="1:8">
      <c r="A167" t="s">
        <v>8</v>
      </c>
      <c r="B167">
        <f t="shared" si="11"/>
        <v>14.5</v>
      </c>
      <c r="C167" s="1" t="s">
        <v>9</v>
      </c>
      <c r="D167" s="1">
        <f t="shared" si="10"/>
        <v>4</v>
      </c>
      <c r="E167">
        <v>9</v>
      </c>
      <c r="F167">
        <v>5</v>
      </c>
      <c r="G167">
        <f t="shared" si="8"/>
        <v>1.0000000000000001E-5</v>
      </c>
      <c r="H167" s="2">
        <f t="shared" si="9"/>
        <v>44999999.999999993</v>
      </c>
    </row>
    <row r="168" spans="1:8">
      <c r="A168" t="s">
        <v>8</v>
      </c>
      <c r="B168">
        <f t="shared" si="11"/>
        <v>14.5</v>
      </c>
      <c r="C168" s="1" t="s">
        <v>9</v>
      </c>
      <c r="D168" s="1">
        <f t="shared" si="10"/>
        <v>5</v>
      </c>
      <c r="E168">
        <v>8</v>
      </c>
      <c r="F168">
        <v>5</v>
      </c>
      <c r="G168">
        <f>1/10^F172</f>
        <v>9.9999999999999995E-7</v>
      </c>
      <c r="H168" s="2">
        <f t="shared" si="9"/>
        <v>400000000</v>
      </c>
    </row>
    <row r="169" spans="1:8">
      <c r="A169" t="s">
        <v>8</v>
      </c>
      <c r="B169">
        <f t="shared" si="11"/>
        <v>14.5</v>
      </c>
      <c r="C169" s="1" t="s">
        <v>9</v>
      </c>
      <c r="D169" s="1">
        <f t="shared" si="10"/>
        <v>6</v>
      </c>
      <c r="E169">
        <v>1</v>
      </c>
      <c r="F169">
        <v>6</v>
      </c>
      <c r="G169">
        <f>1/10^F173</f>
        <v>9.9999999999999995E-7</v>
      </c>
      <c r="H169" s="2">
        <f t="shared" si="9"/>
        <v>50000000</v>
      </c>
    </row>
    <row r="170" spans="1:8">
      <c r="A170" t="s">
        <v>8</v>
      </c>
      <c r="B170">
        <f t="shared" si="11"/>
        <v>15</v>
      </c>
      <c r="C170" s="1" t="s">
        <v>9</v>
      </c>
      <c r="D170" s="1">
        <f t="shared" si="10"/>
        <v>1</v>
      </c>
      <c r="E170">
        <v>1</v>
      </c>
      <c r="F170">
        <v>6</v>
      </c>
      <c r="G170">
        <f>1/10^F174</f>
        <v>9.9999999999999995E-7</v>
      </c>
      <c r="H170" s="2">
        <f t="shared" si="9"/>
        <v>50000000</v>
      </c>
    </row>
    <row r="171" spans="1:8">
      <c r="A171" t="s">
        <v>8</v>
      </c>
      <c r="B171">
        <f t="shared" si="11"/>
        <v>15</v>
      </c>
      <c r="C171" s="1" t="s">
        <v>9</v>
      </c>
      <c r="D171" s="1">
        <f t="shared" si="10"/>
        <v>2</v>
      </c>
      <c r="E171">
        <v>4</v>
      </c>
      <c r="F171">
        <v>6</v>
      </c>
      <c r="G171">
        <f t="shared" si="8"/>
        <v>9.9999999999999995E-7</v>
      </c>
      <c r="H171" s="2">
        <f t="shared" si="9"/>
        <v>200000000</v>
      </c>
    </row>
    <row r="172" spans="1:8">
      <c r="A172" t="s">
        <v>8</v>
      </c>
      <c r="B172">
        <f t="shared" si="11"/>
        <v>15</v>
      </c>
      <c r="C172" s="1" t="s">
        <v>9</v>
      </c>
      <c r="D172" s="1">
        <f t="shared" si="10"/>
        <v>3</v>
      </c>
      <c r="E172">
        <v>4</v>
      </c>
      <c r="F172">
        <v>6</v>
      </c>
      <c r="G172">
        <f t="shared" si="8"/>
        <v>9.9999999999999995E-7</v>
      </c>
      <c r="H172" s="2">
        <f t="shared" si="9"/>
        <v>200000000</v>
      </c>
    </row>
    <row r="173" spans="1:8">
      <c r="A173" t="s">
        <v>8</v>
      </c>
      <c r="B173">
        <f t="shared" si="11"/>
        <v>15</v>
      </c>
      <c r="C173" s="1" t="s">
        <v>9</v>
      </c>
      <c r="D173" s="1">
        <f t="shared" si="10"/>
        <v>4</v>
      </c>
      <c r="E173">
        <v>1</v>
      </c>
      <c r="F173">
        <v>6</v>
      </c>
      <c r="G173">
        <f t="shared" si="8"/>
        <v>9.9999999999999995E-7</v>
      </c>
      <c r="H173" s="2">
        <f t="shared" si="9"/>
        <v>50000000</v>
      </c>
    </row>
    <row r="174" spans="1:8">
      <c r="A174" t="s">
        <v>8</v>
      </c>
      <c r="B174">
        <f t="shared" si="11"/>
        <v>15</v>
      </c>
      <c r="C174" s="1" t="s">
        <v>9</v>
      </c>
      <c r="D174" s="1">
        <f t="shared" si="10"/>
        <v>5</v>
      </c>
      <c r="E174">
        <v>30</v>
      </c>
      <c r="F174">
        <v>6</v>
      </c>
      <c r="G174">
        <f t="shared" si="8"/>
        <v>9.9999999999999995E-7</v>
      </c>
      <c r="H174" s="2">
        <f t="shared" si="9"/>
        <v>1500000000</v>
      </c>
    </row>
    <row r="175" spans="1:8">
      <c r="A175" t="s">
        <v>8</v>
      </c>
      <c r="B175">
        <f t="shared" si="11"/>
        <v>15</v>
      </c>
      <c r="C175" s="1" t="s">
        <v>9</v>
      </c>
      <c r="D175" s="1">
        <f t="shared" si="10"/>
        <v>6</v>
      </c>
      <c r="E175">
        <v>4</v>
      </c>
      <c r="F175">
        <v>6</v>
      </c>
      <c r="G175">
        <f t="shared" si="8"/>
        <v>9.9999999999999995E-7</v>
      </c>
      <c r="H175" s="2">
        <f t="shared" si="9"/>
        <v>200000000</v>
      </c>
    </row>
    <row r="176" spans="1:8">
      <c r="A176" t="s">
        <v>8</v>
      </c>
      <c r="B176">
        <f t="shared" si="11"/>
        <v>15.5</v>
      </c>
      <c r="C176" s="1" t="s">
        <v>9</v>
      </c>
      <c r="D176" s="1">
        <f t="shared" si="10"/>
        <v>1</v>
      </c>
      <c r="E176">
        <v>3</v>
      </c>
      <c r="F176">
        <v>5</v>
      </c>
      <c r="G176">
        <f t="shared" si="8"/>
        <v>1.0000000000000001E-5</v>
      </c>
      <c r="H176" s="2">
        <f t="shared" si="9"/>
        <v>14999999.999999998</v>
      </c>
    </row>
    <row r="177" spans="1:8">
      <c r="A177" t="s">
        <v>8</v>
      </c>
      <c r="B177">
        <f t="shared" si="11"/>
        <v>15.5</v>
      </c>
      <c r="C177" s="1" t="s">
        <v>9</v>
      </c>
      <c r="D177" s="1">
        <f t="shared" si="10"/>
        <v>2</v>
      </c>
      <c r="E177">
        <v>7</v>
      </c>
      <c r="F177">
        <v>5</v>
      </c>
      <c r="G177">
        <f t="shared" si="8"/>
        <v>1.0000000000000001E-5</v>
      </c>
      <c r="H177" s="2">
        <f t="shared" si="9"/>
        <v>35000000</v>
      </c>
    </row>
    <row r="178" spans="1:8">
      <c r="A178" t="s">
        <v>8</v>
      </c>
      <c r="B178">
        <f t="shared" si="11"/>
        <v>15.5</v>
      </c>
      <c r="C178" s="1" t="s">
        <v>9</v>
      </c>
      <c r="D178" s="1">
        <f t="shared" si="10"/>
        <v>3</v>
      </c>
      <c r="E178">
        <v>22</v>
      </c>
      <c r="F178">
        <v>5</v>
      </c>
      <c r="G178">
        <f t="shared" si="8"/>
        <v>1.0000000000000001E-5</v>
      </c>
      <c r="H178" s="2">
        <f t="shared" si="9"/>
        <v>109999999.99999999</v>
      </c>
    </row>
    <row r="179" spans="1:8">
      <c r="A179" t="s">
        <v>8</v>
      </c>
      <c r="B179">
        <f t="shared" si="11"/>
        <v>15.5</v>
      </c>
      <c r="C179" s="1" t="s">
        <v>9</v>
      </c>
      <c r="D179" s="1">
        <f t="shared" si="10"/>
        <v>4</v>
      </c>
      <c r="E179">
        <v>9</v>
      </c>
      <c r="F179">
        <v>5</v>
      </c>
      <c r="G179">
        <f t="shared" si="8"/>
        <v>1.0000000000000001E-5</v>
      </c>
      <c r="H179" s="2">
        <f t="shared" si="9"/>
        <v>44999999.999999993</v>
      </c>
    </row>
    <row r="180" spans="1:8">
      <c r="A180" t="s">
        <v>8</v>
      </c>
      <c r="B180">
        <f t="shared" si="11"/>
        <v>15.5</v>
      </c>
      <c r="C180" s="1" t="s">
        <v>9</v>
      </c>
      <c r="D180" s="1">
        <f t="shared" si="10"/>
        <v>5</v>
      </c>
      <c r="E180">
        <v>19</v>
      </c>
      <c r="F180">
        <v>5</v>
      </c>
      <c r="G180">
        <f t="shared" si="8"/>
        <v>1.0000000000000001E-5</v>
      </c>
      <c r="H180" s="2">
        <f t="shared" si="9"/>
        <v>94999999.999999985</v>
      </c>
    </row>
    <row r="181" spans="1:8">
      <c r="A181" t="s">
        <v>8</v>
      </c>
      <c r="B181">
        <f t="shared" si="11"/>
        <v>15.5</v>
      </c>
      <c r="C181" s="1" t="s">
        <v>9</v>
      </c>
      <c r="D181" s="1">
        <f t="shared" si="10"/>
        <v>6</v>
      </c>
      <c r="E181">
        <v>13</v>
      </c>
      <c r="F181">
        <v>5</v>
      </c>
      <c r="G181">
        <f t="shared" si="8"/>
        <v>1.0000000000000001E-5</v>
      </c>
      <c r="H181" s="2">
        <f t="shared" si="9"/>
        <v>64999999.999999993</v>
      </c>
    </row>
    <row r="182" spans="1:8">
      <c r="C182" s="1"/>
      <c r="D182" s="1"/>
    </row>
    <row r="183" spans="1:8">
      <c r="C183" s="1"/>
      <c r="D183" s="1"/>
    </row>
    <row r="184" spans="1:8">
      <c r="C184" s="1"/>
      <c r="D184" s="1"/>
    </row>
    <row r="185" spans="1:8">
      <c r="C185" s="1"/>
      <c r="D185" s="1"/>
    </row>
    <row r="186" spans="1:8">
      <c r="C186" s="1"/>
      <c r="D186" s="1"/>
    </row>
    <row r="187" spans="1:8">
      <c r="C187" s="1"/>
      <c r="D187" s="1"/>
    </row>
    <row r="188" spans="1:8">
      <c r="C188" s="1"/>
      <c r="D188" s="1"/>
    </row>
    <row r="189" spans="1:8">
      <c r="C189" s="1"/>
      <c r="D189" s="1"/>
    </row>
    <row r="190" spans="1:8">
      <c r="C190" s="1"/>
      <c r="D190" s="1"/>
    </row>
    <row r="191" spans="1:8">
      <c r="C191" s="1"/>
      <c r="D191" s="1"/>
    </row>
    <row r="192" spans="1:8">
      <c r="C192" s="1"/>
      <c r="D192" s="1"/>
    </row>
    <row r="193" spans="3:4">
      <c r="C193" s="1"/>
      <c r="D193" s="1"/>
    </row>
    <row r="194" spans="3:4">
      <c r="C194" s="1"/>
      <c r="D194" s="1"/>
    </row>
    <row r="195" spans="3:4">
      <c r="C195" s="1"/>
      <c r="D195" s="1"/>
    </row>
    <row r="196" spans="3:4">
      <c r="C196" s="1"/>
      <c r="D196" s="1"/>
    </row>
    <row r="197" spans="3:4">
      <c r="C197" s="1"/>
      <c r="D197" s="1"/>
    </row>
    <row r="198" spans="3:4">
      <c r="C198" s="1"/>
      <c r="D198" s="1"/>
    </row>
    <row r="199" spans="3:4">
      <c r="C199" s="1"/>
      <c r="D199" s="1"/>
    </row>
    <row r="200" spans="3:4">
      <c r="C200" s="1"/>
      <c r="D200" s="1"/>
    </row>
    <row r="201" spans="3:4">
      <c r="C201" s="1"/>
      <c r="D201" s="1"/>
    </row>
    <row r="202" spans="3:4">
      <c r="C202" s="1"/>
      <c r="D202" s="1"/>
    </row>
    <row r="203" spans="3:4">
      <c r="C203" s="1"/>
      <c r="D203" s="1"/>
    </row>
    <row r="204" spans="3:4">
      <c r="C204" s="1"/>
      <c r="D204" s="1"/>
    </row>
    <row r="205" spans="3:4">
      <c r="C205" s="1"/>
      <c r="D205" s="1"/>
    </row>
    <row r="206" spans="3:4">
      <c r="C206" s="1"/>
      <c r="D206" s="1"/>
    </row>
    <row r="207" spans="3:4">
      <c r="C207" s="1"/>
      <c r="D207" s="1"/>
    </row>
    <row r="208" spans="3:4">
      <c r="C208" s="1"/>
      <c r="D208" s="1"/>
    </row>
    <row r="209" spans="3:4">
      <c r="C209" s="1"/>
      <c r="D209" s="1"/>
    </row>
    <row r="210" spans="3:4">
      <c r="C210" s="1"/>
      <c r="D210" s="1"/>
    </row>
    <row r="211" spans="3:4">
      <c r="C211" s="1"/>
      <c r="D211" s="1"/>
    </row>
    <row r="212" spans="3:4">
      <c r="C212" s="1"/>
      <c r="D212" s="1"/>
    </row>
    <row r="213" spans="3:4">
      <c r="C213" s="1"/>
      <c r="D213" s="1"/>
    </row>
    <row r="214" spans="3:4">
      <c r="C214" s="1"/>
      <c r="D214" s="1"/>
    </row>
    <row r="215" spans="3:4">
      <c r="C215" s="1"/>
      <c r="D215" s="1"/>
    </row>
    <row r="216" spans="3:4">
      <c r="C216" s="1"/>
      <c r="D216" s="1"/>
    </row>
    <row r="217" spans="3:4">
      <c r="C217" s="1"/>
      <c r="D217" s="1"/>
    </row>
    <row r="218" spans="3:4">
      <c r="C218" s="1"/>
      <c r="D218" s="1"/>
    </row>
    <row r="219" spans="3:4">
      <c r="C219" s="1"/>
      <c r="D219" s="1"/>
    </row>
    <row r="220" spans="3:4">
      <c r="C220" s="1"/>
      <c r="D220" s="1"/>
    </row>
    <row r="221" spans="3:4">
      <c r="C221" s="1"/>
      <c r="D221" s="1"/>
    </row>
    <row r="222" spans="3:4">
      <c r="C222" s="1"/>
      <c r="D222" s="1"/>
    </row>
    <row r="223" spans="3:4">
      <c r="C223" s="1"/>
      <c r="D223" s="1"/>
    </row>
    <row r="224" spans="3:4">
      <c r="C224" s="1"/>
      <c r="D224" s="1"/>
    </row>
    <row r="225" spans="3:4">
      <c r="C225" s="1"/>
      <c r="D225" s="1"/>
    </row>
    <row r="226" spans="3:4">
      <c r="C226" s="1"/>
      <c r="D226" s="1"/>
    </row>
    <row r="227" spans="3:4">
      <c r="C227" s="1"/>
      <c r="D227" s="1"/>
    </row>
    <row r="228" spans="3:4">
      <c r="C228" s="1"/>
      <c r="D228" s="1"/>
    </row>
    <row r="229" spans="3:4">
      <c r="C229" s="1"/>
      <c r="D229" s="1"/>
    </row>
    <row r="230" spans="3:4">
      <c r="C230" s="1"/>
      <c r="D230" s="1"/>
    </row>
    <row r="231" spans="3:4">
      <c r="C231" s="1"/>
      <c r="D231" s="1"/>
    </row>
    <row r="232" spans="3:4">
      <c r="C232" s="1"/>
      <c r="D232" s="1"/>
    </row>
    <row r="233" spans="3:4">
      <c r="C233" s="1"/>
      <c r="D233" s="1"/>
    </row>
    <row r="234" spans="3:4">
      <c r="C234" s="1"/>
      <c r="D234" s="1"/>
    </row>
    <row r="235" spans="3:4">
      <c r="C235" s="1"/>
      <c r="D235" s="1"/>
    </row>
    <row r="236" spans="3:4">
      <c r="C236" s="1"/>
      <c r="D236" s="1"/>
    </row>
    <row r="237" spans="3:4">
      <c r="C237" s="1"/>
      <c r="D237" s="1"/>
    </row>
    <row r="238" spans="3:4">
      <c r="C238" s="1"/>
      <c r="D238" s="1"/>
    </row>
    <row r="239" spans="3:4">
      <c r="C239" s="1"/>
      <c r="D239" s="1"/>
    </row>
    <row r="240" spans="3:4">
      <c r="C240" s="1"/>
      <c r="D240" s="1"/>
    </row>
    <row r="241" spans="3:4">
      <c r="C241" s="1"/>
      <c r="D241" s="1"/>
    </row>
    <row r="242" spans="3:4">
      <c r="C242" s="1"/>
      <c r="D242" s="1"/>
    </row>
    <row r="243" spans="3:4">
      <c r="C243" s="1"/>
      <c r="D243" s="1"/>
    </row>
    <row r="244" spans="3:4">
      <c r="C244" s="1"/>
      <c r="D244" s="1"/>
    </row>
    <row r="245" spans="3:4">
      <c r="C245" s="1"/>
      <c r="D245" s="1"/>
    </row>
    <row r="246" spans="3:4">
      <c r="C246" s="1"/>
      <c r="D246" s="1"/>
    </row>
    <row r="247" spans="3:4">
      <c r="C247" s="1"/>
      <c r="D247" s="1"/>
    </row>
    <row r="248" spans="3:4">
      <c r="C248" s="1"/>
      <c r="D248" s="1"/>
    </row>
    <row r="249" spans="3:4">
      <c r="C249" s="1"/>
      <c r="D249" s="1"/>
    </row>
    <row r="250" spans="3:4">
      <c r="C250" s="1"/>
      <c r="D250" s="1"/>
    </row>
    <row r="251" spans="3:4">
      <c r="C251" s="1"/>
      <c r="D251" s="1"/>
    </row>
    <row r="252" spans="3:4">
      <c r="C252" s="1"/>
      <c r="D252" s="1"/>
    </row>
    <row r="253" spans="3:4">
      <c r="C253" s="1"/>
      <c r="D253" s="1"/>
    </row>
    <row r="254" spans="3:4">
      <c r="C254" s="1"/>
      <c r="D254" s="1"/>
    </row>
    <row r="255" spans="3:4">
      <c r="C255" s="1"/>
      <c r="D255" s="1"/>
    </row>
    <row r="256" spans="3:4">
      <c r="C256" s="1"/>
      <c r="D256" s="1"/>
    </row>
    <row r="257" spans="3:4">
      <c r="C257" s="1"/>
      <c r="D257" s="1"/>
    </row>
    <row r="258" spans="3:4">
      <c r="C258" s="1"/>
      <c r="D258" s="1"/>
    </row>
    <row r="259" spans="3:4">
      <c r="C259" s="1"/>
      <c r="D259" s="1"/>
    </row>
    <row r="260" spans="3:4">
      <c r="C260" s="1"/>
      <c r="D260" s="1"/>
    </row>
    <row r="261" spans="3:4">
      <c r="C261" s="1"/>
      <c r="D261" s="1"/>
    </row>
    <row r="262" spans="3:4">
      <c r="C262" s="1"/>
      <c r="D262" s="1"/>
    </row>
    <row r="263" spans="3:4">
      <c r="C263" s="1"/>
      <c r="D263" s="1"/>
    </row>
    <row r="264" spans="3:4">
      <c r="C264" s="1"/>
      <c r="D264" s="1"/>
    </row>
    <row r="265" spans="3:4">
      <c r="C265" s="1"/>
      <c r="D265" s="1"/>
    </row>
    <row r="266" spans="3:4">
      <c r="C266" s="1"/>
      <c r="D266" s="1"/>
    </row>
    <row r="267" spans="3:4">
      <c r="C267" s="1"/>
      <c r="D267" s="1"/>
    </row>
    <row r="268" spans="3:4">
      <c r="C268" s="1"/>
      <c r="D268" s="1"/>
    </row>
    <row r="269" spans="3:4">
      <c r="C269" s="1"/>
      <c r="D269" s="1"/>
    </row>
    <row r="270" spans="3:4">
      <c r="C270" s="1"/>
      <c r="D270" s="1"/>
    </row>
    <row r="271" spans="3:4">
      <c r="C271" s="1"/>
      <c r="D271" s="1"/>
    </row>
    <row r="272" spans="3:4">
      <c r="C272" s="1"/>
      <c r="D272" s="1"/>
    </row>
    <row r="273" spans="3:4">
      <c r="C273" s="1"/>
      <c r="D273" s="1"/>
    </row>
    <row r="274" spans="3:4">
      <c r="C274" s="1"/>
      <c r="D274" s="1"/>
    </row>
    <row r="275" spans="3:4">
      <c r="C275" s="1"/>
      <c r="D275" s="1"/>
    </row>
    <row r="276" spans="3:4">
      <c r="C276" s="1"/>
      <c r="D276" s="1"/>
    </row>
    <row r="277" spans="3:4">
      <c r="C277" s="1"/>
      <c r="D277" s="1"/>
    </row>
    <row r="278" spans="3:4">
      <c r="C278" s="1"/>
      <c r="D278" s="1"/>
    </row>
    <row r="279" spans="3:4">
      <c r="C279" s="1"/>
      <c r="D279" s="1"/>
    </row>
    <row r="280" spans="3:4">
      <c r="C280" s="1"/>
      <c r="D280" s="1"/>
    </row>
    <row r="281" spans="3:4">
      <c r="C281" s="1"/>
      <c r="D281" s="1"/>
    </row>
    <row r="282" spans="3:4">
      <c r="C282" s="1"/>
      <c r="D282" s="1"/>
    </row>
    <row r="283" spans="3:4">
      <c r="C283" s="1"/>
      <c r="D283" s="1"/>
    </row>
    <row r="284" spans="3:4">
      <c r="C284" s="1"/>
      <c r="D284" s="1"/>
    </row>
    <row r="285" spans="3:4">
      <c r="C285" s="1"/>
      <c r="D285" s="1"/>
    </row>
    <row r="286" spans="3:4">
      <c r="C286" s="1"/>
      <c r="D286" s="1"/>
    </row>
    <row r="287" spans="3:4">
      <c r="C287" s="1"/>
      <c r="D287" s="1"/>
    </row>
    <row r="288" spans="3:4">
      <c r="C288" s="1"/>
      <c r="D288" s="1"/>
    </row>
    <row r="289" spans="3:4">
      <c r="C289" s="1"/>
      <c r="D289" s="1"/>
    </row>
    <row r="290" spans="3:4">
      <c r="C290" s="1"/>
      <c r="D290" s="1"/>
    </row>
    <row r="291" spans="3:4">
      <c r="C291" s="1"/>
      <c r="D291" s="1"/>
    </row>
    <row r="292" spans="3:4">
      <c r="C292" s="1"/>
      <c r="D292" s="1"/>
    </row>
    <row r="293" spans="3:4">
      <c r="C293" s="1"/>
      <c r="D293" s="1"/>
    </row>
    <row r="294" spans="3:4">
      <c r="C294" s="1"/>
      <c r="D294" s="1"/>
    </row>
    <row r="295" spans="3:4">
      <c r="C295" s="1"/>
      <c r="D295" s="1"/>
    </row>
    <row r="296" spans="3:4">
      <c r="C296" s="1"/>
      <c r="D296" s="1"/>
    </row>
    <row r="297" spans="3:4">
      <c r="C297" s="1"/>
      <c r="D297" s="1"/>
    </row>
    <row r="298" spans="3:4">
      <c r="C298" s="1"/>
      <c r="D298" s="1"/>
    </row>
    <row r="299" spans="3:4">
      <c r="C299" s="1"/>
      <c r="D299" s="1"/>
    </row>
    <row r="300" spans="3:4">
      <c r="C300" s="1"/>
      <c r="D300" s="1"/>
    </row>
    <row r="301" spans="3:4">
      <c r="C301" s="1"/>
      <c r="D301" s="1"/>
    </row>
    <row r="302" spans="3:4">
      <c r="C302" s="1"/>
      <c r="D302" s="1"/>
    </row>
    <row r="303" spans="3:4">
      <c r="C303" s="1"/>
      <c r="D303" s="1"/>
    </row>
    <row r="304" spans="3:4">
      <c r="C304" s="1"/>
      <c r="D304" s="1"/>
    </row>
    <row r="305" spans="3:4">
      <c r="C305" s="1"/>
      <c r="D305" s="1"/>
    </row>
    <row r="306" spans="3:4">
      <c r="C306" s="1"/>
      <c r="D306" s="1"/>
    </row>
    <row r="307" spans="3:4">
      <c r="C307" s="1"/>
      <c r="D307" s="1"/>
    </row>
    <row r="308" spans="3:4">
      <c r="C308" s="1"/>
      <c r="D308" s="1"/>
    </row>
    <row r="309" spans="3:4">
      <c r="C309" s="1"/>
      <c r="D309" s="1"/>
    </row>
    <row r="310" spans="3:4">
      <c r="C310" s="1"/>
      <c r="D310" s="1"/>
    </row>
    <row r="311" spans="3:4">
      <c r="C311" s="1"/>
      <c r="D311" s="1"/>
    </row>
    <row r="312" spans="3:4">
      <c r="C312" s="1"/>
      <c r="D312" s="1"/>
    </row>
    <row r="313" spans="3:4">
      <c r="C313" s="1"/>
      <c r="D313" s="1"/>
    </row>
    <row r="314" spans="3:4">
      <c r="C314" s="1"/>
      <c r="D314" s="1"/>
    </row>
    <row r="315" spans="3:4">
      <c r="C315" s="1"/>
      <c r="D315" s="1"/>
    </row>
    <row r="316" spans="3:4">
      <c r="C316" s="1"/>
      <c r="D316" s="1"/>
    </row>
    <row r="317" spans="3:4">
      <c r="C317" s="1"/>
      <c r="D317" s="1"/>
    </row>
    <row r="318" spans="3:4">
      <c r="C318" s="1"/>
      <c r="D318" s="1"/>
    </row>
    <row r="319" spans="3:4">
      <c r="C319" s="1"/>
      <c r="D319" s="1"/>
    </row>
    <row r="320" spans="3:4">
      <c r="C320" s="1"/>
      <c r="D320" s="1"/>
    </row>
    <row r="321" spans="3:4">
      <c r="C321" s="1"/>
      <c r="D321" s="1"/>
    </row>
    <row r="322" spans="3:4">
      <c r="C322" s="1"/>
      <c r="D322" s="1"/>
    </row>
    <row r="323" spans="3:4">
      <c r="C323" s="1"/>
      <c r="D323" s="1"/>
    </row>
    <row r="324" spans="3:4">
      <c r="C324" s="1"/>
      <c r="D324" s="1"/>
    </row>
    <row r="325" spans="3:4">
      <c r="C325" s="1"/>
      <c r="D325" s="1"/>
    </row>
    <row r="326" spans="3:4">
      <c r="C326" s="1"/>
      <c r="D326" s="1"/>
    </row>
    <row r="327" spans="3:4">
      <c r="C327" s="1"/>
      <c r="D327" s="1"/>
    </row>
    <row r="328" spans="3:4">
      <c r="C328" s="1"/>
      <c r="D328" s="1"/>
    </row>
    <row r="329" spans="3:4">
      <c r="C329" s="1"/>
      <c r="D329" s="1"/>
    </row>
    <row r="330" spans="3:4">
      <c r="C330" s="1"/>
      <c r="D330" s="1"/>
    </row>
    <row r="331" spans="3:4">
      <c r="C331" s="1"/>
      <c r="D331" s="1"/>
    </row>
    <row r="332" spans="3:4">
      <c r="C332" s="1"/>
      <c r="D332" s="1"/>
    </row>
    <row r="333" spans="3:4">
      <c r="C333" s="1"/>
      <c r="D333" s="1"/>
    </row>
    <row r="334" spans="3:4">
      <c r="C334" s="1"/>
      <c r="D334" s="1"/>
    </row>
    <row r="335" spans="3:4">
      <c r="C335" s="1"/>
      <c r="D335" s="1"/>
    </row>
    <row r="336" spans="3:4">
      <c r="C336" s="1"/>
      <c r="D336" s="1"/>
    </row>
    <row r="337" spans="3:4">
      <c r="C337" s="1"/>
      <c r="D337" s="1"/>
    </row>
    <row r="338" spans="3:4">
      <c r="C338" s="1"/>
      <c r="D338" s="1"/>
    </row>
    <row r="339" spans="3:4">
      <c r="C339" s="1"/>
      <c r="D339" s="1"/>
    </row>
    <row r="340" spans="3:4">
      <c r="C340" s="1"/>
      <c r="D340" s="1"/>
    </row>
    <row r="341" spans="3:4">
      <c r="C341" s="1"/>
      <c r="D341" s="1"/>
    </row>
    <row r="342" spans="3:4">
      <c r="C342" s="1"/>
      <c r="D342" s="1"/>
    </row>
    <row r="343" spans="3:4">
      <c r="C343" s="1"/>
      <c r="D343" s="1"/>
    </row>
    <row r="344" spans="3:4">
      <c r="C344" s="1"/>
      <c r="D344" s="1"/>
    </row>
    <row r="345" spans="3:4">
      <c r="C345" s="1"/>
      <c r="D345" s="1"/>
    </row>
    <row r="346" spans="3:4">
      <c r="C346" s="1"/>
      <c r="D346" s="1"/>
    </row>
    <row r="347" spans="3:4">
      <c r="C347" s="1"/>
      <c r="D347" s="1"/>
    </row>
    <row r="348" spans="3:4">
      <c r="C348" s="1"/>
      <c r="D348" s="1"/>
    </row>
    <row r="349" spans="3:4">
      <c r="C349" s="1"/>
      <c r="D349" s="1"/>
    </row>
    <row r="350" spans="3:4">
      <c r="C350" s="1"/>
      <c r="D350" s="1"/>
    </row>
    <row r="351" spans="3:4">
      <c r="C351" s="1"/>
      <c r="D351" s="1"/>
    </row>
    <row r="352" spans="3:4">
      <c r="C352" s="1"/>
      <c r="D352" s="1"/>
    </row>
    <row r="353" spans="3:4">
      <c r="C353" s="1"/>
      <c r="D353" s="1"/>
    </row>
    <row r="354" spans="3:4">
      <c r="C354" s="1"/>
      <c r="D354" s="1"/>
    </row>
    <row r="355" spans="3:4">
      <c r="C355" s="1"/>
      <c r="D355" s="1"/>
    </row>
    <row r="356" spans="3:4">
      <c r="C356" s="1"/>
      <c r="D356" s="1"/>
    </row>
    <row r="357" spans="3:4">
      <c r="C357" s="1"/>
      <c r="D357" s="1"/>
    </row>
    <row r="358" spans="3:4">
      <c r="C358" s="1"/>
      <c r="D358" s="1"/>
    </row>
    <row r="359" spans="3:4">
      <c r="C359" s="1"/>
      <c r="D359" s="1"/>
    </row>
    <row r="360" spans="3:4">
      <c r="C360" s="1"/>
      <c r="D360" s="1"/>
    </row>
    <row r="361" spans="3:4">
      <c r="C361" s="1"/>
      <c r="D361" s="1"/>
    </row>
    <row r="362" spans="3:4">
      <c r="C362" s="1"/>
      <c r="D362" s="1"/>
    </row>
    <row r="363" spans="3:4">
      <c r="C363" s="1"/>
      <c r="D363" s="1"/>
    </row>
    <row r="364" spans="3:4">
      <c r="C364" s="1"/>
      <c r="D364" s="1"/>
    </row>
    <row r="365" spans="3:4">
      <c r="C365" s="1"/>
      <c r="D365" s="1"/>
    </row>
    <row r="366" spans="3:4">
      <c r="C366" s="1"/>
      <c r="D366" s="1"/>
    </row>
    <row r="367" spans="3:4">
      <c r="C367" s="1"/>
      <c r="D367" s="1"/>
    </row>
    <row r="368" spans="3:4">
      <c r="C368" s="1"/>
      <c r="D368" s="1"/>
    </row>
    <row r="369" spans="3:4">
      <c r="C369" s="1"/>
      <c r="D369" s="1"/>
    </row>
    <row r="370" spans="3:4">
      <c r="C370" s="1"/>
      <c r="D370" s="1"/>
    </row>
    <row r="371" spans="3:4">
      <c r="C371" s="1"/>
      <c r="D371" s="1"/>
    </row>
    <row r="372" spans="3:4">
      <c r="C372" s="1"/>
      <c r="D372" s="1"/>
    </row>
    <row r="373" spans="3:4">
      <c r="C373" s="1"/>
      <c r="D373" s="1"/>
    </row>
    <row r="374" spans="3:4">
      <c r="C374" s="1"/>
      <c r="D374" s="1"/>
    </row>
    <row r="375" spans="3:4">
      <c r="C375" s="1"/>
      <c r="D375" s="1"/>
    </row>
    <row r="376" spans="3:4">
      <c r="C376" s="1"/>
      <c r="D376" s="1"/>
    </row>
    <row r="377" spans="3:4">
      <c r="C377" s="1"/>
      <c r="D377" s="1"/>
    </row>
    <row r="378" spans="3:4">
      <c r="C378" s="1"/>
      <c r="D378" s="1"/>
    </row>
    <row r="379" spans="3:4">
      <c r="C379" s="1"/>
      <c r="D379" s="1"/>
    </row>
    <row r="380" spans="3:4">
      <c r="C380" s="1"/>
      <c r="D380" s="1"/>
    </row>
    <row r="381" spans="3:4">
      <c r="C381" s="1"/>
      <c r="D381" s="1"/>
    </row>
    <row r="382" spans="3:4">
      <c r="C382" s="1"/>
      <c r="D382" s="1"/>
    </row>
    <row r="383" spans="3:4">
      <c r="C383" s="1"/>
      <c r="D383" s="1"/>
    </row>
    <row r="384" spans="3:4">
      <c r="C384" s="1"/>
      <c r="D384" s="1"/>
    </row>
    <row r="385" spans="3:4">
      <c r="C385" s="1"/>
      <c r="D385" s="1"/>
    </row>
    <row r="386" spans="3:4">
      <c r="C386" s="1"/>
      <c r="D386" s="1"/>
    </row>
    <row r="387" spans="3:4">
      <c r="C387" s="1"/>
      <c r="D387" s="1"/>
    </row>
    <row r="388" spans="3:4">
      <c r="C388" s="1"/>
      <c r="D388" s="1"/>
    </row>
    <row r="389" spans="3:4">
      <c r="C389" s="1"/>
      <c r="D389" s="1"/>
    </row>
    <row r="390" spans="3:4">
      <c r="C390" s="1"/>
      <c r="D390" s="1"/>
    </row>
    <row r="391" spans="3:4">
      <c r="C391" s="1"/>
      <c r="D391" s="1"/>
    </row>
    <row r="392" spans="3:4">
      <c r="C392" s="1"/>
      <c r="D392" s="1"/>
    </row>
    <row r="393" spans="3:4">
      <c r="C393" s="1"/>
      <c r="D393" s="1"/>
    </row>
    <row r="394" spans="3:4">
      <c r="C394" s="1"/>
      <c r="D394" s="1"/>
    </row>
    <row r="395" spans="3:4">
      <c r="C395" s="1"/>
      <c r="D395" s="1"/>
    </row>
    <row r="396" spans="3:4">
      <c r="C396" s="1"/>
      <c r="D396" s="1"/>
    </row>
    <row r="397" spans="3:4">
      <c r="C397" s="1"/>
      <c r="D397" s="1"/>
    </row>
    <row r="398" spans="3:4">
      <c r="C398" s="1"/>
      <c r="D398" s="1"/>
    </row>
    <row r="399" spans="3:4">
      <c r="C399" s="1"/>
      <c r="D399" s="1"/>
    </row>
    <row r="400" spans="3:4">
      <c r="C400" s="1"/>
      <c r="D400" s="1"/>
    </row>
    <row r="401" spans="3:4">
      <c r="C401" s="1"/>
      <c r="D401" s="1"/>
    </row>
    <row r="402" spans="3:4">
      <c r="C402" s="1"/>
      <c r="D402" s="1"/>
    </row>
    <row r="403" spans="3:4">
      <c r="C403" s="1"/>
      <c r="D403" s="1"/>
    </row>
    <row r="404" spans="3:4">
      <c r="C404" s="1"/>
      <c r="D404" s="1"/>
    </row>
    <row r="405" spans="3:4">
      <c r="C405" s="1"/>
      <c r="D405" s="1"/>
    </row>
    <row r="406" spans="3:4">
      <c r="C406" s="1"/>
      <c r="D406" s="1"/>
    </row>
    <row r="407" spans="3:4">
      <c r="C407" s="1"/>
      <c r="D407" s="1"/>
    </row>
    <row r="408" spans="3:4">
      <c r="C408" s="1"/>
      <c r="D408" s="1"/>
    </row>
    <row r="409" spans="3:4">
      <c r="C409" s="1"/>
      <c r="D409" s="1"/>
    </row>
    <row r="410" spans="3:4">
      <c r="C410" s="1"/>
      <c r="D410" s="1"/>
    </row>
    <row r="411" spans="3:4">
      <c r="C411" s="1"/>
      <c r="D411" s="1"/>
    </row>
    <row r="412" spans="3:4">
      <c r="C412" s="1"/>
      <c r="D412" s="1"/>
    </row>
    <row r="413" spans="3:4">
      <c r="C413" s="1"/>
      <c r="D413" s="1"/>
    </row>
    <row r="414" spans="3:4">
      <c r="C414" s="1"/>
      <c r="D414" s="1"/>
    </row>
    <row r="415" spans="3:4">
      <c r="C415" s="1"/>
      <c r="D415" s="1"/>
    </row>
    <row r="416" spans="3:4">
      <c r="C416" s="1"/>
      <c r="D416" s="1"/>
    </row>
    <row r="417" spans="3:4">
      <c r="C417" s="1"/>
      <c r="D417" s="1"/>
    </row>
    <row r="418" spans="3:4">
      <c r="C418" s="1"/>
      <c r="D418" s="1"/>
    </row>
    <row r="419" spans="3:4">
      <c r="C419" s="1"/>
      <c r="D419" s="1"/>
    </row>
    <row r="420" spans="3:4">
      <c r="C420" s="1"/>
      <c r="D420" s="1"/>
    </row>
    <row r="421" spans="3:4">
      <c r="C421" s="1"/>
      <c r="D421" s="1"/>
    </row>
    <row r="422" spans="3:4">
      <c r="C422" s="1"/>
      <c r="D422" s="1"/>
    </row>
    <row r="423" spans="3:4">
      <c r="C423" s="1"/>
      <c r="D423" s="1"/>
    </row>
    <row r="424" spans="3:4">
      <c r="C424" s="1"/>
      <c r="D424" s="1"/>
    </row>
    <row r="425" spans="3:4">
      <c r="C425" s="1"/>
      <c r="D425" s="1"/>
    </row>
    <row r="426" spans="3:4">
      <c r="C426" s="1"/>
      <c r="D426" s="1"/>
    </row>
    <row r="427" spans="3:4">
      <c r="C427" s="1"/>
      <c r="D427" s="1"/>
    </row>
    <row r="428" spans="3:4">
      <c r="C428" s="1"/>
      <c r="D428" s="1"/>
    </row>
    <row r="429" spans="3:4">
      <c r="C429" s="1"/>
      <c r="D429" s="1"/>
    </row>
    <row r="430" spans="3:4">
      <c r="C430" s="1"/>
      <c r="D430" s="1"/>
    </row>
    <row r="431" spans="3:4">
      <c r="C431" s="1"/>
      <c r="D431" s="1"/>
    </row>
    <row r="432" spans="3:4">
      <c r="C432" s="1"/>
      <c r="D432" s="1"/>
    </row>
    <row r="433" spans="3:4">
      <c r="C433" s="1"/>
      <c r="D433" s="1"/>
    </row>
    <row r="434" spans="3:4">
      <c r="C434" s="1"/>
      <c r="D434" s="1"/>
    </row>
    <row r="435" spans="3:4">
      <c r="C435" s="1"/>
      <c r="D435" s="1"/>
    </row>
    <row r="436" spans="3:4">
      <c r="C436" s="1"/>
      <c r="D436" s="1"/>
    </row>
    <row r="437" spans="3:4">
      <c r="C437" s="1"/>
      <c r="D437" s="1"/>
    </row>
    <row r="438" spans="3:4">
      <c r="C438" s="1"/>
      <c r="D438" s="1"/>
    </row>
    <row r="439" spans="3:4">
      <c r="C439" s="1"/>
      <c r="D439" s="1"/>
    </row>
    <row r="440" spans="3:4">
      <c r="C440" s="1"/>
      <c r="D440" s="1"/>
    </row>
    <row r="441" spans="3:4">
      <c r="C441" s="1"/>
      <c r="D441" s="1"/>
    </row>
    <row r="442" spans="3:4">
      <c r="C442" s="1"/>
      <c r="D442" s="1"/>
    </row>
    <row r="443" spans="3:4">
      <c r="C443" s="1"/>
      <c r="D443" s="1"/>
    </row>
    <row r="444" spans="3:4">
      <c r="C444" s="1"/>
      <c r="D444" s="1"/>
    </row>
    <row r="445" spans="3:4">
      <c r="C445" s="1"/>
      <c r="D445" s="1"/>
    </row>
    <row r="446" spans="3:4">
      <c r="C446" s="1"/>
      <c r="D446" s="1"/>
    </row>
    <row r="447" spans="3:4">
      <c r="C447" s="1"/>
      <c r="D447" s="1"/>
    </row>
    <row r="448" spans="3:4">
      <c r="C448" s="1"/>
      <c r="D448" s="1"/>
    </row>
    <row r="449" spans="3:4">
      <c r="C449" s="1"/>
      <c r="D449" s="1"/>
    </row>
    <row r="450" spans="3:4">
      <c r="C450" s="1"/>
      <c r="D450" s="1"/>
    </row>
    <row r="451" spans="3:4">
      <c r="C451" s="1"/>
      <c r="D451" s="1"/>
    </row>
    <row r="452" spans="3:4">
      <c r="C452" s="1"/>
      <c r="D452" s="1"/>
    </row>
    <row r="453" spans="3:4">
      <c r="C453" s="1"/>
      <c r="D453" s="1"/>
    </row>
    <row r="454" spans="3:4">
      <c r="C454" s="1"/>
      <c r="D454" s="1"/>
    </row>
    <row r="455" spans="3:4">
      <c r="C455" s="1"/>
      <c r="D455" s="1"/>
    </row>
    <row r="456" spans="3:4">
      <c r="C456" s="1"/>
      <c r="D456" s="1"/>
    </row>
    <row r="457" spans="3:4">
      <c r="C457" s="1"/>
      <c r="D457" s="1"/>
    </row>
    <row r="458" spans="3:4">
      <c r="C458" s="1"/>
      <c r="D458" s="1"/>
    </row>
    <row r="459" spans="3:4">
      <c r="C459" s="1"/>
      <c r="D459" s="1"/>
    </row>
    <row r="460" spans="3:4">
      <c r="C460" s="1"/>
      <c r="D460" s="1"/>
    </row>
    <row r="461" spans="3:4">
      <c r="C461" s="1"/>
      <c r="D461" s="1"/>
    </row>
    <row r="462" spans="3:4">
      <c r="C462" s="1"/>
      <c r="D462" s="1"/>
    </row>
    <row r="463" spans="3:4">
      <c r="C463" s="1"/>
      <c r="D463" s="1"/>
    </row>
    <row r="464" spans="3:4">
      <c r="C464" s="1"/>
      <c r="D464" s="1"/>
    </row>
    <row r="465" spans="3:4">
      <c r="C465" s="1"/>
      <c r="D465" s="1"/>
    </row>
    <row r="466" spans="3:4">
      <c r="C466" s="1"/>
      <c r="D466" s="1"/>
    </row>
    <row r="467" spans="3:4">
      <c r="C467" s="1"/>
      <c r="D467" s="1"/>
    </row>
    <row r="468" spans="3:4">
      <c r="C468" s="1"/>
      <c r="D468" s="1"/>
    </row>
    <row r="469" spans="3:4">
      <c r="C469" s="1"/>
      <c r="D469" s="1"/>
    </row>
    <row r="470" spans="3:4">
      <c r="C470" s="1"/>
      <c r="D470" s="1"/>
    </row>
    <row r="471" spans="3:4">
      <c r="C471" s="1"/>
      <c r="D471" s="1"/>
    </row>
    <row r="472" spans="3:4">
      <c r="C472" s="1"/>
      <c r="D472" s="1"/>
    </row>
    <row r="473" spans="3:4">
      <c r="C473" s="1"/>
      <c r="D473" s="1"/>
    </row>
    <row r="474" spans="3:4">
      <c r="C474" s="1"/>
      <c r="D474" s="1"/>
    </row>
    <row r="475" spans="3:4">
      <c r="C475" s="1"/>
      <c r="D475" s="1"/>
    </row>
    <row r="476" spans="3:4">
      <c r="C476" s="1"/>
      <c r="D476" s="1"/>
    </row>
    <row r="477" spans="3:4">
      <c r="C477" s="1"/>
      <c r="D477" s="1"/>
    </row>
    <row r="478" spans="3:4">
      <c r="C478" s="1"/>
      <c r="D478" s="1"/>
    </row>
    <row r="479" spans="3:4">
      <c r="C479" s="1"/>
      <c r="D479" s="1"/>
    </row>
    <row r="480" spans="3:4">
      <c r="C480" s="1"/>
      <c r="D480" s="1"/>
    </row>
    <row r="481" spans="3:4">
      <c r="C481" s="1"/>
      <c r="D481" s="1"/>
    </row>
    <row r="482" spans="3:4">
      <c r="C482" s="1"/>
      <c r="D482" s="1"/>
    </row>
    <row r="483" spans="3:4">
      <c r="C483" s="1"/>
      <c r="D483" s="1"/>
    </row>
    <row r="484" spans="3:4">
      <c r="C484" s="1"/>
      <c r="D484" s="1"/>
    </row>
    <row r="485" spans="3:4">
      <c r="C485" s="1"/>
      <c r="D485" s="1"/>
    </row>
    <row r="486" spans="3:4">
      <c r="C486" s="1"/>
      <c r="D486" s="1"/>
    </row>
    <row r="487" spans="3:4">
      <c r="C487" s="1"/>
      <c r="D487" s="1"/>
    </row>
    <row r="488" spans="3:4">
      <c r="C488" s="1"/>
      <c r="D488" s="1"/>
    </row>
    <row r="489" spans="3:4">
      <c r="C489" s="1"/>
      <c r="D489" s="1"/>
    </row>
    <row r="490" spans="3:4">
      <c r="C490" s="1"/>
      <c r="D490" s="1"/>
    </row>
    <row r="491" spans="3:4">
      <c r="C491" s="1"/>
      <c r="D491" s="1"/>
    </row>
    <row r="492" spans="3:4">
      <c r="C492" s="1"/>
      <c r="D492" s="1"/>
    </row>
    <row r="493" spans="3:4">
      <c r="C493" s="1"/>
      <c r="D493" s="1"/>
    </row>
    <row r="494" spans="3:4">
      <c r="C494" s="1"/>
      <c r="D494" s="1"/>
    </row>
    <row r="495" spans="3:4">
      <c r="C495" s="1"/>
      <c r="D495" s="1"/>
    </row>
    <row r="496" spans="3:4">
      <c r="C496" s="1"/>
      <c r="D496" s="1"/>
    </row>
    <row r="497" spans="3:4">
      <c r="C497" s="1"/>
      <c r="D497" s="1"/>
    </row>
    <row r="498" spans="3:4">
      <c r="C498" s="1"/>
      <c r="D498" s="1"/>
    </row>
    <row r="499" spans="3:4">
      <c r="C499" s="1"/>
      <c r="D499" s="1"/>
    </row>
    <row r="500" spans="3:4">
      <c r="C500" s="1"/>
      <c r="D500" s="1"/>
    </row>
    <row r="501" spans="3:4">
      <c r="C501" s="1"/>
      <c r="D501" s="1"/>
    </row>
    <row r="502" spans="3:4">
      <c r="C502" s="1"/>
      <c r="D502" s="1"/>
    </row>
    <row r="503" spans="3:4">
      <c r="C503" s="1"/>
      <c r="D503" s="1"/>
    </row>
    <row r="504" spans="3:4">
      <c r="C504" s="1"/>
      <c r="D504" s="1"/>
    </row>
    <row r="505" spans="3:4">
      <c r="C505" s="1"/>
      <c r="D505" s="1"/>
    </row>
    <row r="506" spans="3:4">
      <c r="C506" s="1"/>
      <c r="D506" s="1"/>
    </row>
    <row r="507" spans="3:4">
      <c r="C507" s="1"/>
      <c r="D507" s="1"/>
    </row>
    <row r="508" spans="3:4">
      <c r="C508" s="1"/>
      <c r="D508" s="1"/>
    </row>
    <row r="509" spans="3:4">
      <c r="C509" s="1"/>
      <c r="D509" s="1"/>
    </row>
    <row r="510" spans="3:4">
      <c r="C510" s="1"/>
      <c r="D510" s="1"/>
    </row>
    <row r="511" spans="3:4">
      <c r="C511" s="1"/>
      <c r="D511" s="1"/>
    </row>
    <row r="512" spans="3:4">
      <c r="C512" s="1"/>
      <c r="D512" s="1"/>
    </row>
    <row r="513" spans="3:4">
      <c r="C513" s="1"/>
      <c r="D513" s="1"/>
    </row>
    <row r="514" spans="3:4">
      <c r="C514" s="1"/>
      <c r="D514" s="1"/>
    </row>
    <row r="515" spans="3:4">
      <c r="C515" s="1"/>
      <c r="D515" s="1"/>
    </row>
    <row r="516" spans="3:4">
      <c r="C516" s="1"/>
      <c r="D516" s="1"/>
    </row>
    <row r="517" spans="3:4">
      <c r="C517" s="1"/>
      <c r="D517" s="1"/>
    </row>
    <row r="518" spans="3:4">
      <c r="C518" s="1"/>
      <c r="D518" s="1"/>
    </row>
    <row r="519" spans="3:4">
      <c r="C519" s="1"/>
      <c r="D519" s="1"/>
    </row>
    <row r="520" spans="3:4">
      <c r="C520" s="1"/>
      <c r="D520" s="1"/>
    </row>
    <row r="521" spans="3:4">
      <c r="C521" s="1"/>
      <c r="D521" s="1"/>
    </row>
    <row r="522" spans="3:4">
      <c r="C522" s="1"/>
      <c r="D522" s="1"/>
    </row>
    <row r="523" spans="3:4">
      <c r="C523" s="1"/>
      <c r="D523" s="1"/>
    </row>
    <row r="524" spans="3:4">
      <c r="C524" s="1"/>
      <c r="D524" s="1"/>
    </row>
    <row r="525" spans="3:4">
      <c r="C525" s="1"/>
      <c r="D525" s="1"/>
    </row>
    <row r="526" spans="3:4">
      <c r="C526" s="1"/>
      <c r="D526" s="1"/>
    </row>
    <row r="527" spans="3:4">
      <c r="C527" s="1"/>
      <c r="D527" s="1"/>
    </row>
    <row r="528" spans="3:4">
      <c r="C528" s="1"/>
      <c r="D528" s="1"/>
    </row>
    <row r="529" spans="3:4">
      <c r="C529" s="1"/>
      <c r="D529" s="1"/>
    </row>
    <row r="530" spans="3:4">
      <c r="C530" s="1"/>
      <c r="D530" s="1"/>
    </row>
    <row r="531" spans="3:4">
      <c r="C531" s="1"/>
      <c r="D531" s="1"/>
    </row>
    <row r="532" spans="3:4">
      <c r="C532" s="1"/>
      <c r="D532" s="1"/>
    </row>
    <row r="533" spans="3:4">
      <c r="C533" s="1"/>
      <c r="D533" s="1"/>
    </row>
    <row r="534" spans="3:4">
      <c r="C534" s="1"/>
      <c r="D534" s="1"/>
    </row>
    <row r="535" spans="3:4">
      <c r="C535" s="1"/>
      <c r="D535" s="1"/>
    </row>
    <row r="536" spans="3:4">
      <c r="C536" s="1"/>
      <c r="D536" s="1"/>
    </row>
    <row r="537" spans="3:4">
      <c r="C537" s="1"/>
      <c r="D537" s="1"/>
    </row>
    <row r="538" spans="3:4">
      <c r="C538" s="1"/>
      <c r="D538" s="1"/>
    </row>
    <row r="539" spans="3:4">
      <c r="C539" s="1"/>
      <c r="D539" s="1"/>
    </row>
    <row r="540" spans="3:4">
      <c r="C540" s="1"/>
      <c r="D540" s="1"/>
    </row>
    <row r="541" spans="3:4">
      <c r="C541" s="1"/>
      <c r="D541" s="1"/>
    </row>
    <row r="542" spans="3:4">
      <c r="C542" s="1"/>
      <c r="D542" s="1"/>
    </row>
    <row r="543" spans="3:4">
      <c r="C543" s="1"/>
      <c r="D543" s="1"/>
    </row>
    <row r="544" spans="3:4">
      <c r="C544" s="1"/>
      <c r="D544" s="1"/>
    </row>
    <row r="545" spans="3:4">
      <c r="C545" s="1"/>
      <c r="D545" s="1"/>
    </row>
    <row r="546" spans="3:4">
      <c r="C546" s="1"/>
      <c r="D546" s="1"/>
    </row>
    <row r="547" spans="3:4">
      <c r="C547" s="1"/>
      <c r="D547" s="1"/>
    </row>
    <row r="548" spans="3:4">
      <c r="C548" s="1"/>
      <c r="D548" s="1"/>
    </row>
    <row r="549" spans="3:4">
      <c r="C549" s="1"/>
      <c r="D549" s="1"/>
    </row>
    <row r="550" spans="3:4">
      <c r="C550" s="1"/>
      <c r="D550" s="1"/>
    </row>
    <row r="551" spans="3:4">
      <c r="C551" s="1"/>
      <c r="D551" s="1"/>
    </row>
    <row r="552" spans="3:4">
      <c r="C552" s="1"/>
      <c r="D552" s="1"/>
    </row>
    <row r="553" spans="3:4">
      <c r="C553" s="1"/>
      <c r="D553" s="1"/>
    </row>
    <row r="554" spans="3:4">
      <c r="C554" s="1"/>
      <c r="D554" s="1"/>
    </row>
    <row r="555" spans="3:4">
      <c r="C555" s="1"/>
      <c r="D555" s="1"/>
    </row>
    <row r="556" spans="3:4">
      <c r="C556" s="1"/>
      <c r="D556" s="1"/>
    </row>
    <row r="557" spans="3:4">
      <c r="C557" s="1"/>
      <c r="D557" s="1"/>
    </row>
    <row r="558" spans="3:4">
      <c r="C558" s="1"/>
      <c r="D558" s="1"/>
    </row>
    <row r="559" spans="3:4">
      <c r="C559" s="1"/>
      <c r="D559" s="1"/>
    </row>
    <row r="560" spans="3:4">
      <c r="C560" s="1"/>
      <c r="D560" s="1"/>
    </row>
    <row r="561" spans="3:4">
      <c r="C561" s="1"/>
      <c r="D561" s="1"/>
    </row>
    <row r="562" spans="3:4">
      <c r="C562" s="1"/>
      <c r="D562" s="1"/>
    </row>
    <row r="563" spans="3:4">
      <c r="C563" s="1"/>
      <c r="D563" s="1"/>
    </row>
    <row r="564" spans="3:4">
      <c r="C564" s="1"/>
      <c r="D564" s="1"/>
    </row>
    <row r="565" spans="3:4">
      <c r="C565" s="1"/>
      <c r="D565" s="1"/>
    </row>
    <row r="566" spans="3:4">
      <c r="C566" s="1"/>
      <c r="D566" s="1"/>
    </row>
    <row r="567" spans="3:4">
      <c r="C567" s="1"/>
      <c r="D567" s="1"/>
    </row>
    <row r="568" spans="3:4">
      <c r="C568" s="1"/>
      <c r="D568" s="1"/>
    </row>
    <row r="569" spans="3:4">
      <c r="C569" s="1"/>
      <c r="D569" s="1"/>
    </row>
    <row r="570" spans="3:4">
      <c r="C570" s="1"/>
      <c r="D570" s="1"/>
    </row>
    <row r="571" spans="3:4">
      <c r="C571" s="1"/>
      <c r="D571" s="1"/>
    </row>
    <row r="572" spans="3:4">
      <c r="C572" s="1"/>
      <c r="D572" s="1"/>
    </row>
    <row r="573" spans="3:4">
      <c r="C573" s="1"/>
      <c r="D573" s="1"/>
    </row>
    <row r="574" spans="3:4">
      <c r="C574" s="1"/>
      <c r="D574" s="1"/>
    </row>
    <row r="575" spans="3:4">
      <c r="C575" s="1"/>
      <c r="D575" s="1"/>
    </row>
    <row r="576" spans="3:4">
      <c r="C576" s="1"/>
      <c r="D576" s="1"/>
    </row>
    <row r="577" spans="3:4">
      <c r="C577" s="1"/>
      <c r="D577" s="1"/>
    </row>
    <row r="578" spans="3:4">
      <c r="C578" s="1"/>
      <c r="D578" s="1"/>
    </row>
    <row r="579" spans="3:4">
      <c r="C579" s="1"/>
      <c r="D579" s="1"/>
    </row>
    <row r="580" spans="3:4">
      <c r="C580" s="1"/>
      <c r="D580" s="1"/>
    </row>
    <row r="581" spans="3:4">
      <c r="C581" s="1"/>
      <c r="D5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83B1-8F52-2E47-9D7F-14149C01BCF0}">
  <dimension ref="A1:L281"/>
  <sheetViews>
    <sheetView workbookViewId="0">
      <selection activeCell="L2" sqref="L2"/>
    </sheetView>
  </sheetViews>
  <sheetFormatPr defaultColWidth="11" defaultRowHeight="15.95"/>
  <sheetData>
    <row r="1" spans="1:1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>
      <c r="A2" t="s">
        <v>14</v>
      </c>
      <c r="B2" t="s">
        <v>15</v>
      </c>
      <c r="C2">
        <v>1</v>
      </c>
      <c r="D2" s="1" t="s">
        <v>16</v>
      </c>
      <c r="E2" s="1">
        <v>1</v>
      </c>
      <c r="F2">
        <v>5</v>
      </c>
      <c r="G2">
        <v>3</v>
      </c>
      <c r="H2">
        <v>9.9999999999999995E-7</v>
      </c>
      <c r="I2">
        <f>LOG(1/H2)</f>
        <v>6</v>
      </c>
      <c r="J2">
        <v>10</v>
      </c>
      <c r="K2">
        <f>AVERAGE(F2,G2)</f>
        <v>4</v>
      </c>
      <c r="L2">
        <f>K2/(H2*(J2/1000))</f>
        <v>400000000</v>
      </c>
    </row>
    <row r="3" spans="1:12">
      <c r="A3" t="s">
        <v>14</v>
      </c>
      <c r="B3" t="s">
        <v>15</v>
      </c>
      <c r="C3">
        <v>1</v>
      </c>
      <c r="D3" s="1" t="s">
        <v>16</v>
      </c>
      <c r="E3" s="1">
        <v>2</v>
      </c>
      <c r="F3">
        <v>4</v>
      </c>
      <c r="G3">
        <v>4</v>
      </c>
      <c r="H3">
        <v>9.9999999999999995E-7</v>
      </c>
      <c r="I3">
        <f>LOG(1/H3)</f>
        <v>6</v>
      </c>
      <c r="J3">
        <v>10</v>
      </c>
      <c r="K3">
        <f>AVERAGE(F3,G3)</f>
        <v>4</v>
      </c>
      <c r="L3">
        <f>K3/(H3*(J3/1000))</f>
        <v>400000000</v>
      </c>
    </row>
    <row r="4" spans="1:12">
      <c r="A4" t="s">
        <v>14</v>
      </c>
      <c r="B4" t="s">
        <v>15</v>
      </c>
      <c r="C4">
        <v>1</v>
      </c>
      <c r="D4" s="1" t="s">
        <v>16</v>
      </c>
      <c r="E4" s="1">
        <v>3</v>
      </c>
      <c r="F4">
        <v>1</v>
      </c>
      <c r="G4">
        <v>2</v>
      </c>
      <c r="H4">
        <v>9.9999999999999995E-7</v>
      </c>
      <c r="I4">
        <f>LOG(1/H4)</f>
        <v>6</v>
      </c>
      <c r="J4">
        <v>10</v>
      </c>
      <c r="K4">
        <f>AVERAGE(F4,G4)</f>
        <v>1.5</v>
      </c>
      <c r="L4">
        <f>K4/(H4*(J4/1000))</f>
        <v>150000000</v>
      </c>
    </row>
    <row r="5" spans="1:12">
      <c r="A5" t="s">
        <v>14</v>
      </c>
      <c r="B5" t="s">
        <v>15</v>
      </c>
      <c r="C5">
        <v>1</v>
      </c>
      <c r="D5" s="1" t="s">
        <v>16</v>
      </c>
      <c r="E5" s="1">
        <v>4</v>
      </c>
      <c r="F5" s="5">
        <v>20</v>
      </c>
      <c r="G5">
        <v>21</v>
      </c>
      <c r="H5">
        <v>1.0000000000000001E-5</v>
      </c>
      <c r="I5">
        <f>LOG(1/H5)</f>
        <v>5</v>
      </c>
      <c r="J5">
        <v>10</v>
      </c>
      <c r="K5">
        <f>AVERAGE(F5,G5)</f>
        <v>20.5</v>
      </c>
      <c r="L5">
        <f>K5/(H5*(J5/1000))</f>
        <v>204999999.99999997</v>
      </c>
    </row>
    <row r="6" spans="1:12">
      <c r="A6" t="s">
        <v>14</v>
      </c>
      <c r="B6" t="s">
        <v>15</v>
      </c>
      <c r="C6">
        <v>1</v>
      </c>
      <c r="D6" s="1" t="s">
        <v>16</v>
      </c>
      <c r="E6" s="1">
        <v>5</v>
      </c>
      <c r="F6">
        <v>20</v>
      </c>
      <c r="G6" s="5">
        <v>2</v>
      </c>
      <c r="H6">
        <v>1.0000000000000001E-5</v>
      </c>
      <c r="I6">
        <f>LOG(1/H6)</f>
        <v>5</v>
      </c>
      <c r="J6">
        <v>10</v>
      </c>
      <c r="K6">
        <f>AVERAGE(F6,G6)</f>
        <v>11</v>
      </c>
      <c r="L6">
        <f>K6/(H6*(J6/1000))</f>
        <v>109999999.99999999</v>
      </c>
    </row>
    <row r="7" spans="1:12">
      <c r="A7" t="s">
        <v>14</v>
      </c>
      <c r="B7" t="s">
        <v>15</v>
      </c>
      <c r="C7">
        <v>1</v>
      </c>
      <c r="D7" s="1" t="s">
        <v>16</v>
      </c>
      <c r="E7" s="1">
        <v>6</v>
      </c>
      <c r="F7">
        <v>1</v>
      </c>
      <c r="G7">
        <v>6</v>
      </c>
      <c r="H7">
        <v>9.9999999999999995E-7</v>
      </c>
      <c r="I7">
        <f>LOG(1/H7)</f>
        <v>6</v>
      </c>
      <c r="J7">
        <v>10</v>
      </c>
      <c r="K7">
        <f>AVERAGE(F7,G7)</f>
        <v>3.5</v>
      </c>
      <c r="L7">
        <f>K7/(H7*(J7/1000))</f>
        <v>350000000</v>
      </c>
    </row>
    <row r="8" spans="1:12">
      <c r="A8" t="s">
        <v>14</v>
      </c>
      <c r="B8" t="s">
        <v>15</v>
      </c>
      <c r="C8">
        <v>1</v>
      </c>
      <c r="D8" s="1" t="s">
        <v>16</v>
      </c>
      <c r="E8" s="1">
        <v>7</v>
      </c>
      <c r="F8">
        <v>1</v>
      </c>
      <c r="G8">
        <v>1</v>
      </c>
      <c r="H8">
        <v>9.9999999999999995E-7</v>
      </c>
      <c r="I8">
        <f>LOG(1/H8)</f>
        <v>6</v>
      </c>
      <c r="J8">
        <v>10</v>
      </c>
      <c r="K8">
        <f>AVERAGE(F8,G8)</f>
        <v>1</v>
      </c>
      <c r="L8">
        <f>K8/(H8*(J8/1000))</f>
        <v>100000000</v>
      </c>
    </row>
    <row r="9" spans="1:12">
      <c r="A9" t="s">
        <v>14</v>
      </c>
      <c r="B9" t="s">
        <v>15</v>
      </c>
      <c r="C9">
        <v>1</v>
      </c>
      <c r="D9" s="1" t="s">
        <v>16</v>
      </c>
      <c r="E9" s="1">
        <v>8</v>
      </c>
      <c r="F9">
        <v>4</v>
      </c>
      <c r="G9">
        <v>2</v>
      </c>
      <c r="H9">
        <v>9.9999999999999995E-7</v>
      </c>
      <c r="I9">
        <f>LOG(1/H9)</f>
        <v>6</v>
      </c>
      <c r="J9">
        <v>10</v>
      </c>
      <c r="K9">
        <f>AVERAGE(F9,G9)</f>
        <v>3</v>
      </c>
      <c r="L9">
        <f>K9/(H9*(J9/1000))</f>
        <v>300000000</v>
      </c>
    </row>
    <row r="10" spans="1:12">
      <c r="A10" t="s">
        <v>14</v>
      </c>
      <c r="B10" t="s">
        <v>15</v>
      </c>
      <c r="C10">
        <v>1</v>
      </c>
      <c r="D10" s="1" t="s">
        <v>16</v>
      </c>
      <c r="E10" s="1">
        <v>9</v>
      </c>
      <c r="F10">
        <v>1</v>
      </c>
      <c r="G10">
        <v>3</v>
      </c>
      <c r="H10">
        <v>9.9999999999999995E-7</v>
      </c>
      <c r="I10">
        <f>LOG(1/H10)</f>
        <v>6</v>
      </c>
      <c r="J10">
        <v>10</v>
      </c>
      <c r="K10">
        <f>AVERAGE(F10,G10)</f>
        <v>2</v>
      </c>
      <c r="L10">
        <f>K10/(H10*(J10/1000))</f>
        <v>200000000</v>
      </c>
    </row>
    <row r="11" spans="1:12">
      <c r="A11" t="s">
        <v>14</v>
      </c>
      <c r="B11" t="s">
        <v>15</v>
      </c>
      <c r="C11">
        <v>1</v>
      </c>
      <c r="D11" s="1" t="s">
        <v>16</v>
      </c>
      <c r="E11" s="1">
        <v>10</v>
      </c>
      <c r="F11">
        <v>2</v>
      </c>
      <c r="G11">
        <v>4</v>
      </c>
      <c r="H11">
        <v>9.9999999999999995E-7</v>
      </c>
      <c r="I11">
        <f>LOG(1/H11)</f>
        <v>6</v>
      </c>
      <c r="J11">
        <v>10</v>
      </c>
      <c r="K11">
        <f>AVERAGE(F11,G11)</f>
        <v>3</v>
      </c>
      <c r="L11">
        <f>K11/(H11*(J11/1000))</f>
        <v>300000000</v>
      </c>
    </row>
    <row r="12" spans="1:12">
      <c r="A12" t="s">
        <v>14</v>
      </c>
      <c r="B12" t="s">
        <v>15</v>
      </c>
      <c r="C12">
        <v>1.5</v>
      </c>
      <c r="D12" s="1" t="s">
        <v>16</v>
      </c>
      <c r="E12" s="1">
        <v>1</v>
      </c>
      <c r="F12">
        <v>6</v>
      </c>
      <c r="G12">
        <v>5</v>
      </c>
      <c r="H12">
        <v>0.01</v>
      </c>
      <c r="I12">
        <f>LOG(1/H12)</f>
        <v>2</v>
      </c>
      <c r="J12">
        <v>10</v>
      </c>
      <c r="K12">
        <f>AVERAGE(F12,G12)</f>
        <v>5.5</v>
      </c>
      <c r="L12">
        <f>K12/(H12*(J12/1000))</f>
        <v>55000</v>
      </c>
    </row>
    <row r="13" spans="1:12">
      <c r="A13" t="s">
        <v>14</v>
      </c>
      <c r="B13" t="s">
        <v>15</v>
      </c>
      <c r="C13">
        <v>1.5</v>
      </c>
      <c r="D13" s="1" t="s">
        <v>16</v>
      </c>
      <c r="E13" s="1">
        <v>2</v>
      </c>
      <c r="F13">
        <v>1</v>
      </c>
      <c r="G13">
        <v>1</v>
      </c>
      <c r="H13">
        <v>0.01</v>
      </c>
      <c r="I13">
        <f>LOG(1/H13)</f>
        <v>2</v>
      </c>
      <c r="J13">
        <v>10</v>
      </c>
      <c r="K13">
        <f>AVERAGE(F13,G13)</f>
        <v>1</v>
      </c>
      <c r="L13">
        <f>K13/(H13*(J13/1000))</f>
        <v>10000</v>
      </c>
    </row>
    <row r="14" spans="1:12">
      <c r="A14" t="s">
        <v>14</v>
      </c>
      <c r="B14" t="s">
        <v>15</v>
      </c>
      <c r="C14">
        <v>1.5</v>
      </c>
      <c r="D14" s="1" t="s">
        <v>16</v>
      </c>
      <c r="E14" s="1">
        <v>3</v>
      </c>
      <c r="F14">
        <v>6</v>
      </c>
      <c r="G14">
        <v>5</v>
      </c>
      <c r="H14">
        <v>0.01</v>
      </c>
      <c r="I14">
        <f>LOG(1/H14)</f>
        <v>2</v>
      </c>
      <c r="J14">
        <v>10</v>
      </c>
      <c r="K14">
        <f>AVERAGE(F14,G14)</f>
        <v>5.5</v>
      </c>
      <c r="L14">
        <f>K14/(H14*(J14/1000))</f>
        <v>55000</v>
      </c>
    </row>
    <row r="15" spans="1:12">
      <c r="A15" t="s">
        <v>14</v>
      </c>
      <c r="B15" t="s">
        <v>15</v>
      </c>
      <c r="C15">
        <v>1.5</v>
      </c>
      <c r="D15" s="1" t="s">
        <v>16</v>
      </c>
      <c r="E15" s="1">
        <v>4</v>
      </c>
      <c r="F15">
        <v>3</v>
      </c>
      <c r="G15">
        <v>3</v>
      </c>
      <c r="H15">
        <v>0.01</v>
      </c>
      <c r="I15">
        <f>LOG(1/H15)</f>
        <v>2</v>
      </c>
      <c r="J15">
        <v>10</v>
      </c>
      <c r="K15">
        <f>AVERAGE(F15,G15)</f>
        <v>3</v>
      </c>
      <c r="L15">
        <f>K15/(H15*(J15/1000))</f>
        <v>30000</v>
      </c>
    </row>
    <row r="16" spans="1:12">
      <c r="A16" t="s">
        <v>14</v>
      </c>
      <c r="B16" t="s">
        <v>15</v>
      </c>
      <c r="C16">
        <v>1.5</v>
      </c>
      <c r="D16" s="1" t="s">
        <v>16</v>
      </c>
      <c r="E16" s="1">
        <v>5</v>
      </c>
      <c r="F16">
        <v>2</v>
      </c>
      <c r="G16">
        <v>6</v>
      </c>
      <c r="H16">
        <v>1E-3</v>
      </c>
      <c r="I16">
        <f>LOG(1/H16)</f>
        <v>3</v>
      </c>
      <c r="J16">
        <v>10</v>
      </c>
      <c r="K16">
        <f>AVERAGE(F16,G16)</f>
        <v>4</v>
      </c>
      <c r="L16">
        <f>K16/(H16*(J16/1000))</f>
        <v>399999.99999999994</v>
      </c>
    </row>
    <row r="17" spans="1:12">
      <c r="A17" t="s">
        <v>14</v>
      </c>
      <c r="B17" t="s">
        <v>15</v>
      </c>
      <c r="C17">
        <v>1.5</v>
      </c>
      <c r="D17" s="1" t="s">
        <v>16</v>
      </c>
      <c r="E17" s="1">
        <v>6</v>
      </c>
      <c r="F17">
        <v>5</v>
      </c>
      <c r="G17">
        <v>3</v>
      </c>
      <c r="H17">
        <v>0.01</v>
      </c>
      <c r="I17">
        <f>LOG(1/H17)</f>
        <v>2</v>
      </c>
      <c r="J17">
        <v>10</v>
      </c>
      <c r="K17">
        <f>AVERAGE(F17,G17)</f>
        <v>4</v>
      </c>
      <c r="L17">
        <f>K17/(H17*(J17/1000))</f>
        <v>40000</v>
      </c>
    </row>
    <row r="18" spans="1:12">
      <c r="A18" t="s">
        <v>14</v>
      </c>
      <c r="B18" t="s">
        <v>15</v>
      </c>
      <c r="C18">
        <v>1.5</v>
      </c>
      <c r="D18" s="1" t="s">
        <v>16</v>
      </c>
      <c r="E18" s="1">
        <v>7</v>
      </c>
      <c r="F18">
        <v>8</v>
      </c>
      <c r="G18">
        <v>8</v>
      </c>
      <c r="H18">
        <v>0.01</v>
      </c>
      <c r="I18">
        <f>LOG(1/H18)</f>
        <v>2</v>
      </c>
      <c r="J18">
        <v>10</v>
      </c>
      <c r="K18">
        <f>AVERAGE(F18,G18)</f>
        <v>8</v>
      </c>
      <c r="L18">
        <f>K18/(H18*(J18/1000))</f>
        <v>80000</v>
      </c>
    </row>
    <row r="19" spans="1:12">
      <c r="A19" t="s">
        <v>14</v>
      </c>
      <c r="B19" t="s">
        <v>15</v>
      </c>
      <c r="C19">
        <v>1.5</v>
      </c>
      <c r="D19" s="1" t="s">
        <v>16</v>
      </c>
      <c r="E19" s="1">
        <v>8</v>
      </c>
      <c r="F19">
        <v>8</v>
      </c>
      <c r="G19">
        <v>1</v>
      </c>
      <c r="H19">
        <v>0.01</v>
      </c>
      <c r="I19">
        <f>LOG(1/H19)</f>
        <v>2</v>
      </c>
      <c r="J19">
        <v>10</v>
      </c>
      <c r="K19">
        <f>AVERAGE(F19,G19)</f>
        <v>4.5</v>
      </c>
      <c r="L19">
        <f>K19/(H19*(J19/1000))</f>
        <v>45000</v>
      </c>
    </row>
    <row r="20" spans="1:12">
      <c r="A20" t="s">
        <v>14</v>
      </c>
      <c r="B20" t="s">
        <v>15</v>
      </c>
      <c r="C20">
        <v>1.5</v>
      </c>
      <c r="D20" s="1" t="s">
        <v>16</v>
      </c>
      <c r="E20" s="1">
        <v>9</v>
      </c>
      <c r="F20">
        <v>5</v>
      </c>
      <c r="G20">
        <v>8</v>
      </c>
      <c r="H20">
        <v>0.01</v>
      </c>
      <c r="I20">
        <f>LOG(1/H20)</f>
        <v>2</v>
      </c>
      <c r="J20">
        <v>10</v>
      </c>
      <c r="K20">
        <f>AVERAGE(F20,G20)</f>
        <v>6.5</v>
      </c>
      <c r="L20">
        <f>K20/(H20*(J20/1000))</f>
        <v>65000</v>
      </c>
    </row>
    <row r="21" spans="1:12">
      <c r="A21" t="s">
        <v>14</v>
      </c>
      <c r="B21" t="s">
        <v>15</v>
      </c>
      <c r="C21">
        <v>1.5</v>
      </c>
      <c r="D21" s="1" t="s">
        <v>16</v>
      </c>
      <c r="E21" s="1">
        <v>10</v>
      </c>
      <c r="F21">
        <v>2</v>
      </c>
      <c r="G21">
        <v>4</v>
      </c>
      <c r="H21">
        <v>0.01</v>
      </c>
      <c r="I21">
        <f>LOG(1/H21)</f>
        <v>2</v>
      </c>
      <c r="J21">
        <v>10</v>
      </c>
      <c r="K21">
        <f>AVERAGE(F21,G21)</f>
        <v>3</v>
      </c>
      <c r="L21">
        <f>K21/(H21*(J21/1000))</f>
        <v>30000</v>
      </c>
    </row>
    <row r="22" spans="1:12">
      <c r="A22" t="s">
        <v>14</v>
      </c>
      <c r="B22" t="s">
        <v>15</v>
      </c>
      <c r="C22">
        <v>2</v>
      </c>
      <c r="D22" s="1" t="s">
        <v>16</v>
      </c>
      <c r="E22" s="1">
        <v>1</v>
      </c>
      <c r="F22">
        <v>4</v>
      </c>
      <c r="G22">
        <v>3</v>
      </c>
      <c r="H22">
        <v>9.9999999999999995E-7</v>
      </c>
      <c r="I22">
        <f>LOG(1/H22)</f>
        <v>6</v>
      </c>
      <c r="J22">
        <v>10</v>
      </c>
      <c r="K22">
        <f>AVERAGE(F22,G22)</f>
        <v>3.5</v>
      </c>
      <c r="L22">
        <f>K22/(H22*(J22/1000))</f>
        <v>350000000</v>
      </c>
    </row>
    <row r="23" spans="1:12">
      <c r="A23" t="s">
        <v>14</v>
      </c>
      <c r="B23" t="s">
        <v>15</v>
      </c>
      <c r="C23">
        <v>2</v>
      </c>
      <c r="D23" s="1" t="s">
        <v>16</v>
      </c>
      <c r="E23" s="1">
        <v>2</v>
      </c>
      <c r="F23">
        <v>2</v>
      </c>
      <c r="G23">
        <v>2</v>
      </c>
      <c r="H23">
        <v>9.9999999999999995E-7</v>
      </c>
      <c r="I23">
        <f>LOG(1/H23)</f>
        <v>6</v>
      </c>
      <c r="J23">
        <v>10</v>
      </c>
      <c r="K23">
        <f>AVERAGE(F23,G23)</f>
        <v>2</v>
      </c>
      <c r="L23">
        <f>K23/(H23*(J23/1000))</f>
        <v>200000000</v>
      </c>
    </row>
    <row r="24" spans="1:12">
      <c r="A24" t="s">
        <v>14</v>
      </c>
      <c r="B24" t="s">
        <v>15</v>
      </c>
      <c r="C24">
        <v>2</v>
      </c>
      <c r="D24" s="1" t="s">
        <v>16</v>
      </c>
      <c r="E24" s="1">
        <v>3</v>
      </c>
      <c r="F24">
        <v>2</v>
      </c>
      <c r="G24">
        <v>6</v>
      </c>
      <c r="H24">
        <v>9.9999999999999995E-7</v>
      </c>
      <c r="I24">
        <f>LOG(1/H24)</f>
        <v>6</v>
      </c>
      <c r="J24">
        <v>10</v>
      </c>
      <c r="K24">
        <f>AVERAGE(F24,G24)</f>
        <v>4</v>
      </c>
      <c r="L24">
        <f>K24/(H24*(J24/1000))</f>
        <v>400000000</v>
      </c>
    </row>
    <row r="25" spans="1:12">
      <c r="A25" t="s">
        <v>14</v>
      </c>
      <c r="B25" t="s">
        <v>15</v>
      </c>
      <c r="C25">
        <v>2</v>
      </c>
      <c r="D25" s="1" t="s">
        <v>16</v>
      </c>
      <c r="E25" s="1">
        <v>4</v>
      </c>
      <c r="F25">
        <v>3</v>
      </c>
      <c r="G25">
        <v>5</v>
      </c>
      <c r="H25">
        <v>9.9999999999999995E-7</v>
      </c>
      <c r="I25">
        <f>LOG(1/H25)</f>
        <v>6</v>
      </c>
      <c r="J25">
        <v>10</v>
      </c>
      <c r="K25">
        <f>AVERAGE(F25,G25)</f>
        <v>4</v>
      </c>
      <c r="L25">
        <f>K25/(H25*(J25/1000))</f>
        <v>400000000</v>
      </c>
    </row>
    <row r="26" spans="1:12">
      <c r="A26" t="s">
        <v>14</v>
      </c>
      <c r="B26" t="s">
        <v>15</v>
      </c>
      <c r="C26">
        <v>2</v>
      </c>
      <c r="D26" s="1" t="s">
        <v>16</v>
      </c>
      <c r="E26" s="1">
        <v>5</v>
      </c>
      <c r="F26">
        <v>4</v>
      </c>
      <c r="G26">
        <v>3</v>
      </c>
      <c r="H26">
        <v>9.9999999999999995E-7</v>
      </c>
      <c r="I26">
        <f>LOG(1/H26)</f>
        <v>6</v>
      </c>
      <c r="J26">
        <v>10</v>
      </c>
      <c r="K26">
        <f>AVERAGE(F26,G26)</f>
        <v>3.5</v>
      </c>
      <c r="L26">
        <f>K26/(H26*(J26/1000))</f>
        <v>350000000</v>
      </c>
    </row>
    <row r="27" spans="1:12">
      <c r="A27" t="s">
        <v>14</v>
      </c>
      <c r="B27" t="s">
        <v>15</v>
      </c>
      <c r="C27">
        <v>2</v>
      </c>
      <c r="D27" s="1" t="s">
        <v>16</v>
      </c>
      <c r="E27" s="1">
        <v>6</v>
      </c>
      <c r="F27">
        <v>70</v>
      </c>
      <c r="G27">
        <v>21</v>
      </c>
      <c r="H27">
        <v>1.0000000000000001E-5</v>
      </c>
      <c r="I27">
        <f>LOG(1/H27)</f>
        <v>5</v>
      </c>
      <c r="J27">
        <v>10</v>
      </c>
      <c r="K27">
        <f>AVERAGE(F27,G27)</f>
        <v>45.5</v>
      </c>
      <c r="L27">
        <f>K27/(H27*(J27/1000))</f>
        <v>454999999.99999994</v>
      </c>
    </row>
    <row r="28" spans="1:12">
      <c r="A28" t="s">
        <v>14</v>
      </c>
      <c r="B28" t="s">
        <v>15</v>
      </c>
      <c r="C28">
        <v>2</v>
      </c>
      <c r="D28" s="1" t="s">
        <v>16</v>
      </c>
      <c r="E28" s="1">
        <v>7</v>
      </c>
      <c r="F28">
        <v>2</v>
      </c>
      <c r="G28">
        <v>4</v>
      </c>
      <c r="H28">
        <v>9.9999999999999995E-7</v>
      </c>
      <c r="I28">
        <f>LOG(1/H28)</f>
        <v>6</v>
      </c>
      <c r="J28">
        <v>10</v>
      </c>
      <c r="K28">
        <f>AVERAGE(F28,G28)</f>
        <v>3</v>
      </c>
      <c r="L28">
        <f>K28/(H28*(J28/1000))</f>
        <v>300000000</v>
      </c>
    </row>
    <row r="29" spans="1:12">
      <c r="A29" t="s">
        <v>14</v>
      </c>
      <c r="B29" t="s">
        <v>15</v>
      </c>
      <c r="C29">
        <v>2</v>
      </c>
      <c r="D29" s="1" t="s">
        <v>16</v>
      </c>
      <c r="E29" s="1">
        <v>8</v>
      </c>
      <c r="F29">
        <v>4</v>
      </c>
      <c r="G29">
        <v>5</v>
      </c>
      <c r="H29">
        <v>9.9999999999999995E-7</v>
      </c>
      <c r="I29">
        <f>LOG(1/H29)</f>
        <v>6</v>
      </c>
      <c r="J29">
        <v>10</v>
      </c>
      <c r="K29">
        <f>AVERAGE(F29,G29)</f>
        <v>4.5</v>
      </c>
      <c r="L29">
        <f>K29/(H29*(J29/1000))</f>
        <v>450000000</v>
      </c>
    </row>
    <row r="30" spans="1:12">
      <c r="A30" t="s">
        <v>14</v>
      </c>
      <c r="B30" t="s">
        <v>15</v>
      </c>
      <c r="C30">
        <v>2</v>
      </c>
      <c r="D30" s="1" t="s">
        <v>16</v>
      </c>
      <c r="E30" s="1">
        <v>9</v>
      </c>
      <c r="F30">
        <v>3</v>
      </c>
      <c r="G30">
        <v>3</v>
      </c>
      <c r="H30">
        <v>9.9999999999999995E-7</v>
      </c>
      <c r="I30">
        <f>LOG(1/H30)</f>
        <v>6</v>
      </c>
      <c r="J30">
        <v>10</v>
      </c>
      <c r="K30">
        <f>AVERAGE(F30,G30)</f>
        <v>3</v>
      </c>
      <c r="L30">
        <f>K30/(H30*(J30/1000))</f>
        <v>300000000</v>
      </c>
    </row>
    <row r="31" spans="1:12">
      <c r="A31" t="s">
        <v>14</v>
      </c>
      <c r="B31" t="s">
        <v>15</v>
      </c>
      <c r="C31">
        <v>2</v>
      </c>
      <c r="D31" s="1" t="s">
        <v>16</v>
      </c>
      <c r="E31" s="1">
        <v>10</v>
      </c>
      <c r="F31">
        <v>4</v>
      </c>
      <c r="G31">
        <v>4</v>
      </c>
      <c r="H31">
        <v>9.9999999999999995E-7</v>
      </c>
      <c r="I31">
        <f>LOG(1/H31)</f>
        <v>6</v>
      </c>
      <c r="J31">
        <v>10</v>
      </c>
      <c r="K31">
        <f>AVERAGE(F31,G31)</f>
        <v>4</v>
      </c>
      <c r="L31">
        <f>K31/(H31*(J31/1000))</f>
        <v>400000000</v>
      </c>
    </row>
    <row r="32" spans="1:12">
      <c r="A32" t="s">
        <v>14</v>
      </c>
      <c r="B32" t="s">
        <v>15</v>
      </c>
      <c r="C32">
        <v>2.5</v>
      </c>
      <c r="D32" s="1" t="s">
        <v>16</v>
      </c>
      <c r="E32" s="1">
        <v>1</v>
      </c>
      <c r="F32">
        <v>4</v>
      </c>
      <c r="G32">
        <v>3</v>
      </c>
      <c r="H32">
        <v>0.01</v>
      </c>
      <c r="I32">
        <f>LOG(1/H32)</f>
        <v>2</v>
      </c>
      <c r="J32">
        <v>10</v>
      </c>
      <c r="K32">
        <f>AVERAGE(F32,G32)</f>
        <v>3.5</v>
      </c>
      <c r="L32">
        <f>K32/(H32*(J32/1000))</f>
        <v>35000</v>
      </c>
    </row>
    <row r="33" spans="1:12">
      <c r="A33" t="s">
        <v>14</v>
      </c>
      <c r="B33" t="s">
        <v>15</v>
      </c>
      <c r="C33">
        <v>2.5</v>
      </c>
      <c r="D33" s="1" t="s">
        <v>16</v>
      </c>
      <c r="E33" s="1">
        <v>2</v>
      </c>
      <c r="F33">
        <v>8</v>
      </c>
      <c r="G33">
        <v>10</v>
      </c>
      <c r="H33">
        <v>1E-3</v>
      </c>
      <c r="I33">
        <f>LOG(1/H33)</f>
        <v>3</v>
      </c>
      <c r="J33">
        <v>10</v>
      </c>
      <c r="K33">
        <f>AVERAGE(F33,G33)</f>
        <v>9</v>
      </c>
      <c r="L33">
        <f>K33/(H33*(J33/1000))</f>
        <v>899999.99999999988</v>
      </c>
    </row>
    <row r="34" spans="1:12">
      <c r="A34" t="s">
        <v>14</v>
      </c>
      <c r="B34" t="s">
        <v>15</v>
      </c>
      <c r="C34">
        <v>2.5</v>
      </c>
      <c r="D34" s="1" t="s">
        <v>16</v>
      </c>
      <c r="E34" s="1">
        <v>3</v>
      </c>
      <c r="F34">
        <v>4</v>
      </c>
      <c r="G34">
        <v>5</v>
      </c>
      <c r="H34">
        <v>1E-4</v>
      </c>
      <c r="I34">
        <f>LOG(1/H34)</f>
        <v>4</v>
      </c>
      <c r="J34">
        <v>10</v>
      </c>
      <c r="K34">
        <f>AVERAGE(F34,G34)</f>
        <v>4.5</v>
      </c>
      <c r="L34">
        <f>K34/(H34*(J34/1000))</f>
        <v>4499999.9999999991</v>
      </c>
    </row>
    <row r="35" spans="1:12">
      <c r="A35" t="s">
        <v>14</v>
      </c>
      <c r="B35" t="s">
        <v>15</v>
      </c>
      <c r="C35">
        <v>2.5</v>
      </c>
      <c r="D35" s="1" t="s">
        <v>16</v>
      </c>
      <c r="E35" s="1">
        <v>4</v>
      </c>
      <c r="F35">
        <v>5</v>
      </c>
      <c r="G35">
        <v>5</v>
      </c>
      <c r="H35">
        <v>1E-3</v>
      </c>
      <c r="I35">
        <f>LOG(1/H35)</f>
        <v>3</v>
      </c>
      <c r="J35">
        <v>10</v>
      </c>
      <c r="K35">
        <f>AVERAGE(F35,G35)</f>
        <v>5</v>
      </c>
      <c r="L35">
        <f>K35/(H35*(J35/1000))</f>
        <v>499999.99999999994</v>
      </c>
    </row>
    <row r="36" spans="1:12">
      <c r="A36" t="s">
        <v>14</v>
      </c>
      <c r="B36" t="s">
        <v>15</v>
      </c>
      <c r="C36">
        <v>2.5</v>
      </c>
      <c r="D36" s="1" t="s">
        <v>16</v>
      </c>
      <c r="E36" s="1">
        <v>5</v>
      </c>
      <c r="F36">
        <v>3</v>
      </c>
      <c r="G36">
        <v>2</v>
      </c>
      <c r="H36">
        <v>0.01</v>
      </c>
      <c r="I36">
        <f>LOG(1/H36)</f>
        <v>2</v>
      </c>
      <c r="J36">
        <v>10</v>
      </c>
      <c r="K36">
        <f>AVERAGE(F36,G36)</f>
        <v>2.5</v>
      </c>
      <c r="L36">
        <f>K36/(H36*(J36/1000))</f>
        <v>25000</v>
      </c>
    </row>
    <row r="37" spans="1:12">
      <c r="A37" t="s">
        <v>14</v>
      </c>
      <c r="B37" t="s">
        <v>15</v>
      </c>
      <c r="C37">
        <v>2.5</v>
      </c>
      <c r="D37" s="1" t="s">
        <v>16</v>
      </c>
      <c r="E37" s="1">
        <v>6</v>
      </c>
      <c r="F37">
        <v>7</v>
      </c>
      <c r="G37">
        <v>4</v>
      </c>
      <c r="H37">
        <v>0.01</v>
      </c>
      <c r="I37">
        <f>LOG(1/H37)</f>
        <v>2</v>
      </c>
      <c r="J37">
        <v>10</v>
      </c>
      <c r="K37">
        <f>AVERAGE(F37,G37)</f>
        <v>5.5</v>
      </c>
      <c r="L37">
        <f>K37/(H37*(J37/1000))</f>
        <v>55000</v>
      </c>
    </row>
    <row r="38" spans="1:12">
      <c r="A38" t="s">
        <v>14</v>
      </c>
      <c r="B38" t="s">
        <v>15</v>
      </c>
      <c r="C38">
        <v>2.5</v>
      </c>
      <c r="D38" s="1" t="s">
        <v>16</v>
      </c>
      <c r="E38" s="1">
        <v>7</v>
      </c>
      <c r="F38">
        <v>16</v>
      </c>
      <c r="G38">
        <v>15</v>
      </c>
      <c r="H38">
        <v>0.1</v>
      </c>
      <c r="I38">
        <f>LOG(1/H38)</f>
        <v>1</v>
      </c>
      <c r="J38">
        <v>10</v>
      </c>
      <c r="K38">
        <f>AVERAGE(F38,G38)</f>
        <v>15.5</v>
      </c>
      <c r="L38">
        <f>K38/(H38*(J38/1000))</f>
        <v>15500</v>
      </c>
    </row>
    <row r="39" spans="1:12">
      <c r="A39" t="s">
        <v>14</v>
      </c>
      <c r="B39" t="s">
        <v>15</v>
      </c>
      <c r="C39">
        <v>2.5</v>
      </c>
      <c r="D39" s="1" t="s">
        <v>16</v>
      </c>
      <c r="E39" s="1">
        <v>8</v>
      </c>
      <c r="F39">
        <v>11</v>
      </c>
      <c r="G39">
        <v>11</v>
      </c>
      <c r="H39">
        <v>0.01</v>
      </c>
      <c r="I39">
        <f>LOG(1/H39)</f>
        <v>2</v>
      </c>
      <c r="J39">
        <v>10</v>
      </c>
      <c r="K39">
        <f>AVERAGE(F39,G39)</f>
        <v>11</v>
      </c>
      <c r="L39">
        <f>K39/(H39*(J39/1000))</f>
        <v>110000</v>
      </c>
    </row>
    <row r="40" spans="1:12">
      <c r="A40" t="s">
        <v>14</v>
      </c>
      <c r="B40" t="s">
        <v>15</v>
      </c>
      <c r="C40">
        <v>2.5</v>
      </c>
      <c r="D40" s="1" t="s">
        <v>16</v>
      </c>
      <c r="E40" s="1">
        <v>9</v>
      </c>
      <c r="F40">
        <v>6</v>
      </c>
      <c r="G40">
        <v>8</v>
      </c>
      <c r="H40">
        <v>0.01</v>
      </c>
      <c r="I40">
        <f>LOG(1/H40)</f>
        <v>2</v>
      </c>
      <c r="J40">
        <v>10</v>
      </c>
      <c r="K40">
        <f>AVERAGE(F40,G40)</f>
        <v>7</v>
      </c>
      <c r="L40">
        <f>K40/(H40*(J40/1000))</f>
        <v>70000</v>
      </c>
    </row>
    <row r="41" spans="1:12">
      <c r="A41" t="s">
        <v>14</v>
      </c>
      <c r="B41" t="s">
        <v>15</v>
      </c>
      <c r="C41">
        <v>2.5</v>
      </c>
      <c r="D41" s="1" t="s">
        <v>16</v>
      </c>
      <c r="E41" s="1">
        <v>10</v>
      </c>
      <c r="F41">
        <v>15</v>
      </c>
      <c r="G41">
        <v>13</v>
      </c>
      <c r="H41">
        <v>0.01</v>
      </c>
      <c r="I41">
        <f>LOG(1/H41)</f>
        <v>2</v>
      </c>
      <c r="J41">
        <v>10</v>
      </c>
      <c r="K41">
        <f>AVERAGE(F41,G41)</f>
        <v>14</v>
      </c>
      <c r="L41">
        <f>K41/(H41*(J41/1000))</f>
        <v>140000</v>
      </c>
    </row>
    <row r="42" spans="1:12">
      <c r="A42" t="s">
        <v>14</v>
      </c>
      <c r="B42" t="s">
        <v>15</v>
      </c>
      <c r="C42">
        <v>3</v>
      </c>
      <c r="D42" s="1" t="s">
        <v>16</v>
      </c>
      <c r="E42" s="1">
        <v>1</v>
      </c>
      <c r="F42">
        <v>5</v>
      </c>
      <c r="G42">
        <v>6</v>
      </c>
      <c r="H42">
        <v>9.9999999999999995E-7</v>
      </c>
      <c r="I42">
        <f>LOG(1/H42)</f>
        <v>6</v>
      </c>
      <c r="J42">
        <v>10</v>
      </c>
      <c r="K42">
        <f>AVERAGE(F42,G42)</f>
        <v>5.5</v>
      </c>
      <c r="L42">
        <f>K42/(H42*(J42/1000))</f>
        <v>550000000</v>
      </c>
    </row>
    <row r="43" spans="1:12">
      <c r="A43" t="s">
        <v>14</v>
      </c>
      <c r="B43" t="s">
        <v>15</v>
      </c>
      <c r="C43">
        <v>3</v>
      </c>
      <c r="D43" s="1" t="s">
        <v>16</v>
      </c>
      <c r="E43" s="1">
        <v>2</v>
      </c>
      <c r="F43">
        <v>3</v>
      </c>
      <c r="G43">
        <v>4</v>
      </c>
      <c r="H43">
        <v>9.9999999999999995E-7</v>
      </c>
      <c r="I43">
        <f>LOG(1/H43)</f>
        <v>6</v>
      </c>
      <c r="J43">
        <v>10</v>
      </c>
      <c r="K43">
        <f>AVERAGE(F43,G43)</f>
        <v>3.5</v>
      </c>
      <c r="L43">
        <f>K43/(H43*(J43/1000))</f>
        <v>350000000</v>
      </c>
    </row>
    <row r="44" spans="1:12">
      <c r="A44" t="s">
        <v>14</v>
      </c>
      <c r="B44" t="s">
        <v>15</v>
      </c>
      <c r="C44">
        <v>3</v>
      </c>
      <c r="D44" s="1" t="s">
        <v>16</v>
      </c>
      <c r="E44" s="1">
        <v>3</v>
      </c>
      <c r="F44">
        <v>6</v>
      </c>
      <c r="G44">
        <v>9</v>
      </c>
      <c r="H44">
        <v>9.9999999999999995E-7</v>
      </c>
      <c r="I44">
        <f>LOG(1/H44)</f>
        <v>6</v>
      </c>
      <c r="J44">
        <v>10</v>
      </c>
      <c r="K44">
        <f>AVERAGE(F44,G44)</f>
        <v>7.5</v>
      </c>
      <c r="L44">
        <f>K44/(H44*(J44/1000))</f>
        <v>750000000</v>
      </c>
    </row>
    <row r="45" spans="1:12">
      <c r="A45" t="s">
        <v>14</v>
      </c>
      <c r="B45" t="s">
        <v>15</v>
      </c>
      <c r="C45">
        <v>3</v>
      </c>
      <c r="D45" s="1" t="s">
        <v>16</v>
      </c>
      <c r="E45" s="1">
        <v>4</v>
      </c>
      <c r="F45">
        <v>3</v>
      </c>
      <c r="G45">
        <v>6</v>
      </c>
      <c r="H45">
        <v>9.9999999999999995E-7</v>
      </c>
      <c r="I45">
        <f>LOG(1/H45)</f>
        <v>6</v>
      </c>
      <c r="J45">
        <v>10</v>
      </c>
      <c r="K45">
        <f>AVERAGE(F45,G45)</f>
        <v>4.5</v>
      </c>
      <c r="L45">
        <f>K45/(H45*(J45/1000))</f>
        <v>450000000</v>
      </c>
    </row>
    <row r="46" spans="1:12">
      <c r="A46" t="s">
        <v>14</v>
      </c>
      <c r="B46" t="s">
        <v>15</v>
      </c>
      <c r="C46">
        <v>3</v>
      </c>
      <c r="D46" s="1" t="s">
        <v>16</v>
      </c>
      <c r="E46" s="1">
        <v>5</v>
      </c>
      <c r="F46">
        <v>5</v>
      </c>
      <c r="G46">
        <v>4</v>
      </c>
      <c r="H46">
        <v>9.9999999999999995E-7</v>
      </c>
      <c r="I46">
        <f>LOG(1/H46)</f>
        <v>6</v>
      </c>
      <c r="J46">
        <v>10</v>
      </c>
      <c r="K46">
        <f>AVERAGE(F46,G46)</f>
        <v>4.5</v>
      </c>
      <c r="L46">
        <f>K46/(H46*(J46/1000))</f>
        <v>450000000</v>
      </c>
    </row>
    <row r="47" spans="1:12">
      <c r="A47" t="s">
        <v>14</v>
      </c>
      <c r="B47" t="s">
        <v>15</v>
      </c>
      <c r="C47">
        <v>3</v>
      </c>
      <c r="D47" s="1" t="s">
        <v>16</v>
      </c>
      <c r="E47" s="1">
        <v>6</v>
      </c>
      <c r="F47">
        <v>5</v>
      </c>
      <c r="G47">
        <v>4</v>
      </c>
      <c r="H47">
        <v>9.9999999999999995E-7</v>
      </c>
      <c r="I47">
        <f>LOG(1/H47)</f>
        <v>6</v>
      </c>
      <c r="J47">
        <v>10</v>
      </c>
      <c r="K47">
        <f>AVERAGE(F47,G47)</f>
        <v>4.5</v>
      </c>
      <c r="L47">
        <f>K47/(H47*(J47/1000))</f>
        <v>450000000</v>
      </c>
    </row>
    <row r="48" spans="1:12">
      <c r="A48" t="s">
        <v>14</v>
      </c>
      <c r="B48" t="s">
        <v>15</v>
      </c>
      <c r="C48">
        <v>3</v>
      </c>
      <c r="D48" s="1" t="s">
        <v>16</v>
      </c>
      <c r="E48" s="1">
        <v>7</v>
      </c>
      <c r="F48">
        <v>2</v>
      </c>
      <c r="G48">
        <v>2</v>
      </c>
      <c r="H48">
        <v>9.9999999999999995E-7</v>
      </c>
      <c r="I48">
        <f>LOG(1/H48)</f>
        <v>6</v>
      </c>
      <c r="J48">
        <v>10</v>
      </c>
      <c r="K48">
        <f>AVERAGE(F48,G48)</f>
        <v>2</v>
      </c>
      <c r="L48">
        <f>K48/(H48*(J48/1000))</f>
        <v>200000000</v>
      </c>
    </row>
    <row r="49" spans="1:12">
      <c r="A49" t="s">
        <v>14</v>
      </c>
      <c r="B49" t="s">
        <v>15</v>
      </c>
      <c r="C49">
        <v>3</v>
      </c>
      <c r="D49" s="1" t="s">
        <v>16</v>
      </c>
      <c r="E49" s="1">
        <v>8</v>
      </c>
      <c r="F49">
        <v>3</v>
      </c>
      <c r="G49">
        <v>4</v>
      </c>
      <c r="H49">
        <v>9.9999999999999995E-7</v>
      </c>
      <c r="I49">
        <f>LOG(1/H49)</f>
        <v>6</v>
      </c>
      <c r="J49">
        <v>10</v>
      </c>
      <c r="K49">
        <f>AVERAGE(F49,G49)</f>
        <v>3.5</v>
      </c>
      <c r="L49">
        <f>K49/(H49*(J49/1000))</f>
        <v>350000000</v>
      </c>
    </row>
    <row r="50" spans="1:12">
      <c r="A50" t="s">
        <v>14</v>
      </c>
      <c r="B50" t="s">
        <v>15</v>
      </c>
      <c r="C50">
        <v>3</v>
      </c>
      <c r="D50" s="1" t="s">
        <v>16</v>
      </c>
      <c r="E50" s="1">
        <v>9</v>
      </c>
      <c r="F50">
        <v>2</v>
      </c>
      <c r="G50">
        <v>6</v>
      </c>
      <c r="H50">
        <v>9.9999999999999995E-7</v>
      </c>
      <c r="I50">
        <f>LOG(1/H50)</f>
        <v>6</v>
      </c>
      <c r="J50">
        <v>10</v>
      </c>
      <c r="K50">
        <f>AVERAGE(F50,G50)</f>
        <v>4</v>
      </c>
      <c r="L50">
        <f>K50/(H50*(J50/1000))</f>
        <v>400000000</v>
      </c>
    </row>
    <row r="51" spans="1:12">
      <c r="A51" t="s">
        <v>14</v>
      </c>
      <c r="B51" t="s">
        <v>15</v>
      </c>
      <c r="C51">
        <v>3</v>
      </c>
      <c r="D51" s="1" t="s">
        <v>16</v>
      </c>
      <c r="E51" s="1">
        <v>10</v>
      </c>
      <c r="F51">
        <v>22</v>
      </c>
      <c r="G51" s="5">
        <v>20</v>
      </c>
      <c r="H51">
        <v>1.0000000000000001E-5</v>
      </c>
      <c r="I51">
        <f>LOG(1/H51)</f>
        <v>5</v>
      </c>
      <c r="J51">
        <v>10</v>
      </c>
      <c r="K51">
        <f>AVERAGE(F51,G51)</f>
        <v>21</v>
      </c>
      <c r="L51">
        <f>K51/(H51*(J51/1000))</f>
        <v>209999999.99999997</v>
      </c>
    </row>
    <row r="52" spans="1:12">
      <c r="A52" t="s">
        <v>14</v>
      </c>
      <c r="B52" t="s">
        <v>15</v>
      </c>
      <c r="C52">
        <v>3.5</v>
      </c>
      <c r="D52" s="1" t="s">
        <v>16</v>
      </c>
      <c r="E52" s="1">
        <v>1</v>
      </c>
      <c r="F52">
        <v>29</v>
      </c>
      <c r="G52">
        <v>27</v>
      </c>
      <c r="H52">
        <v>0.01</v>
      </c>
      <c r="I52">
        <f>LOG(1/H52)</f>
        <v>2</v>
      </c>
      <c r="J52">
        <v>10</v>
      </c>
      <c r="K52">
        <f>AVERAGE(F52,G52)</f>
        <v>28</v>
      </c>
      <c r="L52">
        <f>K52/(H52*(J52/1000))</f>
        <v>280000</v>
      </c>
    </row>
    <row r="53" spans="1:12">
      <c r="A53" t="s">
        <v>14</v>
      </c>
      <c r="B53" t="s">
        <v>15</v>
      </c>
      <c r="C53">
        <v>3.5</v>
      </c>
      <c r="D53" s="1" t="s">
        <v>16</v>
      </c>
      <c r="E53" s="1">
        <v>2</v>
      </c>
      <c r="F53">
        <v>5</v>
      </c>
      <c r="G53">
        <v>6</v>
      </c>
      <c r="H53">
        <v>0.01</v>
      </c>
      <c r="I53">
        <f>LOG(1/H53)</f>
        <v>2</v>
      </c>
      <c r="J53">
        <v>10</v>
      </c>
      <c r="K53">
        <f>AVERAGE(F53,G53)</f>
        <v>5.5</v>
      </c>
      <c r="L53">
        <f>K53/(H53*(J53/1000))</f>
        <v>55000</v>
      </c>
    </row>
    <row r="54" spans="1:12">
      <c r="A54" t="s">
        <v>14</v>
      </c>
      <c r="B54" t="s">
        <v>15</v>
      </c>
      <c r="C54">
        <v>3.5</v>
      </c>
      <c r="D54" s="1" t="s">
        <v>16</v>
      </c>
      <c r="E54" s="1">
        <v>3</v>
      </c>
      <c r="F54">
        <v>10</v>
      </c>
      <c r="G54">
        <v>8</v>
      </c>
      <c r="H54">
        <v>0.01</v>
      </c>
      <c r="I54">
        <f>LOG(1/H54)</f>
        <v>2</v>
      </c>
      <c r="J54">
        <v>10</v>
      </c>
      <c r="K54">
        <f>AVERAGE(F54,G54)</f>
        <v>9</v>
      </c>
      <c r="L54">
        <f>K54/(H54*(J54/1000))</f>
        <v>90000</v>
      </c>
    </row>
    <row r="55" spans="1:12">
      <c r="A55" t="s">
        <v>14</v>
      </c>
      <c r="B55" t="s">
        <v>15</v>
      </c>
      <c r="C55">
        <v>3.5</v>
      </c>
      <c r="D55" s="1" t="s">
        <v>16</v>
      </c>
      <c r="E55" s="1">
        <v>4</v>
      </c>
      <c r="F55">
        <v>15</v>
      </c>
      <c r="G55">
        <v>7</v>
      </c>
      <c r="H55">
        <v>0.01</v>
      </c>
      <c r="I55">
        <f>LOG(1/H55)</f>
        <v>2</v>
      </c>
      <c r="J55">
        <v>10</v>
      </c>
      <c r="K55">
        <f>AVERAGE(F55,G55)</f>
        <v>11</v>
      </c>
      <c r="L55">
        <f>K55/(H55*(J55/1000))</f>
        <v>110000</v>
      </c>
    </row>
    <row r="56" spans="1:12">
      <c r="A56" t="s">
        <v>14</v>
      </c>
      <c r="B56" t="s">
        <v>15</v>
      </c>
      <c r="C56">
        <v>3.5</v>
      </c>
      <c r="D56" s="1" t="s">
        <v>16</v>
      </c>
      <c r="E56" s="1">
        <v>5</v>
      </c>
      <c r="F56">
        <v>10</v>
      </c>
      <c r="G56">
        <v>16</v>
      </c>
      <c r="H56">
        <v>0.01</v>
      </c>
      <c r="I56">
        <f>LOG(1/H56)</f>
        <v>2</v>
      </c>
      <c r="J56">
        <v>10</v>
      </c>
      <c r="K56">
        <f>AVERAGE(F56,G56)</f>
        <v>13</v>
      </c>
      <c r="L56">
        <f>K56/(H56*(J56/1000))</f>
        <v>130000</v>
      </c>
    </row>
    <row r="57" spans="1:12">
      <c r="A57" t="s">
        <v>14</v>
      </c>
      <c r="B57" t="s">
        <v>15</v>
      </c>
      <c r="C57">
        <v>3.5</v>
      </c>
      <c r="D57" s="1" t="s">
        <v>16</v>
      </c>
      <c r="E57" s="1">
        <v>6</v>
      </c>
      <c r="F57">
        <v>8</v>
      </c>
      <c r="G57">
        <v>7</v>
      </c>
      <c r="H57">
        <v>0.01</v>
      </c>
      <c r="I57">
        <f>LOG(1/H57)</f>
        <v>2</v>
      </c>
      <c r="J57">
        <v>10</v>
      </c>
      <c r="K57">
        <f>AVERAGE(F57,G57)</f>
        <v>7.5</v>
      </c>
      <c r="L57">
        <f>K57/(H57*(J57/1000))</f>
        <v>75000</v>
      </c>
    </row>
    <row r="58" spans="1:12">
      <c r="A58" t="s">
        <v>14</v>
      </c>
      <c r="B58" t="s">
        <v>15</v>
      </c>
      <c r="C58">
        <v>3.5</v>
      </c>
      <c r="D58" s="1" t="s">
        <v>16</v>
      </c>
      <c r="E58" s="1">
        <v>7</v>
      </c>
      <c r="F58">
        <v>10</v>
      </c>
      <c r="G58">
        <v>13</v>
      </c>
      <c r="H58">
        <v>1E-3</v>
      </c>
      <c r="I58">
        <f>LOG(1/H58)</f>
        <v>3</v>
      </c>
      <c r="J58">
        <v>10</v>
      </c>
      <c r="K58">
        <f>AVERAGE(F58,G58)</f>
        <v>11.5</v>
      </c>
      <c r="L58">
        <f>K58/(H58*(J58/1000))</f>
        <v>1150000</v>
      </c>
    </row>
    <row r="59" spans="1:12">
      <c r="A59" t="s">
        <v>14</v>
      </c>
      <c r="B59" t="s">
        <v>15</v>
      </c>
      <c r="C59">
        <v>3.5</v>
      </c>
      <c r="D59" s="1" t="s">
        <v>16</v>
      </c>
      <c r="E59" s="1">
        <v>8</v>
      </c>
      <c r="F59">
        <v>3</v>
      </c>
      <c r="G59">
        <v>3</v>
      </c>
      <c r="H59">
        <v>1E-3</v>
      </c>
      <c r="I59">
        <f>LOG(1/H59)</f>
        <v>3</v>
      </c>
      <c r="J59">
        <v>10</v>
      </c>
      <c r="K59">
        <f>AVERAGE(F59,G59)</f>
        <v>3</v>
      </c>
      <c r="L59">
        <f>K59/(H59*(J59/1000))</f>
        <v>300000</v>
      </c>
    </row>
    <row r="60" spans="1:12">
      <c r="A60" t="s">
        <v>14</v>
      </c>
      <c r="B60" t="s">
        <v>15</v>
      </c>
      <c r="C60">
        <v>3.5</v>
      </c>
      <c r="D60" s="1" t="s">
        <v>16</v>
      </c>
      <c r="E60" s="1">
        <v>9</v>
      </c>
      <c r="F60">
        <v>4</v>
      </c>
      <c r="G60">
        <v>3</v>
      </c>
      <c r="H60">
        <v>0.01</v>
      </c>
      <c r="I60">
        <f>LOG(1/H60)</f>
        <v>2</v>
      </c>
      <c r="J60">
        <v>10</v>
      </c>
      <c r="K60">
        <f>AVERAGE(F60,G60)</f>
        <v>3.5</v>
      </c>
      <c r="L60">
        <f>K60/(H60*(J60/1000))</f>
        <v>35000</v>
      </c>
    </row>
    <row r="61" spans="1:12">
      <c r="A61" t="s">
        <v>14</v>
      </c>
      <c r="B61" t="s">
        <v>15</v>
      </c>
      <c r="C61">
        <v>3.5</v>
      </c>
      <c r="D61" s="1" t="s">
        <v>16</v>
      </c>
      <c r="E61" s="1">
        <v>10</v>
      </c>
      <c r="F61">
        <v>6</v>
      </c>
      <c r="G61">
        <v>11</v>
      </c>
      <c r="H61">
        <v>1E-3</v>
      </c>
      <c r="I61">
        <f>LOG(1/H61)</f>
        <v>3</v>
      </c>
      <c r="J61">
        <v>10</v>
      </c>
      <c r="K61">
        <f>AVERAGE(F61,G61)</f>
        <v>8.5</v>
      </c>
      <c r="L61">
        <f>K61/(H61*(J61/1000))</f>
        <v>849999.99999999988</v>
      </c>
    </row>
    <row r="62" spans="1:12">
      <c r="A62" t="s">
        <v>14</v>
      </c>
      <c r="B62" t="s">
        <v>15</v>
      </c>
      <c r="C62">
        <v>4</v>
      </c>
      <c r="D62" s="1" t="s">
        <v>16</v>
      </c>
      <c r="E62" s="1">
        <v>1</v>
      </c>
      <c r="F62">
        <v>5</v>
      </c>
      <c r="G62">
        <v>1</v>
      </c>
      <c r="H62">
        <v>9.9999999999999995E-7</v>
      </c>
      <c r="I62">
        <f>LOG(1/H62)</f>
        <v>6</v>
      </c>
      <c r="J62">
        <v>10</v>
      </c>
      <c r="K62">
        <f>AVERAGE(F62,G62)</f>
        <v>3</v>
      </c>
      <c r="L62">
        <f>K62/(H62*(J62/1000))</f>
        <v>300000000</v>
      </c>
    </row>
    <row r="63" spans="1:12">
      <c r="A63" t="s">
        <v>14</v>
      </c>
      <c r="B63" t="s">
        <v>15</v>
      </c>
      <c r="C63">
        <v>4</v>
      </c>
      <c r="D63" s="1" t="s">
        <v>16</v>
      </c>
      <c r="E63" s="1">
        <v>2</v>
      </c>
      <c r="F63">
        <v>3</v>
      </c>
      <c r="G63">
        <v>3</v>
      </c>
      <c r="H63">
        <v>9.9999999999999995E-7</v>
      </c>
      <c r="I63">
        <f>LOG(1/H63)</f>
        <v>6</v>
      </c>
      <c r="J63">
        <v>10</v>
      </c>
      <c r="K63">
        <f>AVERAGE(F63,G63)</f>
        <v>3</v>
      </c>
      <c r="L63">
        <f>K63/(H63*(J63/1000))</f>
        <v>300000000</v>
      </c>
    </row>
    <row r="64" spans="1:12">
      <c r="A64" t="s">
        <v>14</v>
      </c>
      <c r="B64" t="s">
        <v>15</v>
      </c>
      <c r="C64">
        <v>4</v>
      </c>
      <c r="D64" s="1" t="s">
        <v>16</v>
      </c>
      <c r="E64" s="1">
        <v>3</v>
      </c>
      <c r="F64">
        <v>3</v>
      </c>
      <c r="G64">
        <v>3</v>
      </c>
      <c r="H64">
        <v>9.9999999999999995E-7</v>
      </c>
      <c r="I64">
        <f>LOG(1/H64)</f>
        <v>6</v>
      </c>
      <c r="J64">
        <v>10</v>
      </c>
      <c r="K64">
        <f>AVERAGE(F64,G64)</f>
        <v>3</v>
      </c>
      <c r="L64">
        <f>K64/(H64*(J64/1000))</f>
        <v>300000000</v>
      </c>
    </row>
    <row r="65" spans="1:12">
      <c r="A65" t="s">
        <v>14</v>
      </c>
      <c r="B65" t="s">
        <v>15</v>
      </c>
      <c r="C65">
        <v>4</v>
      </c>
      <c r="D65" s="1" t="s">
        <v>16</v>
      </c>
      <c r="E65" s="1">
        <v>4</v>
      </c>
      <c r="F65">
        <v>1</v>
      </c>
      <c r="G65">
        <v>2</v>
      </c>
      <c r="H65">
        <v>9.9999999999999995E-7</v>
      </c>
      <c r="I65">
        <f>LOG(1/H65)</f>
        <v>6</v>
      </c>
      <c r="J65">
        <v>10</v>
      </c>
      <c r="K65">
        <f>AVERAGE(F65,G65)</f>
        <v>1.5</v>
      </c>
      <c r="L65">
        <f>K65/(H65*(J65/1000))</f>
        <v>150000000</v>
      </c>
    </row>
    <row r="66" spans="1:12">
      <c r="A66" t="s">
        <v>14</v>
      </c>
      <c r="B66" t="s">
        <v>15</v>
      </c>
      <c r="C66">
        <v>4</v>
      </c>
      <c r="D66" s="1" t="s">
        <v>16</v>
      </c>
      <c r="E66" s="1">
        <v>5</v>
      </c>
      <c r="F66">
        <v>2</v>
      </c>
      <c r="G66">
        <v>2</v>
      </c>
      <c r="H66">
        <v>9.9999999999999995E-7</v>
      </c>
      <c r="I66">
        <f>LOG(1/H66)</f>
        <v>6</v>
      </c>
      <c r="J66">
        <v>10</v>
      </c>
      <c r="K66">
        <f>AVERAGE(F66,G66)</f>
        <v>2</v>
      </c>
      <c r="L66">
        <f>K66/(H66*(J66/1000))</f>
        <v>200000000</v>
      </c>
    </row>
    <row r="67" spans="1:12">
      <c r="A67" t="s">
        <v>14</v>
      </c>
      <c r="B67" t="s">
        <v>15</v>
      </c>
      <c r="C67">
        <v>4</v>
      </c>
      <c r="D67" s="1" t="s">
        <v>16</v>
      </c>
      <c r="E67" s="1">
        <v>6</v>
      </c>
      <c r="F67">
        <v>1</v>
      </c>
      <c r="G67">
        <v>3</v>
      </c>
      <c r="H67">
        <v>9.9999999999999995E-7</v>
      </c>
      <c r="I67">
        <f>LOG(1/H67)</f>
        <v>6</v>
      </c>
      <c r="J67">
        <v>10</v>
      </c>
      <c r="K67">
        <f>AVERAGE(F67,G67)</f>
        <v>2</v>
      </c>
      <c r="L67">
        <f>K67/(H67*(J67/1000))</f>
        <v>200000000</v>
      </c>
    </row>
    <row r="68" spans="1:12">
      <c r="A68" t="s">
        <v>14</v>
      </c>
      <c r="B68" t="s">
        <v>15</v>
      </c>
      <c r="C68">
        <v>4</v>
      </c>
      <c r="D68" s="1" t="s">
        <v>16</v>
      </c>
      <c r="E68" s="1">
        <v>7</v>
      </c>
      <c r="F68">
        <v>2</v>
      </c>
      <c r="G68">
        <v>5</v>
      </c>
      <c r="H68">
        <v>9.9999999999999995E-7</v>
      </c>
      <c r="I68">
        <f>LOG(1/H68)</f>
        <v>6</v>
      </c>
      <c r="J68">
        <v>10</v>
      </c>
      <c r="K68">
        <f>AVERAGE(F68,G68)</f>
        <v>3.5</v>
      </c>
      <c r="L68">
        <f>K68/(H68*(J68/1000))</f>
        <v>350000000</v>
      </c>
    </row>
    <row r="69" spans="1:12">
      <c r="A69" t="s">
        <v>14</v>
      </c>
      <c r="B69" t="s">
        <v>15</v>
      </c>
      <c r="C69">
        <v>4</v>
      </c>
      <c r="D69" s="1" t="s">
        <v>16</v>
      </c>
      <c r="E69" s="1">
        <v>8</v>
      </c>
      <c r="F69" s="5">
        <v>40</v>
      </c>
      <c r="G69">
        <v>23</v>
      </c>
      <c r="H69">
        <v>1.0000000000000001E-5</v>
      </c>
      <c r="I69">
        <f>LOG(1/H69)</f>
        <v>5</v>
      </c>
      <c r="J69">
        <v>10</v>
      </c>
      <c r="K69">
        <f>AVERAGE(F69,G69)</f>
        <v>31.5</v>
      </c>
      <c r="L69">
        <f>K69/(H69*(J69/1000))</f>
        <v>315000000</v>
      </c>
    </row>
    <row r="70" spans="1:12">
      <c r="A70" t="s">
        <v>14</v>
      </c>
      <c r="B70" t="s">
        <v>15</v>
      </c>
      <c r="C70">
        <v>4</v>
      </c>
      <c r="D70" s="1" t="s">
        <v>16</v>
      </c>
      <c r="E70" s="1">
        <v>9</v>
      </c>
      <c r="F70">
        <v>1</v>
      </c>
      <c r="G70">
        <v>2</v>
      </c>
      <c r="H70">
        <v>9.9999999999999995E-7</v>
      </c>
      <c r="I70">
        <f>LOG(1/H70)</f>
        <v>6</v>
      </c>
      <c r="J70">
        <v>10</v>
      </c>
      <c r="K70">
        <f>AVERAGE(F70,G70)</f>
        <v>1.5</v>
      </c>
      <c r="L70">
        <f>K70/(H70*(J70/1000))</f>
        <v>150000000</v>
      </c>
    </row>
    <row r="71" spans="1:12">
      <c r="A71" t="s">
        <v>14</v>
      </c>
      <c r="B71" t="s">
        <v>15</v>
      </c>
      <c r="C71">
        <v>4</v>
      </c>
      <c r="D71" s="1" t="s">
        <v>16</v>
      </c>
      <c r="E71" s="1">
        <v>10</v>
      </c>
      <c r="F71">
        <v>7</v>
      </c>
      <c r="G71">
        <v>4</v>
      </c>
      <c r="H71">
        <v>9.9999999999999995E-7</v>
      </c>
      <c r="I71">
        <f>LOG(1/H71)</f>
        <v>6</v>
      </c>
      <c r="J71">
        <v>10</v>
      </c>
      <c r="K71">
        <f>AVERAGE(F71,G71)</f>
        <v>5.5</v>
      </c>
      <c r="L71">
        <f>K71/(H71*(J71/1000))</f>
        <v>550000000</v>
      </c>
    </row>
    <row r="72" spans="1:12">
      <c r="A72" t="s">
        <v>14</v>
      </c>
      <c r="B72" t="s">
        <v>15</v>
      </c>
      <c r="C72">
        <v>4.5</v>
      </c>
      <c r="D72" s="1" t="s">
        <v>16</v>
      </c>
      <c r="E72" s="1">
        <v>1</v>
      </c>
      <c r="F72">
        <v>13</v>
      </c>
      <c r="G72">
        <v>20</v>
      </c>
      <c r="H72">
        <v>1.0000000000000001E-5</v>
      </c>
      <c r="I72">
        <f>LOG(1/H72)</f>
        <v>5</v>
      </c>
      <c r="J72">
        <v>10</v>
      </c>
      <c r="K72">
        <f>AVERAGE(F72,G72)</f>
        <v>16.5</v>
      </c>
      <c r="L72">
        <f>K72/(H72*(J72/1000))</f>
        <v>165000000</v>
      </c>
    </row>
    <row r="73" spans="1:12">
      <c r="A73" t="s">
        <v>14</v>
      </c>
      <c r="B73" t="s">
        <v>15</v>
      </c>
      <c r="C73">
        <v>4.5</v>
      </c>
      <c r="D73" s="1" t="s">
        <v>16</v>
      </c>
      <c r="E73" s="1">
        <v>2</v>
      </c>
      <c r="F73">
        <v>4</v>
      </c>
      <c r="G73">
        <v>5</v>
      </c>
      <c r="H73">
        <v>1E-4</v>
      </c>
      <c r="I73">
        <f>LOG(1/H73)</f>
        <v>4</v>
      </c>
      <c r="J73">
        <v>10</v>
      </c>
      <c r="K73">
        <f>AVERAGE(F73,G73)</f>
        <v>4.5</v>
      </c>
      <c r="L73">
        <f>K73/(H73*(J73/1000))</f>
        <v>4499999.9999999991</v>
      </c>
    </row>
    <row r="74" spans="1:12">
      <c r="A74" t="s">
        <v>14</v>
      </c>
      <c r="B74" t="s">
        <v>15</v>
      </c>
      <c r="C74">
        <v>4.5</v>
      </c>
      <c r="D74" s="1" t="s">
        <v>16</v>
      </c>
      <c r="E74" s="1">
        <v>3</v>
      </c>
      <c r="F74">
        <v>16</v>
      </c>
      <c r="G74">
        <v>10</v>
      </c>
      <c r="H74">
        <v>1E-3</v>
      </c>
      <c r="I74">
        <f>LOG(1/H74)</f>
        <v>3</v>
      </c>
      <c r="J74">
        <v>10</v>
      </c>
      <c r="K74">
        <f>AVERAGE(F74,G74)</f>
        <v>13</v>
      </c>
      <c r="L74">
        <f>K74/(H74*(J74/1000))</f>
        <v>1300000</v>
      </c>
    </row>
    <row r="75" spans="1:12">
      <c r="A75" t="s">
        <v>14</v>
      </c>
      <c r="B75" t="s">
        <v>15</v>
      </c>
      <c r="C75">
        <v>4.5</v>
      </c>
      <c r="D75" s="1" t="s">
        <v>16</v>
      </c>
      <c r="E75" s="1">
        <v>4</v>
      </c>
      <c r="F75">
        <v>4</v>
      </c>
      <c r="G75">
        <v>5</v>
      </c>
      <c r="H75">
        <v>1E-4</v>
      </c>
      <c r="I75">
        <f>LOG(1/H75)</f>
        <v>4</v>
      </c>
      <c r="J75">
        <v>10</v>
      </c>
      <c r="K75">
        <f>AVERAGE(F75,G75)</f>
        <v>4.5</v>
      </c>
      <c r="L75">
        <f>K75/(H75*(J75/1000))</f>
        <v>4499999.9999999991</v>
      </c>
    </row>
    <row r="76" spans="1:12">
      <c r="A76" t="s">
        <v>14</v>
      </c>
      <c r="B76" t="s">
        <v>15</v>
      </c>
      <c r="C76">
        <v>4.5</v>
      </c>
      <c r="D76" s="1" t="s">
        <v>16</v>
      </c>
      <c r="E76" s="1">
        <v>5</v>
      </c>
      <c r="F76">
        <v>9</v>
      </c>
      <c r="G76">
        <v>4</v>
      </c>
      <c r="H76">
        <v>1E-3</v>
      </c>
      <c r="I76">
        <f>LOG(1/H76)</f>
        <v>3</v>
      </c>
      <c r="J76">
        <v>10</v>
      </c>
      <c r="K76">
        <f>AVERAGE(F76,G76)</f>
        <v>6.5</v>
      </c>
      <c r="L76">
        <f>K76/(H76*(J76/1000))</f>
        <v>650000</v>
      </c>
    </row>
    <row r="77" spans="1:12">
      <c r="A77" t="s">
        <v>14</v>
      </c>
      <c r="B77" t="s">
        <v>15</v>
      </c>
      <c r="C77">
        <v>4.5</v>
      </c>
      <c r="D77" s="1" t="s">
        <v>16</v>
      </c>
      <c r="E77" s="1">
        <v>6</v>
      </c>
      <c r="F77">
        <v>29</v>
      </c>
      <c r="G77">
        <v>23</v>
      </c>
      <c r="H77">
        <v>1E-3</v>
      </c>
      <c r="I77">
        <f>LOG(1/H77)</f>
        <v>3</v>
      </c>
      <c r="J77">
        <v>10</v>
      </c>
      <c r="K77">
        <f>AVERAGE(F77,G77)</f>
        <v>26</v>
      </c>
      <c r="L77">
        <f>K77/(H77*(J77/1000))</f>
        <v>2600000</v>
      </c>
    </row>
    <row r="78" spans="1:12">
      <c r="A78" t="s">
        <v>14</v>
      </c>
      <c r="B78" t="s">
        <v>15</v>
      </c>
      <c r="C78">
        <v>4.5</v>
      </c>
      <c r="D78" s="1" t="s">
        <v>16</v>
      </c>
      <c r="E78" s="1">
        <v>7</v>
      </c>
      <c r="F78">
        <v>6</v>
      </c>
      <c r="G78">
        <v>8</v>
      </c>
      <c r="H78">
        <v>1.0000000000000001E-5</v>
      </c>
      <c r="I78">
        <f>LOG(1/H78)</f>
        <v>5</v>
      </c>
      <c r="J78">
        <v>10</v>
      </c>
      <c r="K78">
        <f>AVERAGE(F78,G78)</f>
        <v>7</v>
      </c>
      <c r="L78">
        <f>K78/(H78*(J78/1000))</f>
        <v>70000000</v>
      </c>
    </row>
    <row r="79" spans="1:12">
      <c r="A79" t="s">
        <v>14</v>
      </c>
      <c r="B79" t="s">
        <v>15</v>
      </c>
      <c r="C79">
        <v>4.5</v>
      </c>
      <c r="D79" s="1" t="s">
        <v>16</v>
      </c>
      <c r="E79" s="1">
        <v>8</v>
      </c>
      <c r="F79">
        <v>2</v>
      </c>
      <c r="G79">
        <v>2</v>
      </c>
      <c r="H79">
        <v>1.0000000000000001E-5</v>
      </c>
      <c r="I79">
        <f>LOG(1/H79)</f>
        <v>5</v>
      </c>
      <c r="J79">
        <v>10</v>
      </c>
      <c r="K79">
        <f>AVERAGE(F79,G79)</f>
        <v>2</v>
      </c>
      <c r="L79">
        <f>K79/(H79*(J79/1000))</f>
        <v>20000000</v>
      </c>
    </row>
    <row r="80" spans="1:12">
      <c r="A80" t="s">
        <v>14</v>
      </c>
      <c r="B80" t="s">
        <v>15</v>
      </c>
      <c r="C80">
        <v>4.5</v>
      </c>
      <c r="D80" s="1" t="s">
        <v>16</v>
      </c>
      <c r="E80" s="1">
        <v>9</v>
      </c>
      <c r="F80">
        <v>4</v>
      </c>
      <c r="G80">
        <v>10</v>
      </c>
      <c r="H80">
        <v>1E-4</v>
      </c>
      <c r="I80">
        <f>LOG(1/H80)</f>
        <v>4</v>
      </c>
      <c r="J80">
        <v>10</v>
      </c>
      <c r="K80">
        <f>AVERAGE(F80,G80)</f>
        <v>7</v>
      </c>
      <c r="L80">
        <f>K80/(H80*(J80/1000))</f>
        <v>6999999.9999999991</v>
      </c>
    </row>
    <row r="81" spans="1:12">
      <c r="A81" t="s">
        <v>14</v>
      </c>
      <c r="B81" t="s">
        <v>15</v>
      </c>
      <c r="C81">
        <v>4.5</v>
      </c>
      <c r="D81" s="1" t="s">
        <v>16</v>
      </c>
      <c r="E81" s="1">
        <v>10</v>
      </c>
      <c r="F81">
        <v>2</v>
      </c>
      <c r="G81">
        <v>2</v>
      </c>
      <c r="H81">
        <v>1.0000000000000001E-5</v>
      </c>
      <c r="I81">
        <f>LOG(1/H81)</f>
        <v>5</v>
      </c>
      <c r="J81">
        <v>10</v>
      </c>
      <c r="K81">
        <f>AVERAGE(F81,G81)</f>
        <v>2</v>
      </c>
      <c r="L81">
        <f>K81/(H81*(J81/1000))</f>
        <v>20000000</v>
      </c>
    </row>
    <row r="82" spans="1:12">
      <c r="A82" t="s">
        <v>14</v>
      </c>
      <c r="B82" t="s">
        <v>15</v>
      </c>
      <c r="C82">
        <v>5</v>
      </c>
      <c r="D82" s="1" t="s">
        <v>16</v>
      </c>
      <c r="E82" s="1">
        <v>1</v>
      </c>
      <c r="F82">
        <v>4</v>
      </c>
      <c r="G82">
        <v>2</v>
      </c>
      <c r="H82">
        <v>9.9999999999999995E-7</v>
      </c>
      <c r="I82">
        <f>LOG(1/H82)</f>
        <v>6</v>
      </c>
      <c r="J82">
        <v>10</v>
      </c>
      <c r="K82">
        <f>AVERAGE(F82,G82)</f>
        <v>3</v>
      </c>
      <c r="L82">
        <f>K82/(H82*(J82/1000))</f>
        <v>300000000</v>
      </c>
    </row>
    <row r="83" spans="1:12">
      <c r="A83" t="s">
        <v>14</v>
      </c>
      <c r="B83" t="s">
        <v>15</v>
      </c>
      <c r="C83">
        <v>5</v>
      </c>
      <c r="D83" s="1" t="s">
        <v>16</v>
      </c>
      <c r="E83" s="1">
        <v>2</v>
      </c>
      <c r="F83">
        <v>2</v>
      </c>
      <c r="G83">
        <v>2</v>
      </c>
      <c r="H83">
        <v>9.9999999999999995E-7</v>
      </c>
      <c r="I83">
        <f>LOG(1/H83)</f>
        <v>6</v>
      </c>
      <c r="J83">
        <v>10</v>
      </c>
      <c r="K83">
        <f>AVERAGE(F83,G83)</f>
        <v>2</v>
      </c>
      <c r="L83">
        <f>K83/(H83*(J83/1000))</f>
        <v>200000000</v>
      </c>
    </row>
    <row r="84" spans="1:12">
      <c r="A84" t="s">
        <v>14</v>
      </c>
      <c r="B84" t="s">
        <v>15</v>
      </c>
      <c r="C84">
        <v>5</v>
      </c>
      <c r="D84" s="1" t="s">
        <v>16</v>
      </c>
      <c r="E84" s="1">
        <v>3</v>
      </c>
      <c r="F84">
        <v>27</v>
      </c>
      <c r="G84" s="5">
        <v>30</v>
      </c>
      <c r="H84">
        <v>1.0000000000000001E-5</v>
      </c>
      <c r="I84">
        <f>LOG(1/H84)</f>
        <v>5</v>
      </c>
      <c r="J84">
        <v>10</v>
      </c>
      <c r="K84">
        <f>AVERAGE(F84,G84)</f>
        <v>28.5</v>
      </c>
      <c r="L84">
        <f>K84/(H84*(J84/1000))</f>
        <v>285000000</v>
      </c>
    </row>
    <row r="85" spans="1:12">
      <c r="A85" t="s">
        <v>14</v>
      </c>
      <c r="B85" t="s">
        <v>15</v>
      </c>
      <c r="C85">
        <v>5</v>
      </c>
      <c r="D85" s="1" t="s">
        <v>16</v>
      </c>
      <c r="E85" s="1">
        <v>4</v>
      </c>
      <c r="F85">
        <v>22</v>
      </c>
      <c r="G85" s="5">
        <v>30</v>
      </c>
      <c r="H85">
        <v>1.0000000000000001E-5</v>
      </c>
      <c r="I85">
        <f>LOG(1/H85)</f>
        <v>5</v>
      </c>
      <c r="J85">
        <v>10</v>
      </c>
      <c r="K85">
        <f>AVERAGE(F85,G85)</f>
        <v>26</v>
      </c>
      <c r="L85">
        <f>K85/(H85*(J85/1000))</f>
        <v>259999999.99999997</v>
      </c>
    </row>
    <row r="86" spans="1:12">
      <c r="A86" t="s">
        <v>14</v>
      </c>
      <c r="B86" t="s">
        <v>15</v>
      </c>
      <c r="C86">
        <v>5</v>
      </c>
      <c r="D86" s="1" t="s">
        <v>16</v>
      </c>
      <c r="E86" s="1">
        <v>5</v>
      </c>
      <c r="F86">
        <v>1</v>
      </c>
      <c r="G86">
        <v>4</v>
      </c>
      <c r="H86">
        <v>9.9999999999999995E-7</v>
      </c>
      <c r="I86">
        <f>LOG(1/H86)</f>
        <v>6</v>
      </c>
      <c r="J86">
        <v>10</v>
      </c>
      <c r="K86">
        <f>AVERAGE(F86,G86)</f>
        <v>2.5</v>
      </c>
      <c r="L86">
        <f>K86/(H86*(J86/1000))</f>
        <v>250000000</v>
      </c>
    </row>
    <row r="87" spans="1:12">
      <c r="A87" t="s">
        <v>14</v>
      </c>
      <c r="B87" t="s">
        <v>15</v>
      </c>
      <c r="C87">
        <v>5</v>
      </c>
      <c r="D87" s="1" t="s">
        <v>16</v>
      </c>
      <c r="E87" s="1">
        <v>6</v>
      </c>
      <c r="F87">
        <v>1</v>
      </c>
      <c r="G87">
        <v>1</v>
      </c>
      <c r="H87">
        <v>9.9999999999999995E-7</v>
      </c>
      <c r="I87">
        <f>LOG(1/H87)</f>
        <v>6</v>
      </c>
      <c r="J87">
        <v>10</v>
      </c>
      <c r="K87">
        <f>AVERAGE(F87,G87)</f>
        <v>1</v>
      </c>
      <c r="L87">
        <f>K87/(H87*(J87/1000))</f>
        <v>100000000</v>
      </c>
    </row>
    <row r="88" spans="1:12">
      <c r="A88" t="s">
        <v>14</v>
      </c>
      <c r="B88" t="s">
        <v>15</v>
      </c>
      <c r="C88">
        <v>5</v>
      </c>
      <c r="D88" s="1" t="s">
        <v>16</v>
      </c>
      <c r="E88" s="1">
        <v>7</v>
      </c>
      <c r="F88">
        <v>5</v>
      </c>
      <c r="G88">
        <v>2</v>
      </c>
      <c r="H88">
        <v>9.9999999999999995E-7</v>
      </c>
      <c r="I88">
        <f>LOG(1/H88)</f>
        <v>6</v>
      </c>
      <c r="J88">
        <v>10</v>
      </c>
      <c r="K88">
        <f>AVERAGE(F88,G88)</f>
        <v>3.5</v>
      </c>
      <c r="L88">
        <f>K88/(H88*(J88/1000))</f>
        <v>350000000</v>
      </c>
    </row>
    <row r="89" spans="1:12">
      <c r="A89" t="s">
        <v>14</v>
      </c>
      <c r="B89" t="s">
        <v>15</v>
      </c>
      <c r="C89">
        <v>5</v>
      </c>
      <c r="D89" s="1" t="s">
        <v>16</v>
      </c>
      <c r="E89" s="1">
        <v>8</v>
      </c>
      <c r="F89">
        <v>3</v>
      </c>
      <c r="G89">
        <v>1</v>
      </c>
      <c r="H89">
        <v>9.9999999999999995E-7</v>
      </c>
      <c r="I89">
        <f>LOG(1/H89)</f>
        <v>6</v>
      </c>
      <c r="J89">
        <v>10</v>
      </c>
      <c r="K89">
        <f>AVERAGE(F89,G89)</f>
        <v>2</v>
      </c>
      <c r="L89">
        <f>K89/(H89*(J89/1000))</f>
        <v>200000000</v>
      </c>
    </row>
    <row r="90" spans="1:12">
      <c r="A90" t="s">
        <v>14</v>
      </c>
      <c r="B90" t="s">
        <v>15</v>
      </c>
      <c r="C90">
        <v>5</v>
      </c>
      <c r="D90" s="1" t="s">
        <v>16</v>
      </c>
      <c r="E90" s="1">
        <v>9</v>
      </c>
      <c r="F90">
        <v>5</v>
      </c>
      <c r="G90">
        <v>4</v>
      </c>
      <c r="H90">
        <v>9.9999999999999995E-7</v>
      </c>
      <c r="I90">
        <f>LOG(1/H90)</f>
        <v>6</v>
      </c>
      <c r="J90">
        <v>10</v>
      </c>
      <c r="K90">
        <f>AVERAGE(F90,G90)</f>
        <v>4.5</v>
      </c>
      <c r="L90">
        <f>K90/(H90*(J90/1000))</f>
        <v>450000000</v>
      </c>
    </row>
    <row r="91" spans="1:12">
      <c r="A91" t="s">
        <v>14</v>
      </c>
      <c r="B91" t="s">
        <v>15</v>
      </c>
      <c r="C91">
        <v>5</v>
      </c>
      <c r="D91" s="1" t="s">
        <v>16</v>
      </c>
      <c r="E91" s="1">
        <v>10</v>
      </c>
      <c r="F91">
        <v>12</v>
      </c>
      <c r="G91" s="5">
        <v>30</v>
      </c>
      <c r="H91">
        <v>1.0000000000000001E-5</v>
      </c>
      <c r="I91">
        <f>LOG(1/H91)</f>
        <v>5</v>
      </c>
      <c r="J91">
        <v>10</v>
      </c>
      <c r="K91">
        <f>AVERAGE(F91,G91)</f>
        <v>21</v>
      </c>
      <c r="L91">
        <f>K91/(H91*(J91/1000))</f>
        <v>209999999.99999997</v>
      </c>
    </row>
    <row r="92" spans="1:12">
      <c r="A92" t="s">
        <v>14</v>
      </c>
      <c r="B92" t="s">
        <v>15</v>
      </c>
      <c r="C92">
        <v>5.5</v>
      </c>
      <c r="D92" s="1" t="s">
        <v>16</v>
      </c>
      <c r="E92" s="1">
        <v>1</v>
      </c>
      <c r="F92">
        <v>11</v>
      </c>
      <c r="G92" s="5">
        <v>30</v>
      </c>
      <c r="H92">
        <v>1.0000000000000001E-5</v>
      </c>
      <c r="I92">
        <f>LOG(1/H92)</f>
        <v>5</v>
      </c>
      <c r="J92">
        <v>10</v>
      </c>
      <c r="K92">
        <f>AVERAGE(F92,G92)</f>
        <v>20.5</v>
      </c>
      <c r="L92">
        <f>K92/(H92*(J92/1000))</f>
        <v>204999999.99999997</v>
      </c>
    </row>
    <row r="93" spans="1:12">
      <c r="A93" t="s">
        <v>14</v>
      </c>
      <c r="B93" t="s">
        <v>15</v>
      </c>
      <c r="C93">
        <v>5.5</v>
      </c>
      <c r="D93" s="1" t="s">
        <v>16</v>
      </c>
      <c r="E93" s="1">
        <v>2</v>
      </c>
      <c r="F93">
        <v>11</v>
      </c>
      <c r="G93">
        <v>12</v>
      </c>
      <c r="H93">
        <v>1.0000000000000001E-5</v>
      </c>
      <c r="I93">
        <f>LOG(1/H93)</f>
        <v>5</v>
      </c>
      <c r="J93">
        <v>10</v>
      </c>
      <c r="K93">
        <f>AVERAGE(F93,G93)</f>
        <v>11.5</v>
      </c>
      <c r="L93">
        <f>K93/(H93*(J93/1000))</f>
        <v>114999999.99999999</v>
      </c>
    </row>
    <row r="94" spans="1:12">
      <c r="A94" t="s">
        <v>14</v>
      </c>
      <c r="B94" t="s">
        <v>15</v>
      </c>
      <c r="C94">
        <v>5.5</v>
      </c>
      <c r="D94" s="1" t="s">
        <v>16</v>
      </c>
      <c r="E94" s="1">
        <v>3</v>
      </c>
      <c r="F94">
        <v>5</v>
      </c>
      <c r="G94">
        <v>2</v>
      </c>
      <c r="H94">
        <v>9.9999999999999995E-7</v>
      </c>
      <c r="I94">
        <f>LOG(1/H94)</f>
        <v>6</v>
      </c>
      <c r="J94">
        <v>10</v>
      </c>
      <c r="K94">
        <f>AVERAGE(F94,G94)</f>
        <v>3.5</v>
      </c>
      <c r="L94">
        <f>K94/(H94*(J94/1000))</f>
        <v>350000000</v>
      </c>
    </row>
    <row r="95" spans="1:12">
      <c r="A95" t="s">
        <v>14</v>
      </c>
      <c r="B95" t="s">
        <v>15</v>
      </c>
      <c r="C95">
        <v>5.5</v>
      </c>
      <c r="D95" s="1" t="s">
        <v>16</v>
      </c>
      <c r="E95" s="1">
        <v>4</v>
      </c>
      <c r="F95">
        <v>27</v>
      </c>
      <c r="G95">
        <v>21</v>
      </c>
      <c r="H95">
        <v>1E-4</v>
      </c>
      <c r="I95">
        <f>LOG(1/H95)</f>
        <v>4</v>
      </c>
      <c r="J95">
        <v>10</v>
      </c>
      <c r="K95">
        <f>AVERAGE(F95,G95)</f>
        <v>24</v>
      </c>
      <c r="L95">
        <f>K95/(H95*(J95/1000))</f>
        <v>23999999.999999996</v>
      </c>
    </row>
    <row r="96" spans="1:12">
      <c r="A96" t="s">
        <v>14</v>
      </c>
      <c r="B96" t="s">
        <v>15</v>
      </c>
      <c r="C96">
        <v>5.5</v>
      </c>
      <c r="D96" s="1" t="s">
        <v>16</v>
      </c>
      <c r="E96" s="1">
        <v>5</v>
      </c>
      <c r="F96">
        <v>9</v>
      </c>
      <c r="G96">
        <v>9</v>
      </c>
      <c r="H96">
        <v>1.0000000000000001E-5</v>
      </c>
      <c r="I96">
        <f>LOG(1/H96)</f>
        <v>5</v>
      </c>
      <c r="J96">
        <v>10</v>
      </c>
      <c r="K96">
        <f>AVERAGE(F96,G96)</f>
        <v>9</v>
      </c>
      <c r="L96">
        <f>K96/(H96*(J96/1000))</f>
        <v>89999999.999999985</v>
      </c>
    </row>
    <row r="97" spans="1:12">
      <c r="A97" t="s">
        <v>14</v>
      </c>
      <c r="B97" t="s">
        <v>15</v>
      </c>
      <c r="C97">
        <v>5.5</v>
      </c>
      <c r="D97" s="1" t="s">
        <v>16</v>
      </c>
      <c r="E97" s="1">
        <v>6</v>
      </c>
      <c r="F97">
        <v>17</v>
      </c>
      <c r="G97">
        <v>7</v>
      </c>
      <c r="H97">
        <v>1.0000000000000001E-5</v>
      </c>
      <c r="I97">
        <f>LOG(1/H97)</f>
        <v>5</v>
      </c>
      <c r="J97">
        <v>10</v>
      </c>
      <c r="K97">
        <f>AVERAGE(F97,G97)</f>
        <v>12</v>
      </c>
      <c r="L97">
        <f>K97/(H97*(J97/1000))</f>
        <v>119999999.99999999</v>
      </c>
    </row>
    <row r="98" spans="1:12">
      <c r="A98" t="s">
        <v>14</v>
      </c>
      <c r="B98" t="s">
        <v>15</v>
      </c>
      <c r="C98">
        <v>5.5</v>
      </c>
      <c r="D98" s="1" t="s">
        <v>16</v>
      </c>
      <c r="E98" s="1">
        <v>7</v>
      </c>
      <c r="F98">
        <v>5</v>
      </c>
      <c r="G98">
        <v>4</v>
      </c>
      <c r="H98">
        <v>9.9999999999999995E-7</v>
      </c>
      <c r="I98">
        <f>LOG(1/H98)</f>
        <v>6</v>
      </c>
      <c r="J98">
        <v>10</v>
      </c>
      <c r="K98">
        <f>AVERAGE(F98,G98)</f>
        <v>4.5</v>
      </c>
      <c r="L98">
        <f>K98/(H98*(J98/1000))</f>
        <v>450000000</v>
      </c>
    </row>
    <row r="99" spans="1:12">
      <c r="A99" t="s">
        <v>14</v>
      </c>
      <c r="B99" t="s">
        <v>15</v>
      </c>
      <c r="C99">
        <v>5.5</v>
      </c>
      <c r="D99" s="1" t="s">
        <v>16</v>
      </c>
      <c r="E99" s="1">
        <v>8</v>
      </c>
      <c r="F99">
        <v>3</v>
      </c>
      <c r="G99">
        <v>2</v>
      </c>
      <c r="H99">
        <v>9.9999999999999995E-7</v>
      </c>
      <c r="I99">
        <f>LOG(1/H99)</f>
        <v>6</v>
      </c>
      <c r="J99">
        <v>10</v>
      </c>
      <c r="K99">
        <f>AVERAGE(F99,G99)</f>
        <v>2.5</v>
      </c>
      <c r="L99">
        <f>K99/(H99*(J99/1000))</f>
        <v>250000000</v>
      </c>
    </row>
    <row r="100" spans="1:12">
      <c r="A100" t="s">
        <v>14</v>
      </c>
      <c r="B100" t="s">
        <v>15</v>
      </c>
      <c r="C100">
        <v>5.5</v>
      </c>
      <c r="D100" s="1" t="s">
        <v>16</v>
      </c>
      <c r="E100" s="1">
        <v>9</v>
      </c>
      <c r="F100">
        <v>6</v>
      </c>
      <c r="G100">
        <v>3</v>
      </c>
      <c r="H100">
        <v>9.9999999999999995E-7</v>
      </c>
      <c r="I100">
        <f>LOG(1/H100)</f>
        <v>6</v>
      </c>
      <c r="J100">
        <v>10</v>
      </c>
      <c r="K100">
        <f>AVERAGE(F100,G100)</f>
        <v>4.5</v>
      </c>
      <c r="L100">
        <f>K100/(H100*(J100/1000))</f>
        <v>450000000</v>
      </c>
    </row>
    <row r="101" spans="1:12">
      <c r="A101" t="s">
        <v>14</v>
      </c>
      <c r="B101" t="s">
        <v>15</v>
      </c>
      <c r="C101">
        <v>5.5</v>
      </c>
      <c r="D101" s="1" t="s">
        <v>16</v>
      </c>
      <c r="E101" s="1">
        <v>10</v>
      </c>
      <c r="F101">
        <v>2</v>
      </c>
      <c r="G101">
        <v>1</v>
      </c>
      <c r="H101">
        <v>9.9999999999999995E-7</v>
      </c>
      <c r="I101">
        <f>LOG(1/H101)</f>
        <v>6</v>
      </c>
      <c r="J101">
        <v>10</v>
      </c>
      <c r="K101">
        <f>AVERAGE(F101,G101)</f>
        <v>1.5</v>
      </c>
      <c r="L101">
        <f>K101/(H101*(J101/1000))</f>
        <v>150000000</v>
      </c>
    </row>
    <row r="102" spans="1:12">
      <c r="A102" t="s">
        <v>14</v>
      </c>
      <c r="B102" t="s">
        <v>15</v>
      </c>
      <c r="C102">
        <v>6</v>
      </c>
      <c r="D102" s="1" t="s">
        <v>16</v>
      </c>
      <c r="E102" s="1">
        <v>1</v>
      </c>
      <c r="F102" s="4">
        <v>3</v>
      </c>
      <c r="G102">
        <v>5</v>
      </c>
      <c r="H102">
        <v>9.9999999999999995E-7</v>
      </c>
      <c r="I102">
        <f>LOG(1/H102)</f>
        <v>6</v>
      </c>
      <c r="J102">
        <v>10</v>
      </c>
      <c r="K102">
        <f>AVERAGE(F102,G102)</f>
        <v>4</v>
      </c>
      <c r="L102">
        <f>K102/(H102*(J102/1000))</f>
        <v>400000000</v>
      </c>
    </row>
    <row r="103" spans="1:12">
      <c r="A103" t="s">
        <v>14</v>
      </c>
      <c r="B103" t="s">
        <v>15</v>
      </c>
      <c r="C103">
        <v>6</v>
      </c>
      <c r="D103" s="1" t="s">
        <v>16</v>
      </c>
      <c r="E103" s="1">
        <v>2</v>
      </c>
      <c r="F103">
        <v>3</v>
      </c>
      <c r="G103">
        <v>2</v>
      </c>
      <c r="H103">
        <v>9.9999999999999995E-7</v>
      </c>
      <c r="I103">
        <f>LOG(1/H103)</f>
        <v>6</v>
      </c>
      <c r="J103">
        <v>10</v>
      </c>
      <c r="K103">
        <f>AVERAGE(F103,G103)</f>
        <v>2.5</v>
      </c>
      <c r="L103">
        <f>K103/(H103*(J103/1000))</f>
        <v>250000000</v>
      </c>
    </row>
    <row r="104" spans="1:12">
      <c r="A104" t="s">
        <v>14</v>
      </c>
      <c r="B104" t="s">
        <v>15</v>
      </c>
      <c r="C104">
        <v>6</v>
      </c>
      <c r="D104" s="1" t="s">
        <v>16</v>
      </c>
      <c r="E104" s="1">
        <v>3</v>
      </c>
      <c r="F104">
        <v>2</v>
      </c>
      <c r="G104">
        <v>7</v>
      </c>
      <c r="H104">
        <v>1.0000000000000001E-5</v>
      </c>
      <c r="I104">
        <f>LOG(1/H104)</f>
        <v>5</v>
      </c>
      <c r="J104">
        <v>10</v>
      </c>
      <c r="K104">
        <f>AVERAGE(F104,G104)</f>
        <v>4.5</v>
      </c>
      <c r="L104">
        <f>K104/(H104*(J104/1000))</f>
        <v>44999999.999999993</v>
      </c>
    </row>
    <row r="105" spans="1:12">
      <c r="A105" t="s">
        <v>14</v>
      </c>
      <c r="B105" t="s">
        <v>15</v>
      </c>
      <c r="C105">
        <v>6</v>
      </c>
      <c r="D105" s="1" t="s">
        <v>16</v>
      </c>
      <c r="E105" s="1">
        <v>4</v>
      </c>
      <c r="F105">
        <v>4</v>
      </c>
      <c r="G105">
        <v>5</v>
      </c>
      <c r="H105">
        <v>9.9999999999999995E-7</v>
      </c>
      <c r="I105">
        <f>LOG(1/H105)</f>
        <v>6</v>
      </c>
      <c r="J105">
        <v>10</v>
      </c>
      <c r="K105">
        <f>AVERAGE(F105,G105)</f>
        <v>4.5</v>
      </c>
      <c r="L105">
        <f>K105/(H105*(J105/1000))</f>
        <v>450000000</v>
      </c>
    </row>
    <row r="106" spans="1:12">
      <c r="A106" t="s">
        <v>14</v>
      </c>
      <c r="B106" t="s">
        <v>15</v>
      </c>
      <c r="C106">
        <v>6</v>
      </c>
      <c r="D106" s="1" t="s">
        <v>16</v>
      </c>
      <c r="E106" s="1">
        <v>5</v>
      </c>
      <c r="F106">
        <v>2</v>
      </c>
      <c r="G106">
        <v>2</v>
      </c>
      <c r="H106">
        <v>9.9999999999999995E-7</v>
      </c>
      <c r="I106">
        <f>LOG(1/H106)</f>
        <v>6</v>
      </c>
      <c r="J106">
        <v>10</v>
      </c>
      <c r="K106">
        <f>AVERAGE(F106,G106)</f>
        <v>2</v>
      </c>
      <c r="L106">
        <f>K106/(H106*(J106/1000))</f>
        <v>200000000</v>
      </c>
    </row>
    <row r="107" spans="1:12">
      <c r="A107" t="s">
        <v>14</v>
      </c>
      <c r="B107" t="s">
        <v>15</v>
      </c>
      <c r="C107">
        <v>6</v>
      </c>
      <c r="D107" s="1" t="s">
        <v>16</v>
      </c>
      <c r="E107" s="1">
        <v>6</v>
      </c>
      <c r="F107">
        <v>3</v>
      </c>
      <c r="G107">
        <v>1</v>
      </c>
      <c r="H107">
        <v>9.9999999999999995E-7</v>
      </c>
      <c r="I107">
        <f>LOG(1/H107)</f>
        <v>6</v>
      </c>
      <c r="J107">
        <v>10</v>
      </c>
      <c r="K107">
        <f>AVERAGE(F107,G107)</f>
        <v>2</v>
      </c>
      <c r="L107">
        <f>K107/(H107*(J107/1000))</f>
        <v>200000000</v>
      </c>
    </row>
    <row r="108" spans="1:12">
      <c r="A108" t="s">
        <v>14</v>
      </c>
      <c r="B108" t="s">
        <v>15</v>
      </c>
      <c r="C108">
        <v>6</v>
      </c>
      <c r="D108" s="1" t="s">
        <v>16</v>
      </c>
      <c r="E108" s="1">
        <v>7</v>
      </c>
      <c r="F108">
        <v>4</v>
      </c>
      <c r="G108">
        <v>5</v>
      </c>
      <c r="H108">
        <v>9.9999999999999995E-7</v>
      </c>
      <c r="I108">
        <f>LOG(1/H108)</f>
        <v>6</v>
      </c>
      <c r="J108">
        <v>10</v>
      </c>
      <c r="K108">
        <f>AVERAGE(F108,G108)</f>
        <v>4.5</v>
      </c>
      <c r="L108">
        <f>K108/(H108*(J108/1000))</f>
        <v>450000000</v>
      </c>
    </row>
    <row r="109" spans="1:12">
      <c r="A109" t="s">
        <v>14</v>
      </c>
      <c r="B109" t="s">
        <v>15</v>
      </c>
      <c r="C109">
        <v>6</v>
      </c>
      <c r="D109" s="1" t="s">
        <v>16</v>
      </c>
      <c r="E109" s="1">
        <v>8</v>
      </c>
      <c r="F109">
        <v>14</v>
      </c>
      <c r="G109" s="5">
        <v>10</v>
      </c>
      <c r="H109">
        <v>1.0000000000000001E-5</v>
      </c>
      <c r="I109">
        <f>LOG(1/H109)</f>
        <v>5</v>
      </c>
      <c r="J109">
        <v>10</v>
      </c>
      <c r="K109">
        <f>AVERAGE(F109,G109)</f>
        <v>12</v>
      </c>
      <c r="L109">
        <f>K109/(H109*(J109/1000))</f>
        <v>119999999.99999999</v>
      </c>
    </row>
    <row r="110" spans="1:12">
      <c r="A110" t="s">
        <v>14</v>
      </c>
      <c r="B110" t="s">
        <v>15</v>
      </c>
      <c r="C110">
        <v>6</v>
      </c>
      <c r="D110" s="1" t="s">
        <v>16</v>
      </c>
      <c r="E110" s="1">
        <v>9</v>
      </c>
      <c r="F110">
        <v>6</v>
      </c>
      <c r="G110">
        <v>2</v>
      </c>
      <c r="H110">
        <v>9.9999999999999995E-7</v>
      </c>
      <c r="I110">
        <f>LOG(1/H110)</f>
        <v>6</v>
      </c>
      <c r="J110">
        <v>10</v>
      </c>
      <c r="K110">
        <f>AVERAGE(F110,G110)</f>
        <v>4</v>
      </c>
      <c r="L110">
        <f>K110/(H110*(J110/1000))</f>
        <v>400000000</v>
      </c>
    </row>
    <row r="111" spans="1:12">
      <c r="A111" t="s">
        <v>14</v>
      </c>
      <c r="B111" t="s">
        <v>15</v>
      </c>
      <c r="C111">
        <v>6</v>
      </c>
      <c r="D111" s="1" t="s">
        <v>16</v>
      </c>
      <c r="E111" s="1">
        <v>10</v>
      </c>
      <c r="F111">
        <v>3</v>
      </c>
      <c r="G111">
        <v>2</v>
      </c>
      <c r="H111">
        <v>9.9999999999999995E-7</v>
      </c>
      <c r="I111">
        <f>LOG(1/H111)</f>
        <v>6</v>
      </c>
      <c r="J111">
        <v>10</v>
      </c>
      <c r="K111">
        <f>AVERAGE(F111,G111)</f>
        <v>2.5</v>
      </c>
      <c r="L111">
        <f>K111/(H111*(J111/1000))</f>
        <v>250000000</v>
      </c>
    </row>
    <row r="112" spans="1:12">
      <c r="A112" t="s">
        <v>14</v>
      </c>
      <c r="B112" t="s">
        <v>15</v>
      </c>
      <c r="C112">
        <v>6.5</v>
      </c>
      <c r="D112" s="1" t="s">
        <v>16</v>
      </c>
      <c r="E112" s="1">
        <v>1</v>
      </c>
      <c r="F112">
        <v>8</v>
      </c>
      <c r="G112">
        <v>2</v>
      </c>
      <c r="H112">
        <v>9.9999999999999995E-7</v>
      </c>
      <c r="I112">
        <f>LOG(1/H112)</f>
        <v>6</v>
      </c>
      <c r="J112">
        <v>10</v>
      </c>
      <c r="K112">
        <f>AVERAGE(F112,G112)</f>
        <v>5</v>
      </c>
      <c r="L112">
        <f>K112/(H112*(J112/1000))</f>
        <v>500000000</v>
      </c>
    </row>
    <row r="113" spans="1:12">
      <c r="A113" t="s">
        <v>14</v>
      </c>
      <c r="B113" t="s">
        <v>15</v>
      </c>
      <c r="C113">
        <v>6.5</v>
      </c>
      <c r="D113" s="1" t="s">
        <v>16</v>
      </c>
      <c r="E113" s="1">
        <v>2</v>
      </c>
      <c r="F113">
        <v>11</v>
      </c>
      <c r="G113">
        <v>14</v>
      </c>
      <c r="H113">
        <v>1.0000000000000001E-5</v>
      </c>
      <c r="I113">
        <f>LOG(1/H113)</f>
        <v>5</v>
      </c>
      <c r="J113">
        <v>10</v>
      </c>
      <c r="K113">
        <f>AVERAGE(F113,G113)</f>
        <v>12.5</v>
      </c>
      <c r="L113">
        <f>K113/(H113*(J113/1000))</f>
        <v>124999999.99999999</v>
      </c>
    </row>
    <row r="114" spans="1:12">
      <c r="A114" t="s">
        <v>14</v>
      </c>
      <c r="B114" t="s">
        <v>15</v>
      </c>
      <c r="C114">
        <v>6.5</v>
      </c>
      <c r="D114" s="1" t="s">
        <v>16</v>
      </c>
      <c r="E114" s="1">
        <v>3</v>
      </c>
      <c r="F114">
        <v>7</v>
      </c>
      <c r="G114">
        <v>7</v>
      </c>
      <c r="H114">
        <v>1.0000000000000001E-5</v>
      </c>
      <c r="I114">
        <f>LOG(1/H114)</f>
        <v>5</v>
      </c>
      <c r="J114">
        <v>10</v>
      </c>
      <c r="K114">
        <f>AVERAGE(F114,G114)</f>
        <v>7</v>
      </c>
      <c r="L114">
        <f>K114/(H114*(J114/1000))</f>
        <v>70000000</v>
      </c>
    </row>
    <row r="115" spans="1:12">
      <c r="A115" t="s">
        <v>14</v>
      </c>
      <c r="B115" t="s">
        <v>15</v>
      </c>
      <c r="C115">
        <v>6.5</v>
      </c>
      <c r="D115" s="1" t="s">
        <v>16</v>
      </c>
      <c r="E115" s="1">
        <v>4</v>
      </c>
      <c r="F115">
        <v>5</v>
      </c>
      <c r="G115">
        <v>3</v>
      </c>
      <c r="H115">
        <v>9.9999999999999995E-7</v>
      </c>
      <c r="I115">
        <f>LOG(1/H115)</f>
        <v>6</v>
      </c>
      <c r="J115">
        <v>10</v>
      </c>
      <c r="K115">
        <f>AVERAGE(F115,G115)</f>
        <v>4</v>
      </c>
      <c r="L115">
        <f>K115/(H115*(J115/1000))</f>
        <v>400000000</v>
      </c>
    </row>
    <row r="116" spans="1:12">
      <c r="A116" t="s">
        <v>14</v>
      </c>
      <c r="B116" t="s">
        <v>15</v>
      </c>
      <c r="C116">
        <v>6.5</v>
      </c>
      <c r="D116" s="1" t="s">
        <v>16</v>
      </c>
      <c r="E116" s="1">
        <v>5</v>
      </c>
      <c r="F116">
        <v>5</v>
      </c>
      <c r="G116">
        <v>4</v>
      </c>
      <c r="H116">
        <v>9.9999999999999995E-7</v>
      </c>
      <c r="I116">
        <f>LOG(1/H116)</f>
        <v>6</v>
      </c>
      <c r="J116">
        <v>10</v>
      </c>
      <c r="K116">
        <f>AVERAGE(F116,G116)</f>
        <v>4.5</v>
      </c>
      <c r="L116">
        <f>K116/(H116*(J116/1000))</f>
        <v>450000000</v>
      </c>
    </row>
    <row r="117" spans="1:12">
      <c r="A117" t="s">
        <v>14</v>
      </c>
      <c r="B117" t="s">
        <v>15</v>
      </c>
      <c r="C117">
        <v>6.5</v>
      </c>
      <c r="D117" s="1" t="s">
        <v>16</v>
      </c>
      <c r="E117" s="1">
        <v>6</v>
      </c>
      <c r="F117">
        <v>14</v>
      </c>
      <c r="G117">
        <v>15</v>
      </c>
      <c r="H117">
        <v>1E-4</v>
      </c>
      <c r="I117">
        <f>LOG(1/H117)</f>
        <v>4</v>
      </c>
      <c r="J117">
        <v>10</v>
      </c>
      <c r="K117">
        <f>AVERAGE(F117,G117)</f>
        <v>14.5</v>
      </c>
      <c r="L117">
        <f>K117/(H117*(J117/1000))</f>
        <v>14499999.999999998</v>
      </c>
    </row>
    <row r="118" spans="1:12">
      <c r="A118" t="s">
        <v>14</v>
      </c>
      <c r="B118" t="s">
        <v>15</v>
      </c>
      <c r="C118">
        <v>6.5</v>
      </c>
      <c r="D118" s="1" t="s">
        <v>16</v>
      </c>
      <c r="E118" s="1">
        <v>7</v>
      </c>
      <c r="F118">
        <v>41</v>
      </c>
      <c r="G118">
        <v>35</v>
      </c>
      <c r="H118">
        <v>1.0000000000000001E-5</v>
      </c>
      <c r="I118">
        <f>LOG(1/H118)</f>
        <v>5</v>
      </c>
      <c r="J118">
        <v>10</v>
      </c>
      <c r="K118">
        <f>AVERAGE(F118,G118)</f>
        <v>38</v>
      </c>
      <c r="L118">
        <f>K118/(H118*(J118/1000))</f>
        <v>379999999.99999994</v>
      </c>
    </row>
    <row r="119" spans="1:12">
      <c r="A119" t="s">
        <v>14</v>
      </c>
      <c r="B119" t="s">
        <v>15</v>
      </c>
      <c r="C119">
        <v>6.5</v>
      </c>
      <c r="D119" s="1" t="s">
        <v>16</v>
      </c>
      <c r="E119" s="1">
        <v>8</v>
      </c>
      <c r="F119">
        <v>31</v>
      </c>
      <c r="G119">
        <v>20</v>
      </c>
      <c r="H119">
        <v>1.0000000000000001E-5</v>
      </c>
      <c r="I119">
        <f>LOG(1/H119)</f>
        <v>5</v>
      </c>
      <c r="J119">
        <v>10</v>
      </c>
      <c r="K119">
        <f>AVERAGE(F119,G119)</f>
        <v>25.5</v>
      </c>
      <c r="L119">
        <f>K119/(H119*(J119/1000))</f>
        <v>254999999.99999997</v>
      </c>
    </row>
    <row r="120" spans="1:12">
      <c r="A120" t="s">
        <v>14</v>
      </c>
      <c r="B120" t="s">
        <v>15</v>
      </c>
      <c r="C120">
        <v>6.5</v>
      </c>
      <c r="D120" s="1" t="s">
        <v>16</v>
      </c>
      <c r="E120" s="1">
        <v>9</v>
      </c>
      <c r="F120">
        <v>3</v>
      </c>
      <c r="G120">
        <v>2</v>
      </c>
      <c r="H120">
        <v>9.9999999999999995E-7</v>
      </c>
      <c r="I120">
        <f>LOG(1/H120)</f>
        <v>6</v>
      </c>
      <c r="J120">
        <v>10</v>
      </c>
      <c r="K120">
        <f>AVERAGE(F120,G120)</f>
        <v>2.5</v>
      </c>
      <c r="L120">
        <f>K120/(H120*(J120/1000))</f>
        <v>250000000</v>
      </c>
    </row>
    <row r="121" spans="1:12">
      <c r="A121" t="s">
        <v>14</v>
      </c>
      <c r="B121" t="s">
        <v>15</v>
      </c>
      <c r="C121">
        <v>6.5</v>
      </c>
      <c r="D121" s="1" t="s">
        <v>16</v>
      </c>
      <c r="E121" s="1">
        <v>10</v>
      </c>
      <c r="F121">
        <v>8</v>
      </c>
      <c r="G121">
        <v>6</v>
      </c>
      <c r="H121">
        <v>1.0000000000000001E-5</v>
      </c>
      <c r="I121">
        <f>LOG(1/H121)</f>
        <v>5</v>
      </c>
      <c r="J121">
        <v>10</v>
      </c>
      <c r="K121">
        <f>AVERAGE(F121,G121)</f>
        <v>7</v>
      </c>
      <c r="L121">
        <f>K121/(H121*(J121/1000))</f>
        <v>70000000</v>
      </c>
    </row>
    <row r="122" spans="1:12">
      <c r="A122" t="s">
        <v>14</v>
      </c>
      <c r="B122" t="s">
        <v>15</v>
      </c>
      <c r="C122">
        <v>7</v>
      </c>
      <c r="D122" s="1" t="s">
        <v>16</v>
      </c>
      <c r="E122" s="1">
        <v>1</v>
      </c>
      <c r="F122">
        <v>2</v>
      </c>
      <c r="G122">
        <v>5</v>
      </c>
      <c r="H122">
        <v>9.9999999999999995E-7</v>
      </c>
      <c r="I122">
        <f>LOG(1/H122)</f>
        <v>6</v>
      </c>
      <c r="J122">
        <v>10</v>
      </c>
      <c r="K122">
        <f>AVERAGE(F122,G122)</f>
        <v>3.5</v>
      </c>
      <c r="L122">
        <f>K122/(H122*(J122/1000))</f>
        <v>350000000</v>
      </c>
    </row>
    <row r="123" spans="1:12">
      <c r="A123" t="s">
        <v>14</v>
      </c>
      <c r="B123" t="s">
        <v>15</v>
      </c>
      <c r="C123">
        <v>7</v>
      </c>
      <c r="D123" s="1" t="s">
        <v>16</v>
      </c>
      <c r="E123" s="1">
        <v>2</v>
      </c>
      <c r="F123">
        <v>3</v>
      </c>
      <c r="G123">
        <v>1</v>
      </c>
      <c r="H123">
        <v>9.9999999999999995E-7</v>
      </c>
      <c r="I123">
        <f>LOG(1/H123)</f>
        <v>6</v>
      </c>
      <c r="J123">
        <v>10</v>
      </c>
      <c r="K123">
        <f>AVERAGE(F123,G123)</f>
        <v>2</v>
      </c>
      <c r="L123">
        <f>K123/(H123*(J123/1000))</f>
        <v>200000000</v>
      </c>
    </row>
    <row r="124" spans="1:12">
      <c r="A124" t="s">
        <v>14</v>
      </c>
      <c r="B124" t="s">
        <v>15</v>
      </c>
      <c r="C124">
        <v>7</v>
      </c>
      <c r="D124" s="1" t="s">
        <v>16</v>
      </c>
      <c r="E124" s="1">
        <v>3</v>
      </c>
      <c r="F124">
        <v>6</v>
      </c>
      <c r="G124">
        <v>4</v>
      </c>
      <c r="H124">
        <v>9.9999999999999995E-7</v>
      </c>
      <c r="I124">
        <f>LOG(1/H124)</f>
        <v>6</v>
      </c>
      <c r="J124">
        <v>10</v>
      </c>
      <c r="K124">
        <f>AVERAGE(F124,G124)</f>
        <v>5</v>
      </c>
      <c r="L124">
        <f>K124/(H124*(J124/1000))</f>
        <v>500000000</v>
      </c>
    </row>
    <row r="125" spans="1:12">
      <c r="A125" t="s">
        <v>14</v>
      </c>
      <c r="B125" t="s">
        <v>15</v>
      </c>
      <c r="C125">
        <v>7</v>
      </c>
      <c r="D125" s="1" t="s">
        <v>16</v>
      </c>
      <c r="E125" s="1">
        <v>4</v>
      </c>
      <c r="F125">
        <v>3</v>
      </c>
      <c r="G125">
        <v>3</v>
      </c>
      <c r="H125">
        <v>9.9999999999999995E-7</v>
      </c>
      <c r="I125">
        <f>LOG(1/H125)</f>
        <v>6</v>
      </c>
      <c r="J125">
        <v>10</v>
      </c>
      <c r="K125">
        <f>AVERAGE(F125,G125)</f>
        <v>3</v>
      </c>
      <c r="L125">
        <f>K125/(H125*(J125/1000))</f>
        <v>300000000</v>
      </c>
    </row>
    <row r="126" spans="1:12">
      <c r="A126" t="s">
        <v>14</v>
      </c>
      <c r="B126" t="s">
        <v>15</v>
      </c>
      <c r="C126">
        <v>7</v>
      </c>
      <c r="D126" s="1" t="s">
        <v>16</v>
      </c>
      <c r="E126" s="1">
        <v>5</v>
      </c>
      <c r="F126">
        <v>3</v>
      </c>
      <c r="G126">
        <v>4</v>
      </c>
      <c r="H126">
        <v>9.9999999999999995E-7</v>
      </c>
      <c r="I126">
        <f>LOG(1/H126)</f>
        <v>6</v>
      </c>
      <c r="J126">
        <v>10</v>
      </c>
      <c r="K126">
        <f>AVERAGE(F126,G126)</f>
        <v>3.5</v>
      </c>
      <c r="L126">
        <f>K126/(H126*(J126/1000))</f>
        <v>350000000</v>
      </c>
    </row>
    <row r="127" spans="1:12">
      <c r="A127" t="s">
        <v>14</v>
      </c>
      <c r="B127" t="s">
        <v>15</v>
      </c>
      <c r="C127">
        <v>7</v>
      </c>
      <c r="D127" s="1" t="s">
        <v>16</v>
      </c>
      <c r="E127" s="1">
        <v>6</v>
      </c>
      <c r="F127">
        <v>2</v>
      </c>
      <c r="G127">
        <v>2</v>
      </c>
      <c r="H127">
        <v>9.9999999999999995E-7</v>
      </c>
      <c r="I127">
        <f>LOG(1/H127)</f>
        <v>6</v>
      </c>
      <c r="J127">
        <v>10</v>
      </c>
      <c r="K127">
        <f>AVERAGE(F127,G127)</f>
        <v>2</v>
      </c>
      <c r="L127">
        <f>K127/(H127*(J127/1000))</f>
        <v>200000000</v>
      </c>
    </row>
    <row r="128" spans="1:12">
      <c r="A128" t="s">
        <v>14</v>
      </c>
      <c r="B128" t="s">
        <v>15</v>
      </c>
      <c r="C128">
        <v>7</v>
      </c>
      <c r="D128" s="1" t="s">
        <v>16</v>
      </c>
      <c r="E128" s="1">
        <v>7</v>
      </c>
      <c r="F128">
        <v>3</v>
      </c>
      <c r="G128">
        <v>7</v>
      </c>
      <c r="H128">
        <v>1.0000000000000001E-5</v>
      </c>
      <c r="I128">
        <f>LOG(1/H128)</f>
        <v>5</v>
      </c>
      <c r="J128">
        <v>10</v>
      </c>
      <c r="K128">
        <f>AVERAGE(F128,G128)</f>
        <v>5</v>
      </c>
      <c r="L128">
        <f>K128/(H128*(J128/1000))</f>
        <v>49999999.999999993</v>
      </c>
    </row>
    <row r="129" spans="1:12">
      <c r="A129" t="s">
        <v>14</v>
      </c>
      <c r="B129" t="s">
        <v>15</v>
      </c>
      <c r="C129">
        <v>7</v>
      </c>
      <c r="D129" s="1" t="s">
        <v>16</v>
      </c>
      <c r="E129" s="1">
        <v>8</v>
      </c>
      <c r="F129" s="5">
        <v>10</v>
      </c>
      <c r="G129">
        <v>17</v>
      </c>
      <c r="H129">
        <v>1.0000000000000001E-5</v>
      </c>
      <c r="I129">
        <f>LOG(1/H129)</f>
        <v>5</v>
      </c>
      <c r="J129">
        <v>10</v>
      </c>
      <c r="K129">
        <f>AVERAGE(F129,G129)</f>
        <v>13.5</v>
      </c>
      <c r="L129">
        <f>K129/(H129*(J129/1000))</f>
        <v>135000000</v>
      </c>
    </row>
    <row r="130" spans="1:12">
      <c r="A130" t="s">
        <v>14</v>
      </c>
      <c r="B130" t="s">
        <v>15</v>
      </c>
      <c r="C130">
        <v>7</v>
      </c>
      <c r="D130" s="1" t="s">
        <v>16</v>
      </c>
      <c r="E130" s="1">
        <v>9</v>
      </c>
      <c r="F130">
        <v>3</v>
      </c>
      <c r="G130">
        <v>4</v>
      </c>
      <c r="H130">
        <v>9.9999999999999995E-7</v>
      </c>
      <c r="I130">
        <f>LOG(1/H130)</f>
        <v>6</v>
      </c>
      <c r="J130">
        <v>10</v>
      </c>
      <c r="K130">
        <f>AVERAGE(F130,G130)</f>
        <v>3.5</v>
      </c>
      <c r="L130">
        <f>K130/(H130*(J130/1000))</f>
        <v>350000000</v>
      </c>
    </row>
    <row r="131" spans="1:12">
      <c r="A131" t="s">
        <v>14</v>
      </c>
      <c r="B131" t="s">
        <v>15</v>
      </c>
      <c r="C131">
        <v>7</v>
      </c>
      <c r="D131" s="1" t="s">
        <v>16</v>
      </c>
      <c r="E131" s="1">
        <v>10</v>
      </c>
      <c r="F131">
        <v>10</v>
      </c>
      <c r="G131">
        <v>16</v>
      </c>
      <c r="H131">
        <v>1.0000000000000001E-5</v>
      </c>
      <c r="I131">
        <f>LOG(1/H131)</f>
        <v>5</v>
      </c>
      <c r="J131">
        <v>10</v>
      </c>
      <c r="K131">
        <f>AVERAGE(F131,G131)</f>
        <v>13</v>
      </c>
      <c r="L131">
        <f>K131/(H131*(J131/1000))</f>
        <v>129999999.99999999</v>
      </c>
    </row>
    <row r="132" spans="1:12">
      <c r="A132" t="s">
        <v>14</v>
      </c>
      <c r="B132" t="s">
        <v>15</v>
      </c>
      <c r="C132">
        <v>7.5</v>
      </c>
      <c r="D132" s="1" t="s">
        <v>16</v>
      </c>
      <c r="E132" s="1">
        <v>1</v>
      </c>
      <c r="F132">
        <v>8</v>
      </c>
      <c r="G132">
        <v>4</v>
      </c>
      <c r="H132">
        <v>9.9999999999999995E-7</v>
      </c>
      <c r="I132">
        <f>LOG(1/H132)</f>
        <v>6</v>
      </c>
      <c r="J132">
        <v>10</v>
      </c>
      <c r="K132">
        <f>AVERAGE(F132,G132)</f>
        <v>6</v>
      </c>
      <c r="L132">
        <f>K132/(H132*(J132/1000))</f>
        <v>600000000</v>
      </c>
    </row>
    <row r="133" spans="1:12">
      <c r="A133" t="s">
        <v>14</v>
      </c>
      <c r="B133" t="s">
        <v>15</v>
      </c>
      <c r="C133">
        <v>7.5</v>
      </c>
      <c r="D133" s="1" t="s">
        <v>16</v>
      </c>
      <c r="E133" s="1">
        <v>2</v>
      </c>
      <c r="F133">
        <v>2</v>
      </c>
      <c r="G133">
        <v>4</v>
      </c>
      <c r="H133">
        <v>1.0000000000000001E-5</v>
      </c>
      <c r="I133">
        <f>LOG(1/H133)</f>
        <v>5</v>
      </c>
      <c r="J133">
        <v>10</v>
      </c>
      <c r="K133">
        <f>AVERAGE(F133,G133)</f>
        <v>3</v>
      </c>
      <c r="L133">
        <f>K133/(H133*(J133/1000))</f>
        <v>29999999.999999996</v>
      </c>
    </row>
    <row r="134" spans="1:12">
      <c r="A134" t="s">
        <v>14</v>
      </c>
      <c r="B134" t="s">
        <v>15</v>
      </c>
      <c r="C134">
        <v>7.5</v>
      </c>
      <c r="D134" s="1" t="s">
        <v>16</v>
      </c>
      <c r="E134" s="1">
        <v>3</v>
      </c>
      <c r="F134">
        <v>8</v>
      </c>
      <c r="G134">
        <v>4</v>
      </c>
      <c r="H134">
        <v>1.0000000000000001E-5</v>
      </c>
      <c r="I134">
        <f>LOG(1/H134)</f>
        <v>5</v>
      </c>
      <c r="J134">
        <v>10</v>
      </c>
      <c r="K134">
        <f>AVERAGE(F134,G134)</f>
        <v>6</v>
      </c>
      <c r="L134">
        <f>K134/(H134*(J134/1000))</f>
        <v>59999999.999999993</v>
      </c>
    </row>
    <row r="135" spans="1:12">
      <c r="A135" t="s">
        <v>14</v>
      </c>
      <c r="B135" t="s">
        <v>15</v>
      </c>
      <c r="C135">
        <v>7.5</v>
      </c>
      <c r="D135" s="1" t="s">
        <v>16</v>
      </c>
      <c r="E135" s="1">
        <v>4</v>
      </c>
      <c r="F135">
        <v>2</v>
      </c>
      <c r="G135">
        <v>4</v>
      </c>
      <c r="H135">
        <v>9.9999999999999995E-7</v>
      </c>
      <c r="I135">
        <f>LOG(1/H135)</f>
        <v>6</v>
      </c>
      <c r="J135">
        <v>10</v>
      </c>
      <c r="K135">
        <f>AVERAGE(F135,G135)</f>
        <v>3</v>
      </c>
      <c r="L135">
        <f>K135/(H135*(J135/1000))</f>
        <v>300000000</v>
      </c>
    </row>
    <row r="136" spans="1:12">
      <c r="A136" t="s">
        <v>14</v>
      </c>
      <c r="B136" t="s">
        <v>15</v>
      </c>
      <c r="C136">
        <v>7.5</v>
      </c>
      <c r="D136" s="1" t="s">
        <v>16</v>
      </c>
      <c r="E136" s="1">
        <v>5</v>
      </c>
      <c r="F136">
        <v>22</v>
      </c>
      <c r="G136">
        <v>10</v>
      </c>
      <c r="H136">
        <v>1.0000000000000001E-5</v>
      </c>
      <c r="I136">
        <f>LOG(1/H136)</f>
        <v>5</v>
      </c>
      <c r="J136">
        <v>10</v>
      </c>
      <c r="K136">
        <f>AVERAGE(F136,G136)</f>
        <v>16</v>
      </c>
      <c r="L136">
        <f>K136/(H136*(J136/1000))</f>
        <v>160000000</v>
      </c>
    </row>
    <row r="137" spans="1:12">
      <c r="A137" t="s">
        <v>14</v>
      </c>
      <c r="B137" t="s">
        <v>15</v>
      </c>
      <c r="C137">
        <v>7.5</v>
      </c>
      <c r="D137" s="1" t="s">
        <v>16</v>
      </c>
      <c r="E137" s="1">
        <v>6</v>
      </c>
      <c r="F137">
        <v>8</v>
      </c>
      <c r="G137">
        <v>5</v>
      </c>
      <c r="H137">
        <v>1.0000000000000001E-5</v>
      </c>
      <c r="I137">
        <f>LOG(1/H137)</f>
        <v>5</v>
      </c>
      <c r="J137">
        <v>10</v>
      </c>
      <c r="K137">
        <f>AVERAGE(F137,G137)</f>
        <v>6.5</v>
      </c>
      <c r="L137">
        <f>K137/(H137*(J137/1000))</f>
        <v>64999999.999999993</v>
      </c>
    </row>
    <row r="138" spans="1:12">
      <c r="A138" t="s">
        <v>14</v>
      </c>
      <c r="B138" t="s">
        <v>15</v>
      </c>
      <c r="C138">
        <v>7.5</v>
      </c>
      <c r="D138" s="1" t="s">
        <v>16</v>
      </c>
      <c r="E138" s="1">
        <v>7</v>
      </c>
      <c r="F138">
        <v>2</v>
      </c>
      <c r="G138">
        <v>6</v>
      </c>
      <c r="H138">
        <v>9.9999999999999995E-7</v>
      </c>
      <c r="I138">
        <f>LOG(1/H138)</f>
        <v>6</v>
      </c>
      <c r="J138">
        <v>10</v>
      </c>
      <c r="K138">
        <f>AVERAGE(F138,G138)</f>
        <v>4</v>
      </c>
      <c r="L138">
        <f>K138/(H138*(J138/1000))</f>
        <v>400000000</v>
      </c>
    </row>
    <row r="139" spans="1:12">
      <c r="A139" t="s">
        <v>14</v>
      </c>
      <c r="B139" t="s">
        <v>15</v>
      </c>
      <c r="C139">
        <v>7.5</v>
      </c>
      <c r="D139" s="1" t="s">
        <v>16</v>
      </c>
      <c r="E139" s="1">
        <v>8</v>
      </c>
      <c r="F139">
        <v>2</v>
      </c>
      <c r="G139">
        <v>3</v>
      </c>
      <c r="H139">
        <v>1.0000000000000001E-5</v>
      </c>
      <c r="I139">
        <f>LOG(1/H139)</f>
        <v>5</v>
      </c>
      <c r="J139">
        <v>10</v>
      </c>
      <c r="K139">
        <f>AVERAGE(F139,G139)</f>
        <v>2.5</v>
      </c>
      <c r="L139">
        <f>K139/(H139*(J139/1000))</f>
        <v>24999999.999999996</v>
      </c>
    </row>
    <row r="140" spans="1:12">
      <c r="A140" t="s">
        <v>14</v>
      </c>
      <c r="B140" t="s">
        <v>15</v>
      </c>
      <c r="C140">
        <v>7.5</v>
      </c>
      <c r="D140" s="1" t="s">
        <v>16</v>
      </c>
      <c r="E140" s="1">
        <v>9</v>
      </c>
      <c r="F140">
        <v>1</v>
      </c>
      <c r="G140">
        <v>1</v>
      </c>
      <c r="H140">
        <v>9.9999999999999995E-7</v>
      </c>
      <c r="I140">
        <f>LOG(1/H140)</f>
        <v>6</v>
      </c>
      <c r="J140">
        <v>10</v>
      </c>
      <c r="K140">
        <f>AVERAGE(F140,G140)</f>
        <v>1</v>
      </c>
      <c r="L140">
        <f>K140/(H140*(J140/1000))</f>
        <v>100000000</v>
      </c>
    </row>
    <row r="141" spans="1:12">
      <c r="A141" t="s">
        <v>14</v>
      </c>
      <c r="B141" t="s">
        <v>15</v>
      </c>
      <c r="C141">
        <v>7.5</v>
      </c>
      <c r="D141" s="1" t="s">
        <v>16</v>
      </c>
      <c r="E141" s="1">
        <v>10</v>
      </c>
      <c r="F141">
        <v>2</v>
      </c>
      <c r="G141">
        <v>3</v>
      </c>
      <c r="H141">
        <v>9.9999999999999995E-7</v>
      </c>
      <c r="I141">
        <f>LOG(1/H141)</f>
        <v>6</v>
      </c>
      <c r="J141">
        <v>10</v>
      </c>
      <c r="K141">
        <f>AVERAGE(F141,G141)</f>
        <v>2.5</v>
      </c>
      <c r="L141">
        <f>K141/(H141*(J141/1000))</f>
        <v>250000000</v>
      </c>
    </row>
    <row r="142" spans="1:12">
      <c r="A142" t="s">
        <v>14</v>
      </c>
      <c r="B142" t="s">
        <v>15</v>
      </c>
      <c r="C142">
        <v>8</v>
      </c>
      <c r="D142" s="1" t="s">
        <v>16</v>
      </c>
      <c r="E142" s="1">
        <v>1</v>
      </c>
      <c r="F142">
        <v>4</v>
      </c>
      <c r="G142">
        <v>3</v>
      </c>
      <c r="H142">
        <v>9.9999999999999995E-7</v>
      </c>
      <c r="I142">
        <f>LOG(1/H142)</f>
        <v>6</v>
      </c>
      <c r="J142">
        <v>10</v>
      </c>
      <c r="K142">
        <f>AVERAGE(F142,G142)</f>
        <v>3.5</v>
      </c>
      <c r="L142">
        <f>K142/(H142*(J142/1000))</f>
        <v>350000000</v>
      </c>
    </row>
    <row r="143" spans="1:12">
      <c r="A143" t="s">
        <v>14</v>
      </c>
      <c r="B143" t="s">
        <v>15</v>
      </c>
      <c r="C143">
        <v>8</v>
      </c>
      <c r="D143" s="1" t="s">
        <v>16</v>
      </c>
      <c r="E143" s="1">
        <v>2</v>
      </c>
      <c r="F143">
        <v>4</v>
      </c>
      <c r="G143">
        <v>5</v>
      </c>
      <c r="H143">
        <v>9.9999999999999995E-7</v>
      </c>
      <c r="I143">
        <f>LOG(1/H143)</f>
        <v>6</v>
      </c>
      <c r="J143">
        <v>10</v>
      </c>
      <c r="K143">
        <f>AVERAGE(F143,G143)</f>
        <v>4.5</v>
      </c>
      <c r="L143">
        <f>K143/(H143*(J143/1000))</f>
        <v>450000000</v>
      </c>
    </row>
    <row r="144" spans="1:12">
      <c r="A144" t="s">
        <v>14</v>
      </c>
      <c r="B144" t="s">
        <v>15</v>
      </c>
      <c r="C144">
        <v>8</v>
      </c>
      <c r="D144" s="1" t="s">
        <v>16</v>
      </c>
      <c r="E144" s="1">
        <v>3</v>
      </c>
      <c r="F144">
        <v>1</v>
      </c>
      <c r="G144">
        <v>2</v>
      </c>
      <c r="H144">
        <v>9.9999999999999995E-7</v>
      </c>
      <c r="I144">
        <f>LOG(1/H144)</f>
        <v>6</v>
      </c>
      <c r="J144">
        <v>10</v>
      </c>
      <c r="K144">
        <f>AVERAGE(F144,G144)</f>
        <v>1.5</v>
      </c>
      <c r="L144">
        <f>K144/(H144*(J144/1000))</f>
        <v>150000000</v>
      </c>
    </row>
    <row r="145" spans="1:12">
      <c r="A145" t="s">
        <v>14</v>
      </c>
      <c r="B145" t="s">
        <v>15</v>
      </c>
      <c r="C145">
        <v>8</v>
      </c>
      <c r="D145" s="1" t="s">
        <v>16</v>
      </c>
      <c r="E145" s="1">
        <v>4</v>
      </c>
      <c r="F145">
        <v>13</v>
      </c>
      <c r="G145">
        <v>6</v>
      </c>
      <c r="H145">
        <v>9.9999999999999995E-7</v>
      </c>
      <c r="I145">
        <f>LOG(1/H145)</f>
        <v>6</v>
      </c>
      <c r="J145">
        <v>10</v>
      </c>
      <c r="K145">
        <f>AVERAGE(F145,G145)</f>
        <v>9.5</v>
      </c>
      <c r="L145">
        <f>K145/(H145*(J145/1000))</f>
        <v>950000000</v>
      </c>
    </row>
    <row r="146" spans="1:12">
      <c r="A146" t="s">
        <v>14</v>
      </c>
      <c r="B146" t="s">
        <v>15</v>
      </c>
      <c r="C146">
        <v>8</v>
      </c>
      <c r="D146" s="1" t="s">
        <v>16</v>
      </c>
      <c r="E146" s="1">
        <v>5</v>
      </c>
      <c r="F146">
        <v>4</v>
      </c>
      <c r="G146">
        <v>2</v>
      </c>
      <c r="H146">
        <v>9.9999999999999995E-7</v>
      </c>
      <c r="I146">
        <f>LOG(1/H146)</f>
        <v>6</v>
      </c>
      <c r="J146">
        <v>10</v>
      </c>
      <c r="K146">
        <f>AVERAGE(F146,G146)</f>
        <v>3</v>
      </c>
      <c r="L146">
        <f>K146/(H146*(J146/1000))</f>
        <v>300000000</v>
      </c>
    </row>
    <row r="147" spans="1:12">
      <c r="A147" t="s">
        <v>14</v>
      </c>
      <c r="B147" t="s">
        <v>15</v>
      </c>
      <c r="C147">
        <v>8</v>
      </c>
      <c r="D147" s="1" t="s">
        <v>16</v>
      </c>
      <c r="E147" s="1">
        <v>6</v>
      </c>
      <c r="F147">
        <v>2</v>
      </c>
      <c r="G147">
        <v>4</v>
      </c>
      <c r="H147">
        <v>9.9999999999999995E-7</v>
      </c>
      <c r="I147">
        <f>LOG(1/H147)</f>
        <v>6</v>
      </c>
      <c r="J147">
        <v>10</v>
      </c>
      <c r="K147">
        <f>AVERAGE(F147,G147)</f>
        <v>3</v>
      </c>
      <c r="L147">
        <f>K147/(H147*(J147/1000))</f>
        <v>300000000</v>
      </c>
    </row>
    <row r="148" spans="1:12">
      <c r="A148" t="s">
        <v>14</v>
      </c>
      <c r="B148" t="s">
        <v>15</v>
      </c>
      <c r="C148">
        <v>8</v>
      </c>
      <c r="D148" s="1" t="s">
        <v>16</v>
      </c>
      <c r="E148" s="1">
        <v>7</v>
      </c>
      <c r="F148">
        <v>2</v>
      </c>
      <c r="G148">
        <v>2</v>
      </c>
      <c r="H148">
        <v>9.9999999999999995E-7</v>
      </c>
      <c r="I148">
        <f>LOG(1/H148)</f>
        <v>6</v>
      </c>
      <c r="J148">
        <v>10</v>
      </c>
      <c r="K148">
        <f>AVERAGE(F148,G148)</f>
        <v>2</v>
      </c>
      <c r="L148">
        <f>K148/(H148*(J148/1000))</f>
        <v>200000000</v>
      </c>
    </row>
    <row r="149" spans="1:12">
      <c r="A149" t="s">
        <v>14</v>
      </c>
      <c r="B149" t="s">
        <v>15</v>
      </c>
      <c r="C149">
        <v>8</v>
      </c>
      <c r="D149" s="1" t="s">
        <v>16</v>
      </c>
      <c r="E149" s="1">
        <v>8</v>
      </c>
      <c r="F149">
        <v>2</v>
      </c>
      <c r="G149">
        <v>2</v>
      </c>
      <c r="H149">
        <v>9.9999999999999995E-7</v>
      </c>
      <c r="I149">
        <f>LOG(1/H149)</f>
        <v>6</v>
      </c>
      <c r="J149">
        <v>10</v>
      </c>
      <c r="K149">
        <f>AVERAGE(F149,G149)</f>
        <v>2</v>
      </c>
      <c r="L149">
        <f>K149/(H149*(J149/1000))</f>
        <v>200000000</v>
      </c>
    </row>
    <row r="150" spans="1:12">
      <c r="A150" t="s">
        <v>14</v>
      </c>
      <c r="B150" t="s">
        <v>15</v>
      </c>
      <c r="C150">
        <v>8</v>
      </c>
      <c r="D150" s="1" t="s">
        <v>16</v>
      </c>
      <c r="E150" s="1">
        <v>9</v>
      </c>
      <c r="F150">
        <v>4</v>
      </c>
      <c r="G150">
        <v>1</v>
      </c>
      <c r="H150">
        <v>9.9999999999999995E-7</v>
      </c>
      <c r="I150">
        <f>LOG(1/H150)</f>
        <v>6</v>
      </c>
      <c r="J150">
        <v>10</v>
      </c>
      <c r="K150">
        <f>AVERAGE(F150,G150)</f>
        <v>2.5</v>
      </c>
      <c r="L150">
        <f>K150/(H150*(J150/1000))</f>
        <v>250000000</v>
      </c>
    </row>
    <row r="151" spans="1:12">
      <c r="A151" t="s">
        <v>14</v>
      </c>
      <c r="B151" t="s">
        <v>15</v>
      </c>
      <c r="C151">
        <v>8</v>
      </c>
      <c r="D151" s="1" t="s">
        <v>16</v>
      </c>
      <c r="E151" s="1">
        <v>10</v>
      </c>
      <c r="F151">
        <v>5</v>
      </c>
      <c r="G151">
        <v>2</v>
      </c>
      <c r="H151">
        <v>9.9999999999999995E-7</v>
      </c>
      <c r="I151">
        <f>LOG(1/H151)</f>
        <v>6</v>
      </c>
      <c r="J151">
        <v>10</v>
      </c>
      <c r="K151">
        <f>AVERAGE(F151,G151)</f>
        <v>3.5</v>
      </c>
      <c r="L151">
        <f>K151/(H151*(J151/1000))</f>
        <v>350000000</v>
      </c>
    </row>
    <row r="152" spans="1:12">
      <c r="A152" t="s">
        <v>14</v>
      </c>
      <c r="B152" t="s">
        <v>15</v>
      </c>
      <c r="C152">
        <v>8.5</v>
      </c>
      <c r="D152" s="1" t="s">
        <v>16</v>
      </c>
      <c r="E152" s="1">
        <v>1</v>
      </c>
      <c r="F152">
        <v>4</v>
      </c>
      <c r="G152">
        <v>2</v>
      </c>
      <c r="H152">
        <v>1.0000000000000001E-5</v>
      </c>
      <c r="I152">
        <f>LOG(1/H152)</f>
        <v>5</v>
      </c>
      <c r="J152">
        <v>10</v>
      </c>
      <c r="K152">
        <f>AVERAGE(F152,G152)</f>
        <v>3</v>
      </c>
      <c r="L152">
        <f>K152/(H152*(J152/1000))</f>
        <v>29999999.999999996</v>
      </c>
    </row>
    <row r="153" spans="1:12">
      <c r="A153" t="s">
        <v>14</v>
      </c>
      <c r="B153" t="s">
        <v>15</v>
      </c>
      <c r="C153">
        <v>8.5</v>
      </c>
      <c r="D153" s="1" t="s">
        <v>16</v>
      </c>
      <c r="E153" s="1">
        <v>2</v>
      </c>
      <c r="F153">
        <v>5</v>
      </c>
      <c r="G153">
        <v>2</v>
      </c>
      <c r="H153">
        <v>9.9999999999999995E-7</v>
      </c>
      <c r="I153">
        <f>LOG(1/H153)</f>
        <v>6</v>
      </c>
      <c r="J153">
        <v>10</v>
      </c>
      <c r="K153">
        <f>AVERAGE(F153,G153)</f>
        <v>3.5</v>
      </c>
      <c r="L153">
        <f>K153/(H153*(J153/1000))</f>
        <v>350000000</v>
      </c>
    </row>
    <row r="154" spans="1:12">
      <c r="A154" t="s">
        <v>14</v>
      </c>
      <c r="B154" t="s">
        <v>15</v>
      </c>
      <c r="C154">
        <v>8.5</v>
      </c>
      <c r="D154" s="1" t="s">
        <v>16</v>
      </c>
      <c r="E154" s="1">
        <v>3</v>
      </c>
      <c r="F154">
        <v>23</v>
      </c>
      <c r="G154">
        <v>16</v>
      </c>
      <c r="H154">
        <v>1.0000000000000001E-5</v>
      </c>
      <c r="I154">
        <f>LOG(1/H154)</f>
        <v>5</v>
      </c>
      <c r="J154">
        <v>10</v>
      </c>
      <c r="K154">
        <f>AVERAGE(F154,G154)</f>
        <v>19.5</v>
      </c>
      <c r="L154">
        <f>K154/(H154*(J154/1000))</f>
        <v>194999999.99999997</v>
      </c>
    </row>
    <row r="155" spans="1:12">
      <c r="A155" t="s">
        <v>14</v>
      </c>
      <c r="B155" t="s">
        <v>15</v>
      </c>
      <c r="C155">
        <v>8.5</v>
      </c>
      <c r="D155" s="1" t="s">
        <v>16</v>
      </c>
      <c r="E155" s="1">
        <v>4</v>
      </c>
      <c r="F155">
        <v>13</v>
      </c>
      <c r="G155">
        <v>6</v>
      </c>
      <c r="H155">
        <v>1.0000000000000001E-5</v>
      </c>
      <c r="I155">
        <f>LOG(1/H155)</f>
        <v>5</v>
      </c>
      <c r="J155">
        <v>10</v>
      </c>
      <c r="K155">
        <f>AVERAGE(F155,G155)</f>
        <v>9.5</v>
      </c>
      <c r="L155">
        <f>K155/(H155*(J155/1000))</f>
        <v>94999999.999999985</v>
      </c>
    </row>
    <row r="156" spans="1:12">
      <c r="A156" t="s">
        <v>14</v>
      </c>
      <c r="B156" t="s">
        <v>15</v>
      </c>
      <c r="C156">
        <v>8.5</v>
      </c>
      <c r="D156" s="1" t="s">
        <v>16</v>
      </c>
      <c r="E156" s="1">
        <v>5</v>
      </c>
      <c r="F156">
        <v>11</v>
      </c>
      <c r="G156">
        <v>16</v>
      </c>
      <c r="H156">
        <v>1.0000000000000001E-5</v>
      </c>
      <c r="I156">
        <f>LOG(1/H156)</f>
        <v>5</v>
      </c>
      <c r="J156">
        <v>10</v>
      </c>
      <c r="K156">
        <f>AVERAGE(F156,G156)</f>
        <v>13.5</v>
      </c>
      <c r="L156">
        <f>K156/(H156*(J156/1000))</f>
        <v>135000000</v>
      </c>
    </row>
    <row r="157" spans="1:12">
      <c r="A157" t="s">
        <v>14</v>
      </c>
      <c r="B157" t="s">
        <v>15</v>
      </c>
      <c r="C157">
        <v>8.5</v>
      </c>
      <c r="D157" s="1" t="s">
        <v>16</v>
      </c>
      <c r="E157" s="1">
        <v>6</v>
      </c>
      <c r="F157">
        <v>13</v>
      </c>
      <c r="G157">
        <v>13</v>
      </c>
      <c r="H157">
        <v>1.0000000000000001E-5</v>
      </c>
      <c r="I157">
        <f>LOG(1/H157)</f>
        <v>5</v>
      </c>
      <c r="J157">
        <v>10</v>
      </c>
      <c r="K157">
        <f>AVERAGE(F157,G157)</f>
        <v>13</v>
      </c>
      <c r="L157">
        <f>K157/(H157*(J157/1000))</f>
        <v>129999999.99999999</v>
      </c>
    </row>
    <row r="158" spans="1:12">
      <c r="A158" t="s">
        <v>14</v>
      </c>
      <c r="B158" t="s">
        <v>15</v>
      </c>
      <c r="C158">
        <v>8.5</v>
      </c>
      <c r="D158" s="1" t="s">
        <v>16</v>
      </c>
      <c r="E158" s="1">
        <v>7</v>
      </c>
      <c r="F158">
        <v>5</v>
      </c>
      <c r="G158">
        <v>7</v>
      </c>
      <c r="H158">
        <v>1.0000000000000001E-5</v>
      </c>
      <c r="I158">
        <f>LOG(1/H158)</f>
        <v>5</v>
      </c>
      <c r="J158">
        <v>10</v>
      </c>
      <c r="K158">
        <f>AVERAGE(F158,G158)</f>
        <v>6</v>
      </c>
      <c r="L158">
        <f>K158/(H158*(J158/1000))</f>
        <v>59999999.999999993</v>
      </c>
    </row>
    <row r="159" spans="1:12">
      <c r="A159" t="s">
        <v>14</v>
      </c>
      <c r="B159" t="s">
        <v>15</v>
      </c>
      <c r="C159">
        <v>8.5</v>
      </c>
      <c r="D159" s="1" t="s">
        <v>16</v>
      </c>
      <c r="E159" s="1">
        <v>8</v>
      </c>
      <c r="F159">
        <v>16</v>
      </c>
      <c r="G159">
        <v>7</v>
      </c>
      <c r="H159">
        <v>1.0000000000000001E-5</v>
      </c>
      <c r="I159">
        <f>LOG(1/H159)</f>
        <v>5</v>
      </c>
      <c r="J159">
        <v>10</v>
      </c>
      <c r="K159">
        <f>AVERAGE(F159,G159)</f>
        <v>11.5</v>
      </c>
      <c r="L159">
        <f>K159/(H159*(J159/1000))</f>
        <v>114999999.99999999</v>
      </c>
    </row>
    <row r="160" spans="1:12">
      <c r="A160" t="s">
        <v>14</v>
      </c>
      <c r="B160" t="s">
        <v>15</v>
      </c>
      <c r="C160">
        <v>8.5</v>
      </c>
      <c r="D160" s="1" t="s">
        <v>16</v>
      </c>
      <c r="E160" s="1">
        <v>9</v>
      </c>
      <c r="F160">
        <v>30</v>
      </c>
      <c r="G160">
        <v>14</v>
      </c>
      <c r="H160">
        <v>1.0000000000000001E-5</v>
      </c>
      <c r="I160">
        <f>LOG(1/H160)</f>
        <v>5</v>
      </c>
      <c r="J160">
        <v>10</v>
      </c>
      <c r="K160">
        <f>AVERAGE(F160,G160)</f>
        <v>22</v>
      </c>
      <c r="L160">
        <f>K160/(H160*(J160/1000))</f>
        <v>219999999.99999997</v>
      </c>
    </row>
    <row r="161" spans="1:12">
      <c r="A161" t="s">
        <v>14</v>
      </c>
      <c r="B161" t="s">
        <v>15</v>
      </c>
      <c r="C161">
        <v>8.5</v>
      </c>
      <c r="D161" s="1" t="s">
        <v>16</v>
      </c>
      <c r="E161" s="1">
        <v>10</v>
      </c>
      <c r="F161">
        <v>12</v>
      </c>
      <c r="G161">
        <v>12</v>
      </c>
      <c r="H161">
        <v>1.0000000000000001E-5</v>
      </c>
      <c r="I161">
        <f>LOG(1/H161)</f>
        <v>5</v>
      </c>
      <c r="J161">
        <v>10</v>
      </c>
      <c r="K161">
        <f>AVERAGE(F161,G161)</f>
        <v>12</v>
      </c>
      <c r="L161">
        <f>K161/(H161*(J161/1000))</f>
        <v>119999999.99999999</v>
      </c>
    </row>
    <row r="162" spans="1:12">
      <c r="A162" t="s">
        <v>14</v>
      </c>
      <c r="B162" t="s">
        <v>15</v>
      </c>
      <c r="C162">
        <v>9</v>
      </c>
      <c r="D162" s="1" t="s">
        <v>16</v>
      </c>
      <c r="E162" s="1">
        <v>1</v>
      </c>
      <c r="F162">
        <v>4</v>
      </c>
      <c r="G162">
        <v>2</v>
      </c>
      <c r="H162">
        <v>9.9999999999999995E-7</v>
      </c>
      <c r="I162">
        <f>LOG(1/H162)</f>
        <v>6</v>
      </c>
      <c r="J162">
        <v>10</v>
      </c>
      <c r="K162">
        <f>AVERAGE(F162,G162)</f>
        <v>3</v>
      </c>
      <c r="L162">
        <f>K162/(H162*(J162/1000))</f>
        <v>300000000</v>
      </c>
    </row>
    <row r="163" spans="1:12">
      <c r="A163" t="s">
        <v>14</v>
      </c>
      <c r="B163" t="s">
        <v>15</v>
      </c>
      <c r="C163">
        <v>9</v>
      </c>
      <c r="D163" s="1" t="s">
        <v>16</v>
      </c>
      <c r="E163" s="1">
        <v>2</v>
      </c>
      <c r="F163" s="5">
        <v>20</v>
      </c>
      <c r="G163">
        <v>12</v>
      </c>
      <c r="H163">
        <v>1.0000000000000001E-5</v>
      </c>
      <c r="I163">
        <f>LOG(1/H163)</f>
        <v>5</v>
      </c>
      <c r="J163">
        <v>10</v>
      </c>
      <c r="K163">
        <f>AVERAGE(F163,G163)</f>
        <v>16</v>
      </c>
      <c r="L163">
        <f>K163/(H163*(J163/1000))</f>
        <v>160000000</v>
      </c>
    </row>
    <row r="164" spans="1:12">
      <c r="A164" t="s">
        <v>14</v>
      </c>
      <c r="B164" t="s">
        <v>15</v>
      </c>
      <c r="C164">
        <v>9</v>
      </c>
      <c r="D164" s="1" t="s">
        <v>16</v>
      </c>
      <c r="E164" s="1">
        <v>3</v>
      </c>
      <c r="F164">
        <v>4</v>
      </c>
      <c r="G164">
        <v>5</v>
      </c>
      <c r="H164">
        <v>9.9999999999999995E-7</v>
      </c>
      <c r="I164">
        <f>LOG(1/H164)</f>
        <v>6</v>
      </c>
      <c r="J164">
        <v>10</v>
      </c>
      <c r="K164">
        <f>AVERAGE(F164,G164)</f>
        <v>4.5</v>
      </c>
      <c r="L164">
        <f>K164/(H164*(J164/1000))</f>
        <v>450000000</v>
      </c>
    </row>
    <row r="165" spans="1:12">
      <c r="A165" t="s">
        <v>14</v>
      </c>
      <c r="B165" t="s">
        <v>15</v>
      </c>
      <c r="C165">
        <v>9</v>
      </c>
      <c r="D165" s="1" t="s">
        <v>16</v>
      </c>
      <c r="E165" s="1">
        <v>4</v>
      </c>
      <c r="F165">
        <v>9</v>
      </c>
      <c r="G165">
        <v>7</v>
      </c>
      <c r="H165">
        <v>9.9999999999999995E-7</v>
      </c>
      <c r="I165">
        <f>LOG(1/H165)</f>
        <v>6</v>
      </c>
      <c r="J165">
        <v>10</v>
      </c>
      <c r="K165">
        <f>AVERAGE(F165,G165)</f>
        <v>8</v>
      </c>
      <c r="L165">
        <f>K165/(H165*(J165/1000))</f>
        <v>800000000</v>
      </c>
    </row>
    <row r="166" spans="1:12">
      <c r="A166" t="s">
        <v>14</v>
      </c>
      <c r="B166" t="s">
        <v>15</v>
      </c>
      <c r="C166">
        <v>9</v>
      </c>
      <c r="D166" s="1" t="s">
        <v>16</v>
      </c>
      <c r="E166" s="1">
        <v>5</v>
      </c>
      <c r="F166">
        <v>7</v>
      </c>
      <c r="G166">
        <v>1</v>
      </c>
      <c r="H166">
        <v>9.9999999999999995E-7</v>
      </c>
      <c r="I166">
        <f>LOG(1/H166)</f>
        <v>6</v>
      </c>
      <c r="J166">
        <v>10</v>
      </c>
      <c r="K166">
        <f>AVERAGE(F166,G166)</f>
        <v>4</v>
      </c>
      <c r="L166">
        <f>K166/(H166*(J166/1000))</f>
        <v>400000000</v>
      </c>
    </row>
    <row r="167" spans="1:12">
      <c r="A167" t="s">
        <v>14</v>
      </c>
      <c r="B167" t="s">
        <v>15</v>
      </c>
      <c r="C167">
        <v>9</v>
      </c>
      <c r="D167" s="1" t="s">
        <v>16</v>
      </c>
      <c r="E167" s="1">
        <v>6</v>
      </c>
      <c r="F167">
        <v>3</v>
      </c>
      <c r="G167">
        <v>3</v>
      </c>
      <c r="H167">
        <v>9.9999999999999995E-7</v>
      </c>
      <c r="I167">
        <f>LOG(1/H167)</f>
        <v>6</v>
      </c>
      <c r="J167">
        <v>10</v>
      </c>
      <c r="K167">
        <f>AVERAGE(F167,G167)</f>
        <v>3</v>
      </c>
      <c r="L167">
        <f>K167/(H167*(J167/1000))</f>
        <v>300000000</v>
      </c>
    </row>
    <row r="168" spans="1:12">
      <c r="A168" t="s">
        <v>14</v>
      </c>
      <c r="B168" t="s">
        <v>15</v>
      </c>
      <c r="C168">
        <v>9</v>
      </c>
      <c r="D168" s="1" t="s">
        <v>16</v>
      </c>
      <c r="E168" s="1">
        <v>7</v>
      </c>
      <c r="F168">
        <v>4</v>
      </c>
      <c r="G168">
        <v>5</v>
      </c>
      <c r="H168">
        <v>9.9999999999999995E-7</v>
      </c>
      <c r="I168">
        <f>LOG(1/H168)</f>
        <v>6</v>
      </c>
      <c r="J168">
        <v>10</v>
      </c>
      <c r="K168">
        <f>AVERAGE(F168,G168)</f>
        <v>4.5</v>
      </c>
      <c r="L168">
        <f>K168/(H168*(J168/1000))</f>
        <v>450000000</v>
      </c>
    </row>
    <row r="169" spans="1:12">
      <c r="A169" t="s">
        <v>14</v>
      </c>
      <c r="B169" t="s">
        <v>15</v>
      </c>
      <c r="C169">
        <v>9</v>
      </c>
      <c r="D169" s="1" t="s">
        <v>16</v>
      </c>
      <c r="E169" s="1">
        <v>8</v>
      </c>
      <c r="F169">
        <v>2</v>
      </c>
      <c r="G169">
        <v>3</v>
      </c>
      <c r="H169">
        <v>9.9999999999999995E-7</v>
      </c>
      <c r="I169">
        <f>LOG(1/H169)</f>
        <v>6</v>
      </c>
      <c r="J169">
        <v>10</v>
      </c>
      <c r="K169">
        <f>AVERAGE(F169,G169)</f>
        <v>2.5</v>
      </c>
      <c r="L169">
        <f>K169/(H169*(J169/1000))</f>
        <v>250000000</v>
      </c>
    </row>
    <row r="170" spans="1:12">
      <c r="A170" t="s">
        <v>14</v>
      </c>
      <c r="B170" t="s">
        <v>15</v>
      </c>
      <c r="C170">
        <v>9</v>
      </c>
      <c r="D170" s="1" t="s">
        <v>16</v>
      </c>
      <c r="E170" s="1">
        <v>9</v>
      </c>
      <c r="F170">
        <v>3</v>
      </c>
      <c r="G170">
        <v>2</v>
      </c>
      <c r="H170">
        <v>9.9999999999999995E-7</v>
      </c>
      <c r="I170">
        <f>LOG(1/H170)</f>
        <v>6</v>
      </c>
      <c r="J170">
        <v>10</v>
      </c>
      <c r="K170">
        <f>AVERAGE(F170,G170)</f>
        <v>2.5</v>
      </c>
      <c r="L170">
        <f>K170/(H170*(J170/1000))</f>
        <v>250000000</v>
      </c>
    </row>
    <row r="171" spans="1:12">
      <c r="A171" t="s">
        <v>14</v>
      </c>
      <c r="B171" t="s">
        <v>15</v>
      </c>
      <c r="C171">
        <v>9</v>
      </c>
      <c r="D171" s="1" t="s">
        <v>16</v>
      </c>
      <c r="E171" s="1">
        <v>10</v>
      </c>
      <c r="F171">
        <v>2</v>
      </c>
      <c r="G171">
        <v>2</v>
      </c>
      <c r="H171">
        <v>9.9999999999999995E-7</v>
      </c>
      <c r="I171">
        <f>LOG(1/H171)</f>
        <v>6</v>
      </c>
      <c r="J171">
        <v>10</v>
      </c>
      <c r="K171">
        <f>AVERAGE(F171,G171)</f>
        <v>2</v>
      </c>
      <c r="L171">
        <f>K171/(H171*(J171/1000))</f>
        <v>200000000</v>
      </c>
    </row>
    <row r="172" spans="1:12">
      <c r="A172" t="s">
        <v>14</v>
      </c>
      <c r="B172" t="s">
        <v>15</v>
      </c>
      <c r="C172">
        <v>9.5</v>
      </c>
      <c r="D172" s="1" t="s">
        <v>16</v>
      </c>
      <c r="E172" s="1">
        <v>1</v>
      </c>
      <c r="F172">
        <v>3</v>
      </c>
      <c r="G172">
        <v>3</v>
      </c>
      <c r="H172">
        <v>9.9999999999999995E-7</v>
      </c>
      <c r="I172">
        <f>LOG(1/H172)</f>
        <v>6</v>
      </c>
      <c r="J172">
        <v>10</v>
      </c>
      <c r="K172">
        <f>AVERAGE(F172,G172)</f>
        <v>3</v>
      </c>
      <c r="L172">
        <f>K172/(H172*(J172/1000))</f>
        <v>300000000</v>
      </c>
    </row>
    <row r="173" spans="1:12">
      <c r="A173" t="s">
        <v>14</v>
      </c>
      <c r="B173" t="s">
        <v>15</v>
      </c>
      <c r="C173">
        <v>9.5</v>
      </c>
      <c r="D173" s="1" t="s">
        <v>16</v>
      </c>
      <c r="E173" s="1">
        <v>2</v>
      </c>
      <c r="F173">
        <v>8</v>
      </c>
      <c r="G173">
        <v>7</v>
      </c>
      <c r="H173">
        <v>1.0000000000000001E-5</v>
      </c>
      <c r="I173">
        <f>LOG(1/H173)</f>
        <v>5</v>
      </c>
      <c r="J173">
        <v>10</v>
      </c>
      <c r="K173">
        <f>AVERAGE(F173,G173)</f>
        <v>7.5</v>
      </c>
      <c r="L173">
        <f>K173/(H173*(J173/1000))</f>
        <v>75000000</v>
      </c>
    </row>
    <row r="174" spans="1:12">
      <c r="A174" t="s">
        <v>14</v>
      </c>
      <c r="B174" t="s">
        <v>15</v>
      </c>
      <c r="C174">
        <v>9.5</v>
      </c>
      <c r="D174" s="1" t="s">
        <v>16</v>
      </c>
      <c r="E174" s="1">
        <v>3</v>
      </c>
      <c r="F174">
        <v>11</v>
      </c>
      <c r="G174">
        <v>12</v>
      </c>
      <c r="H174">
        <v>9.9999999999999995E-7</v>
      </c>
      <c r="I174">
        <f>LOG(1/H174)</f>
        <v>6</v>
      </c>
      <c r="J174">
        <v>10</v>
      </c>
      <c r="K174">
        <f>AVERAGE(F174,G174)</f>
        <v>11.5</v>
      </c>
      <c r="L174">
        <f>K174/(H174*(J174/1000))</f>
        <v>1150000000</v>
      </c>
    </row>
    <row r="175" spans="1:12">
      <c r="A175" t="s">
        <v>14</v>
      </c>
      <c r="B175" t="s">
        <v>15</v>
      </c>
      <c r="C175">
        <v>9.5</v>
      </c>
      <c r="D175" s="1" t="s">
        <v>16</v>
      </c>
      <c r="E175" s="1">
        <v>4</v>
      </c>
      <c r="F175">
        <v>5</v>
      </c>
      <c r="G175">
        <v>7</v>
      </c>
      <c r="H175">
        <v>9.9999999999999995E-7</v>
      </c>
      <c r="I175">
        <f>LOG(1/H175)</f>
        <v>6</v>
      </c>
      <c r="J175">
        <v>10</v>
      </c>
      <c r="K175">
        <f>AVERAGE(F175,G175)</f>
        <v>6</v>
      </c>
      <c r="L175">
        <f>K175/(H175*(J175/1000))</f>
        <v>600000000</v>
      </c>
    </row>
    <row r="176" spans="1:12">
      <c r="A176" t="s">
        <v>14</v>
      </c>
      <c r="B176" t="s">
        <v>15</v>
      </c>
      <c r="C176">
        <v>9.5</v>
      </c>
      <c r="D176" s="1" t="s">
        <v>16</v>
      </c>
      <c r="E176" s="1">
        <v>5</v>
      </c>
      <c r="F176">
        <v>8</v>
      </c>
      <c r="G176">
        <v>4</v>
      </c>
      <c r="H176">
        <v>9.9999999999999995E-7</v>
      </c>
      <c r="I176">
        <f>LOG(1/H176)</f>
        <v>6</v>
      </c>
      <c r="J176">
        <v>10</v>
      </c>
      <c r="K176">
        <f>AVERAGE(F176,G176)</f>
        <v>6</v>
      </c>
      <c r="L176">
        <f>K176/(H176*(J176/1000))</f>
        <v>600000000</v>
      </c>
    </row>
    <row r="177" spans="1:12">
      <c r="A177" t="s">
        <v>14</v>
      </c>
      <c r="B177" t="s">
        <v>15</v>
      </c>
      <c r="C177">
        <v>9.5</v>
      </c>
      <c r="D177" s="1" t="s">
        <v>16</v>
      </c>
      <c r="E177" s="1">
        <v>6</v>
      </c>
      <c r="F177">
        <v>9</v>
      </c>
      <c r="G177">
        <v>10</v>
      </c>
      <c r="H177">
        <v>9.9999999999999995E-7</v>
      </c>
      <c r="I177">
        <f>LOG(1/H177)</f>
        <v>6</v>
      </c>
      <c r="J177">
        <v>10</v>
      </c>
      <c r="K177">
        <f>AVERAGE(F177,G177)</f>
        <v>9.5</v>
      </c>
      <c r="L177">
        <f>K177/(H177*(J177/1000))</f>
        <v>950000000</v>
      </c>
    </row>
    <row r="178" spans="1:12">
      <c r="A178" t="s">
        <v>14</v>
      </c>
      <c r="B178" t="s">
        <v>15</v>
      </c>
      <c r="C178">
        <v>9.5</v>
      </c>
      <c r="D178" s="1" t="s">
        <v>16</v>
      </c>
      <c r="E178" s="1">
        <v>7</v>
      </c>
      <c r="F178">
        <v>2</v>
      </c>
      <c r="G178">
        <v>1</v>
      </c>
      <c r="H178">
        <v>9.9999999999999995E-7</v>
      </c>
      <c r="I178">
        <f>LOG(1/H178)</f>
        <v>6</v>
      </c>
      <c r="J178">
        <v>10</v>
      </c>
      <c r="K178">
        <f>AVERAGE(F178,G178)</f>
        <v>1.5</v>
      </c>
      <c r="L178">
        <f>K178/(H178*(J178/1000))</f>
        <v>150000000</v>
      </c>
    </row>
    <row r="179" spans="1:12">
      <c r="A179" t="s">
        <v>14</v>
      </c>
      <c r="B179" t="s">
        <v>15</v>
      </c>
      <c r="C179">
        <v>9.5</v>
      </c>
      <c r="D179" s="1" t="s">
        <v>16</v>
      </c>
      <c r="E179" s="1">
        <v>8</v>
      </c>
      <c r="F179">
        <v>1</v>
      </c>
      <c r="G179">
        <v>2</v>
      </c>
      <c r="H179">
        <v>9.9999999999999995E-7</v>
      </c>
      <c r="I179">
        <f>LOG(1/H179)</f>
        <v>6</v>
      </c>
      <c r="J179">
        <v>10</v>
      </c>
      <c r="K179">
        <f>AVERAGE(F179,G179)</f>
        <v>1.5</v>
      </c>
      <c r="L179">
        <f>K179/(H179*(J179/1000))</f>
        <v>150000000</v>
      </c>
    </row>
    <row r="180" spans="1:12">
      <c r="A180" t="s">
        <v>14</v>
      </c>
      <c r="B180" t="s">
        <v>15</v>
      </c>
      <c r="C180">
        <v>9.5</v>
      </c>
      <c r="D180" s="1" t="s">
        <v>16</v>
      </c>
      <c r="E180" s="1">
        <v>9</v>
      </c>
      <c r="F180">
        <v>2</v>
      </c>
      <c r="G180">
        <v>8</v>
      </c>
      <c r="H180">
        <v>9.9999999999999995E-7</v>
      </c>
      <c r="I180">
        <f>LOG(1/H180)</f>
        <v>6</v>
      </c>
      <c r="J180">
        <v>10</v>
      </c>
      <c r="K180">
        <f>AVERAGE(F180,G180)</f>
        <v>5</v>
      </c>
      <c r="L180">
        <f>K180/(H180*(J180/1000))</f>
        <v>500000000</v>
      </c>
    </row>
    <row r="181" spans="1:12">
      <c r="A181" t="s">
        <v>14</v>
      </c>
      <c r="B181" t="s">
        <v>15</v>
      </c>
      <c r="C181">
        <v>9.5</v>
      </c>
      <c r="D181" s="1" t="s">
        <v>16</v>
      </c>
      <c r="E181" s="1">
        <v>10</v>
      </c>
      <c r="F181" s="5">
        <v>40</v>
      </c>
      <c r="G181">
        <v>30</v>
      </c>
      <c r="H181">
        <v>1.0000000000000001E-5</v>
      </c>
      <c r="I181">
        <f>LOG(1/H181)</f>
        <v>5</v>
      </c>
      <c r="J181">
        <v>10</v>
      </c>
      <c r="K181">
        <f>AVERAGE(F181,G181)</f>
        <v>35</v>
      </c>
      <c r="L181">
        <f>K181/(H181*(J181/1000))</f>
        <v>349999999.99999994</v>
      </c>
    </row>
    <row r="182" spans="1:12">
      <c r="A182" t="s">
        <v>14</v>
      </c>
      <c r="B182" t="s">
        <v>15</v>
      </c>
      <c r="C182">
        <v>10</v>
      </c>
      <c r="D182" s="1" t="s">
        <v>16</v>
      </c>
      <c r="E182" s="1">
        <v>1</v>
      </c>
      <c r="F182">
        <v>2</v>
      </c>
      <c r="G182">
        <v>2</v>
      </c>
      <c r="H182">
        <v>9.9999999999999995E-7</v>
      </c>
      <c r="I182">
        <f>LOG(1/H182)</f>
        <v>6</v>
      </c>
      <c r="J182">
        <v>10</v>
      </c>
      <c r="K182">
        <f>AVERAGE(F182,G182)</f>
        <v>2</v>
      </c>
      <c r="L182">
        <f>K182/(H182*(J182/1000))</f>
        <v>200000000</v>
      </c>
    </row>
    <row r="183" spans="1:12">
      <c r="A183" t="s">
        <v>14</v>
      </c>
      <c r="B183" t="s">
        <v>15</v>
      </c>
      <c r="C183">
        <v>10</v>
      </c>
      <c r="D183" s="1" t="s">
        <v>16</v>
      </c>
      <c r="E183" s="1">
        <v>2</v>
      </c>
      <c r="F183">
        <v>2</v>
      </c>
      <c r="G183">
        <v>2</v>
      </c>
      <c r="H183">
        <v>9.9999999999999995E-7</v>
      </c>
      <c r="I183">
        <f>LOG(1/H183)</f>
        <v>6</v>
      </c>
      <c r="J183">
        <v>10</v>
      </c>
      <c r="K183">
        <f>AVERAGE(F183,G183)</f>
        <v>2</v>
      </c>
      <c r="L183">
        <f>K183/(H183*(J183/1000))</f>
        <v>200000000</v>
      </c>
    </row>
    <row r="184" spans="1:12">
      <c r="A184" t="s">
        <v>14</v>
      </c>
      <c r="B184" t="s">
        <v>15</v>
      </c>
      <c r="C184">
        <v>10</v>
      </c>
      <c r="D184" s="1" t="s">
        <v>16</v>
      </c>
      <c r="E184" s="1">
        <v>3</v>
      </c>
      <c r="F184">
        <v>3</v>
      </c>
      <c r="G184">
        <v>4</v>
      </c>
      <c r="H184">
        <v>9.9999999999999995E-7</v>
      </c>
      <c r="I184">
        <f>LOG(1/H184)</f>
        <v>6</v>
      </c>
      <c r="J184">
        <v>10</v>
      </c>
      <c r="K184">
        <f>AVERAGE(F184,G184)</f>
        <v>3.5</v>
      </c>
      <c r="L184">
        <f>K184/(H184*(J184/1000))</f>
        <v>350000000</v>
      </c>
    </row>
    <row r="185" spans="1:12">
      <c r="A185" t="s">
        <v>14</v>
      </c>
      <c r="B185" t="s">
        <v>15</v>
      </c>
      <c r="C185">
        <v>10</v>
      </c>
      <c r="D185" s="1" t="s">
        <v>16</v>
      </c>
      <c r="E185" s="1">
        <v>4</v>
      </c>
      <c r="F185">
        <v>1</v>
      </c>
      <c r="G185">
        <v>2</v>
      </c>
      <c r="H185">
        <v>9.9999999999999995E-7</v>
      </c>
      <c r="I185">
        <f>LOG(1/H185)</f>
        <v>6</v>
      </c>
      <c r="J185">
        <v>10</v>
      </c>
      <c r="K185">
        <f>AVERAGE(F185,G185)</f>
        <v>1.5</v>
      </c>
      <c r="L185">
        <f>K185/(H185*(J185/1000))</f>
        <v>150000000</v>
      </c>
    </row>
    <row r="186" spans="1:12">
      <c r="A186" t="s">
        <v>14</v>
      </c>
      <c r="B186" t="s">
        <v>15</v>
      </c>
      <c r="C186">
        <v>10</v>
      </c>
      <c r="D186" s="1" t="s">
        <v>16</v>
      </c>
      <c r="E186" s="1">
        <v>5</v>
      </c>
      <c r="F186" s="5">
        <v>30</v>
      </c>
      <c r="G186">
        <v>32</v>
      </c>
      <c r="H186">
        <v>1.0000000000000001E-5</v>
      </c>
      <c r="I186">
        <f>LOG(1/H186)</f>
        <v>5</v>
      </c>
      <c r="J186">
        <v>10</v>
      </c>
      <c r="K186">
        <f>AVERAGE(F186,G186)</f>
        <v>31</v>
      </c>
      <c r="L186">
        <f>K186/(H186*(J186/1000))</f>
        <v>310000000</v>
      </c>
    </row>
    <row r="187" spans="1:12">
      <c r="A187" t="s">
        <v>14</v>
      </c>
      <c r="B187" t="s">
        <v>15</v>
      </c>
      <c r="C187">
        <v>10</v>
      </c>
      <c r="D187" s="1" t="s">
        <v>16</v>
      </c>
      <c r="E187" s="1">
        <v>6</v>
      </c>
      <c r="F187">
        <v>6</v>
      </c>
      <c r="G187">
        <v>3</v>
      </c>
      <c r="H187">
        <v>9.9999999999999995E-7</v>
      </c>
      <c r="I187">
        <f>LOG(1/H187)</f>
        <v>6</v>
      </c>
      <c r="J187">
        <v>10</v>
      </c>
      <c r="K187">
        <f>AVERAGE(F187,G187)</f>
        <v>4.5</v>
      </c>
      <c r="L187">
        <f>K187/(H187*(J187/1000))</f>
        <v>450000000</v>
      </c>
    </row>
    <row r="188" spans="1:12">
      <c r="A188" t="s">
        <v>14</v>
      </c>
      <c r="B188" t="s">
        <v>15</v>
      </c>
      <c r="C188">
        <v>10</v>
      </c>
      <c r="D188" s="1" t="s">
        <v>16</v>
      </c>
      <c r="E188" s="1">
        <v>7</v>
      </c>
      <c r="F188">
        <v>2</v>
      </c>
      <c r="G188">
        <v>3</v>
      </c>
      <c r="H188">
        <v>9.9999999999999995E-7</v>
      </c>
      <c r="I188">
        <f>LOG(1/H188)</f>
        <v>6</v>
      </c>
      <c r="J188">
        <v>10</v>
      </c>
      <c r="K188">
        <f>AVERAGE(F188,G188)</f>
        <v>2.5</v>
      </c>
      <c r="L188">
        <f>K188/(H188*(J188/1000))</f>
        <v>250000000</v>
      </c>
    </row>
    <row r="189" spans="1:12">
      <c r="A189" t="s">
        <v>14</v>
      </c>
      <c r="B189" t="s">
        <v>15</v>
      </c>
      <c r="C189">
        <v>10</v>
      </c>
      <c r="D189" s="1" t="s">
        <v>16</v>
      </c>
      <c r="E189" s="1">
        <v>8</v>
      </c>
      <c r="F189" s="5">
        <v>20</v>
      </c>
      <c r="G189">
        <v>13</v>
      </c>
      <c r="H189">
        <v>1.0000000000000001E-5</v>
      </c>
      <c r="I189">
        <f>LOG(1/H189)</f>
        <v>5</v>
      </c>
      <c r="J189">
        <v>10</v>
      </c>
      <c r="K189">
        <f>AVERAGE(F189,G189)</f>
        <v>16.5</v>
      </c>
      <c r="L189">
        <f>K189/(H189*(J189/1000))</f>
        <v>165000000</v>
      </c>
    </row>
    <row r="190" spans="1:12">
      <c r="A190" t="s">
        <v>14</v>
      </c>
      <c r="B190" t="s">
        <v>15</v>
      </c>
      <c r="C190">
        <v>10</v>
      </c>
      <c r="D190" s="1" t="s">
        <v>16</v>
      </c>
      <c r="E190" s="1">
        <v>9</v>
      </c>
      <c r="F190">
        <v>3</v>
      </c>
      <c r="G190">
        <v>6</v>
      </c>
      <c r="H190">
        <v>9.9999999999999995E-7</v>
      </c>
      <c r="I190">
        <f>LOG(1/H190)</f>
        <v>6</v>
      </c>
      <c r="J190">
        <v>10</v>
      </c>
      <c r="K190">
        <f>AVERAGE(F190,G190)</f>
        <v>4.5</v>
      </c>
      <c r="L190">
        <f>K190/(H190*(J190/1000))</f>
        <v>450000000</v>
      </c>
    </row>
    <row r="191" spans="1:12">
      <c r="A191" t="s">
        <v>14</v>
      </c>
      <c r="B191" t="s">
        <v>15</v>
      </c>
      <c r="C191">
        <v>10</v>
      </c>
      <c r="D191" s="1" t="s">
        <v>16</v>
      </c>
      <c r="E191" s="1">
        <v>10</v>
      </c>
      <c r="F191">
        <v>1</v>
      </c>
      <c r="G191">
        <v>2</v>
      </c>
      <c r="H191">
        <v>9.9999999999999995E-7</v>
      </c>
      <c r="I191">
        <f>LOG(1/H191)</f>
        <v>6</v>
      </c>
      <c r="J191">
        <v>10</v>
      </c>
      <c r="K191">
        <f>AVERAGE(F191,G191)</f>
        <v>1.5</v>
      </c>
      <c r="L191">
        <f>K191/(H191*(J191/1000))</f>
        <v>150000000</v>
      </c>
    </row>
    <row r="192" spans="1:12">
      <c r="A192" t="s">
        <v>14</v>
      </c>
      <c r="B192" t="s">
        <v>15</v>
      </c>
      <c r="C192">
        <v>10.5</v>
      </c>
      <c r="D192" s="1" t="s">
        <v>16</v>
      </c>
      <c r="E192" s="1">
        <v>1</v>
      </c>
      <c r="F192">
        <v>6</v>
      </c>
      <c r="G192">
        <v>7</v>
      </c>
      <c r="H192">
        <v>9.9999999999999995E-7</v>
      </c>
      <c r="I192">
        <f>LOG(1/H192)</f>
        <v>6</v>
      </c>
      <c r="J192">
        <v>10</v>
      </c>
      <c r="K192">
        <f>AVERAGE(F192,G192)</f>
        <v>6.5</v>
      </c>
      <c r="L192">
        <f>K192/(H192*(J192/1000))</f>
        <v>650000000</v>
      </c>
    </row>
    <row r="193" spans="1:12">
      <c r="A193" t="s">
        <v>14</v>
      </c>
      <c r="B193" t="s">
        <v>15</v>
      </c>
      <c r="C193">
        <v>10.5</v>
      </c>
      <c r="D193" s="1" t="s">
        <v>16</v>
      </c>
      <c r="E193" s="1">
        <v>2</v>
      </c>
      <c r="F193">
        <v>7</v>
      </c>
      <c r="G193">
        <v>6</v>
      </c>
      <c r="H193">
        <v>9.9999999999999995E-7</v>
      </c>
      <c r="I193">
        <f>LOG(1/H193)</f>
        <v>6</v>
      </c>
      <c r="J193">
        <v>10</v>
      </c>
      <c r="K193">
        <f>AVERAGE(F193,G193)</f>
        <v>6.5</v>
      </c>
      <c r="L193">
        <f>K193/(H193*(J193/1000))</f>
        <v>650000000</v>
      </c>
    </row>
    <row r="194" spans="1:12">
      <c r="A194" t="s">
        <v>14</v>
      </c>
      <c r="B194" t="s">
        <v>15</v>
      </c>
      <c r="C194">
        <v>10.5</v>
      </c>
      <c r="D194" s="1" t="s">
        <v>16</v>
      </c>
      <c r="E194" s="1">
        <v>3</v>
      </c>
      <c r="F194">
        <v>11</v>
      </c>
      <c r="G194">
        <v>8</v>
      </c>
      <c r="H194">
        <v>9.9999999999999995E-7</v>
      </c>
      <c r="I194">
        <f>LOG(1/H194)</f>
        <v>6</v>
      </c>
      <c r="J194">
        <v>10</v>
      </c>
      <c r="K194">
        <f>AVERAGE(F194,G194)</f>
        <v>9.5</v>
      </c>
      <c r="L194">
        <f>K194/(H194*(J194/1000))</f>
        <v>950000000</v>
      </c>
    </row>
    <row r="195" spans="1:12">
      <c r="A195" t="s">
        <v>14</v>
      </c>
      <c r="B195" t="s">
        <v>15</v>
      </c>
      <c r="C195">
        <v>10.5</v>
      </c>
      <c r="D195" s="1" t="s">
        <v>16</v>
      </c>
      <c r="E195" s="1">
        <v>4</v>
      </c>
      <c r="F195">
        <v>4</v>
      </c>
      <c r="G195">
        <v>1</v>
      </c>
      <c r="H195">
        <v>9.9999999999999995E-7</v>
      </c>
      <c r="I195">
        <f>LOG(1/H195)</f>
        <v>6</v>
      </c>
      <c r="J195">
        <v>10</v>
      </c>
      <c r="K195">
        <f>AVERAGE(F195,G195)</f>
        <v>2.5</v>
      </c>
      <c r="L195">
        <f>K195/(H195*(J195/1000))</f>
        <v>250000000</v>
      </c>
    </row>
    <row r="196" spans="1:12">
      <c r="A196" t="s">
        <v>14</v>
      </c>
      <c r="B196" t="s">
        <v>15</v>
      </c>
      <c r="C196">
        <v>10.5</v>
      </c>
      <c r="D196" s="1" t="s">
        <v>16</v>
      </c>
      <c r="E196" s="1">
        <v>5</v>
      </c>
      <c r="F196">
        <v>8</v>
      </c>
      <c r="G196">
        <v>2</v>
      </c>
      <c r="H196">
        <v>9.9999999999999995E-7</v>
      </c>
      <c r="I196">
        <f>LOG(1/H196)</f>
        <v>6</v>
      </c>
      <c r="J196">
        <v>10</v>
      </c>
      <c r="K196">
        <f>AVERAGE(F196,G196)</f>
        <v>5</v>
      </c>
      <c r="L196">
        <f>K196/(H196*(J196/1000))</f>
        <v>500000000</v>
      </c>
    </row>
    <row r="197" spans="1:12">
      <c r="A197" t="s">
        <v>14</v>
      </c>
      <c r="B197" t="s">
        <v>15</v>
      </c>
      <c r="C197">
        <v>10.5</v>
      </c>
      <c r="D197" s="1" t="s">
        <v>16</v>
      </c>
      <c r="E197" s="1">
        <v>6</v>
      </c>
      <c r="F197">
        <v>6</v>
      </c>
      <c r="G197">
        <v>8</v>
      </c>
      <c r="H197">
        <v>9.9999999999999995E-7</v>
      </c>
      <c r="I197">
        <f>LOG(1/H197)</f>
        <v>6</v>
      </c>
      <c r="J197">
        <v>10</v>
      </c>
      <c r="K197">
        <f>AVERAGE(F197,G197)</f>
        <v>7</v>
      </c>
      <c r="L197">
        <f>K197/(H197*(J197/1000))</f>
        <v>700000000</v>
      </c>
    </row>
    <row r="198" spans="1:12">
      <c r="A198" t="s">
        <v>14</v>
      </c>
      <c r="B198" t="s">
        <v>15</v>
      </c>
      <c r="C198">
        <v>10.5</v>
      </c>
      <c r="D198" s="1" t="s">
        <v>16</v>
      </c>
      <c r="E198" s="1">
        <v>7</v>
      </c>
      <c r="F198">
        <v>4</v>
      </c>
      <c r="G198">
        <v>5</v>
      </c>
      <c r="H198">
        <v>9.9999999999999995E-7</v>
      </c>
      <c r="I198">
        <f>LOG(1/H198)</f>
        <v>6</v>
      </c>
      <c r="J198">
        <v>10</v>
      </c>
      <c r="K198">
        <f>AVERAGE(F198,G198)</f>
        <v>4.5</v>
      </c>
      <c r="L198">
        <f>K198/(H198*(J198/1000))</f>
        <v>450000000</v>
      </c>
    </row>
    <row r="199" spans="1:12">
      <c r="A199" t="s">
        <v>14</v>
      </c>
      <c r="B199" t="s">
        <v>15</v>
      </c>
      <c r="C199">
        <v>10.5</v>
      </c>
      <c r="D199" s="1" t="s">
        <v>16</v>
      </c>
      <c r="E199" s="1">
        <v>8</v>
      </c>
      <c r="F199">
        <v>2</v>
      </c>
      <c r="G199">
        <v>3</v>
      </c>
      <c r="H199">
        <v>9.9999999999999995E-7</v>
      </c>
      <c r="I199">
        <f>LOG(1/H199)</f>
        <v>6</v>
      </c>
      <c r="J199">
        <v>10</v>
      </c>
      <c r="K199">
        <f>AVERAGE(F199,G199)</f>
        <v>2.5</v>
      </c>
      <c r="L199">
        <f>K199/(H199*(J199/1000))</f>
        <v>250000000</v>
      </c>
    </row>
    <row r="200" spans="1:12">
      <c r="A200" t="s">
        <v>14</v>
      </c>
      <c r="B200" t="s">
        <v>15</v>
      </c>
      <c r="C200">
        <v>10.5</v>
      </c>
      <c r="D200" s="1" t="s">
        <v>16</v>
      </c>
      <c r="E200" s="1">
        <v>9</v>
      </c>
      <c r="F200">
        <v>9</v>
      </c>
      <c r="G200">
        <v>6</v>
      </c>
      <c r="H200">
        <v>9.9999999999999995E-7</v>
      </c>
      <c r="I200">
        <f>LOG(1/H200)</f>
        <v>6</v>
      </c>
      <c r="J200">
        <v>10</v>
      </c>
      <c r="K200">
        <f>AVERAGE(F200,G200)</f>
        <v>7.5</v>
      </c>
      <c r="L200">
        <f>K200/(H200*(J200/1000))</f>
        <v>750000000</v>
      </c>
    </row>
    <row r="201" spans="1:12">
      <c r="A201" t="s">
        <v>14</v>
      </c>
      <c r="B201" t="s">
        <v>15</v>
      </c>
      <c r="C201">
        <v>10.5</v>
      </c>
      <c r="D201" s="1" t="s">
        <v>16</v>
      </c>
      <c r="E201" s="1">
        <v>10</v>
      </c>
      <c r="F201">
        <v>1</v>
      </c>
      <c r="G201">
        <v>4</v>
      </c>
      <c r="H201">
        <v>9.9999999999999995E-7</v>
      </c>
      <c r="I201">
        <f>LOG(1/H201)</f>
        <v>6</v>
      </c>
      <c r="J201">
        <v>10</v>
      </c>
      <c r="K201">
        <f>AVERAGE(F201,G201)</f>
        <v>2.5</v>
      </c>
      <c r="L201">
        <f>K201/(H201*(J201/1000))</f>
        <v>250000000</v>
      </c>
    </row>
    <row r="202" spans="1:12">
      <c r="A202" t="s">
        <v>14</v>
      </c>
      <c r="B202" t="s">
        <v>15</v>
      </c>
      <c r="C202">
        <f>C182+1</f>
        <v>11</v>
      </c>
      <c r="D202" s="1" t="s">
        <v>16</v>
      </c>
      <c r="E202" s="1">
        <v>1</v>
      </c>
      <c r="F202">
        <v>14</v>
      </c>
      <c r="G202" s="5">
        <v>40</v>
      </c>
      <c r="H202">
        <v>1.0000000000000001E-5</v>
      </c>
      <c r="I202">
        <f>LOG(1/H202)</f>
        <v>5</v>
      </c>
      <c r="J202">
        <v>10</v>
      </c>
      <c r="K202">
        <f>AVERAGE(F202,G202)</f>
        <v>27</v>
      </c>
      <c r="L202">
        <f>K202/(H202*(J202/1000))</f>
        <v>270000000</v>
      </c>
    </row>
    <row r="203" spans="1:12">
      <c r="A203" t="s">
        <v>14</v>
      </c>
      <c r="B203" t="s">
        <v>15</v>
      </c>
      <c r="C203">
        <f>C183+1</f>
        <v>11</v>
      </c>
      <c r="D203" s="1" t="s">
        <v>16</v>
      </c>
      <c r="E203" s="1">
        <v>2</v>
      </c>
      <c r="F203">
        <v>3</v>
      </c>
      <c r="G203">
        <v>3</v>
      </c>
      <c r="H203">
        <v>9.9999999999999995E-7</v>
      </c>
      <c r="I203">
        <f>LOG(1/H203)</f>
        <v>6</v>
      </c>
      <c r="J203">
        <v>10</v>
      </c>
      <c r="K203">
        <f>AVERAGE(F203,G203)</f>
        <v>3</v>
      </c>
      <c r="L203">
        <f>K203/(H203*(J203/1000))</f>
        <v>300000000</v>
      </c>
    </row>
    <row r="204" spans="1:12">
      <c r="A204" t="s">
        <v>14</v>
      </c>
      <c r="B204" t="s">
        <v>15</v>
      </c>
      <c r="C204">
        <f>C184+1</f>
        <v>11</v>
      </c>
      <c r="D204" s="1" t="s">
        <v>16</v>
      </c>
      <c r="E204" s="1">
        <v>3</v>
      </c>
      <c r="F204">
        <v>1</v>
      </c>
      <c r="G204">
        <v>3</v>
      </c>
      <c r="H204">
        <v>9.9999999999999995E-7</v>
      </c>
      <c r="I204">
        <f>LOG(1/H204)</f>
        <v>6</v>
      </c>
      <c r="J204">
        <v>10</v>
      </c>
      <c r="K204">
        <f>AVERAGE(F204,G204)</f>
        <v>2</v>
      </c>
      <c r="L204">
        <f>K204/(H204*(J204/1000))</f>
        <v>200000000</v>
      </c>
    </row>
    <row r="205" spans="1:12">
      <c r="A205" t="s">
        <v>14</v>
      </c>
      <c r="B205" t="s">
        <v>15</v>
      </c>
      <c r="C205">
        <f>C185+1</f>
        <v>11</v>
      </c>
      <c r="D205" s="1" t="s">
        <v>16</v>
      </c>
      <c r="E205" s="1">
        <v>4</v>
      </c>
      <c r="F205">
        <v>1</v>
      </c>
      <c r="G205">
        <v>6</v>
      </c>
      <c r="H205">
        <v>9.9999999999999995E-7</v>
      </c>
      <c r="I205">
        <f>LOG(1/H205)</f>
        <v>6</v>
      </c>
      <c r="J205">
        <v>10</v>
      </c>
      <c r="K205">
        <f>AVERAGE(F205,G205)</f>
        <v>3.5</v>
      </c>
      <c r="L205">
        <f>K205/(H205*(J205/1000))</f>
        <v>350000000</v>
      </c>
    </row>
    <row r="206" spans="1:12">
      <c r="A206" t="s">
        <v>14</v>
      </c>
      <c r="B206" t="s">
        <v>15</v>
      </c>
      <c r="C206">
        <f>C186+1</f>
        <v>11</v>
      </c>
      <c r="D206" s="1" t="s">
        <v>16</v>
      </c>
      <c r="E206" s="1">
        <v>5</v>
      </c>
      <c r="F206">
        <v>4</v>
      </c>
      <c r="G206">
        <v>3</v>
      </c>
      <c r="H206">
        <v>9.9999999999999995E-7</v>
      </c>
      <c r="I206">
        <f>LOG(1/H206)</f>
        <v>6</v>
      </c>
      <c r="J206">
        <v>10</v>
      </c>
      <c r="K206">
        <f>AVERAGE(F206,G206)</f>
        <v>3.5</v>
      </c>
      <c r="L206">
        <f>K206/(H206*(J206/1000))</f>
        <v>350000000</v>
      </c>
    </row>
    <row r="207" spans="1:12">
      <c r="A207" t="s">
        <v>14</v>
      </c>
      <c r="B207" t="s">
        <v>15</v>
      </c>
      <c r="C207">
        <f>C187+1</f>
        <v>11</v>
      </c>
      <c r="D207" s="1" t="s">
        <v>16</v>
      </c>
      <c r="E207" s="1">
        <v>6</v>
      </c>
      <c r="F207">
        <v>5</v>
      </c>
      <c r="G207">
        <v>4</v>
      </c>
      <c r="H207">
        <v>9.9999999999999995E-7</v>
      </c>
      <c r="I207">
        <f>LOG(1/H207)</f>
        <v>6</v>
      </c>
      <c r="J207">
        <v>10</v>
      </c>
      <c r="K207">
        <f>AVERAGE(F207,G207)</f>
        <v>4.5</v>
      </c>
      <c r="L207">
        <f>K207/(H207*(J207/1000))</f>
        <v>450000000</v>
      </c>
    </row>
    <row r="208" spans="1:12">
      <c r="A208" t="s">
        <v>14</v>
      </c>
      <c r="B208" t="s">
        <v>15</v>
      </c>
      <c r="C208">
        <f>C188+1</f>
        <v>11</v>
      </c>
      <c r="D208" s="1" t="s">
        <v>16</v>
      </c>
      <c r="E208" s="1">
        <v>7</v>
      </c>
      <c r="F208">
        <v>3</v>
      </c>
      <c r="G208">
        <v>3</v>
      </c>
      <c r="H208">
        <v>9.9999999999999995E-7</v>
      </c>
      <c r="I208">
        <f>LOG(1/H208)</f>
        <v>6</v>
      </c>
      <c r="J208">
        <v>10</v>
      </c>
      <c r="K208">
        <f>AVERAGE(F208,G208)</f>
        <v>3</v>
      </c>
      <c r="L208">
        <f>K208/(H208*(J208/1000))</f>
        <v>300000000</v>
      </c>
    </row>
    <row r="209" spans="1:12">
      <c r="A209" t="s">
        <v>14</v>
      </c>
      <c r="B209" t="s">
        <v>15</v>
      </c>
      <c r="C209">
        <f>C189+1</f>
        <v>11</v>
      </c>
      <c r="D209" s="1" t="s">
        <v>16</v>
      </c>
      <c r="E209" s="1">
        <v>8</v>
      </c>
      <c r="F209">
        <v>2</v>
      </c>
      <c r="G209">
        <v>1</v>
      </c>
      <c r="H209">
        <v>9.9999999999999995E-7</v>
      </c>
      <c r="I209">
        <f>LOG(1/H209)</f>
        <v>6</v>
      </c>
      <c r="J209">
        <v>10</v>
      </c>
      <c r="K209">
        <f>AVERAGE(F209,G209)</f>
        <v>1.5</v>
      </c>
      <c r="L209">
        <f>K209/(H209*(J209/1000))</f>
        <v>150000000</v>
      </c>
    </row>
    <row r="210" spans="1:12">
      <c r="A210" t="s">
        <v>14</v>
      </c>
      <c r="B210" t="s">
        <v>15</v>
      </c>
      <c r="C210">
        <f>C190+1</f>
        <v>11</v>
      </c>
      <c r="D210" s="1" t="s">
        <v>16</v>
      </c>
      <c r="E210" s="1">
        <v>9</v>
      </c>
      <c r="F210">
        <v>3</v>
      </c>
      <c r="G210">
        <v>4</v>
      </c>
      <c r="H210">
        <v>9.9999999999999995E-7</v>
      </c>
      <c r="I210">
        <f>LOG(1/H210)</f>
        <v>6</v>
      </c>
      <c r="J210">
        <v>10</v>
      </c>
      <c r="K210">
        <f>AVERAGE(F210,G210)</f>
        <v>3.5</v>
      </c>
      <c r="L210">
        <f>K210/(H210*(J210/1000))</f>
        <v>350000000</v>
      </c>
    </row>
    <row r="211" spans="1:12">
      <c r="A211" t="s">
        <v>14</v>
      </c>
      <c r="B211" t="s">
        <v>15</v>
      </c>
      <c r="C211">
        <f>C191+1</f>
        <v>11</v>
      </c>
      <c r="D211" s="1" t="s">
        <v>16</v>
      </c>
      <c r="E211" s="1">
        <v>10</v>
      </c>
      <c r="F211">
        <v>2</v>
      </c>
      <c r="G211">
        <v>3</v>
      </c>
      <c r="H211">
        <v>9.9999999999999995E-7</v>
      </c>
      <c r="I211">
        <f>LOG(1/H211)</f>
        <v>6</v>
      </c>
      <c r="J211">
        <v>10</v>
      </c>
      <c r="K211">
        <f>AVERAGE(F211,G211)</f>
        <v>2.5</v>
      </c>
      <c r="L211">
        <f>K211/(H211*(J211/1000))</f>
        <v>250000000</v>
      </c>
    </row>
    <row r="212" spans="1:12">
      <c r="A212" t="s">
        <v>14</v>
      </c>
      <c r="B212" t="s">
        <v>15</v>
      </c>
      <c r="C212">
        <f>C192+1</f>
        <v>11.5</v>
      </c>
      <c r="D212" s="1" t="s">
        <v>16</v>
      </c>
      <c r="E212" s="1">
        <v>1</v>
      </c>
      <c r="F212">
        <v>3</v>
      </c>
      <c r="G212">
        <v>4</v>
      </c>
      <c r="H212">
        <v>9.9999999999999995E-7</v>
      </c>
      <c r="I212">
        <f>LOG(1/H212)</f>
        <v>6</v>
      </c>
      <c r="J212">
        <v>10</v>
      </c>
      <c r="K212">
        <f>AVERAGE(F212,G212)</f>
        <v>3.5</v>
      </c>
      <c r="L212">
        <f>K212/(H212*(J212/1000))</f>
        <v>350000000</v>
      </c>
    </row>
    <row r="213" spans="1:12">
      <c r="A213" t="s">
        <v>14</v>
      </c>
      <c r="B213" t="s">
        <v>15</v>
      </c>
      <c r="C213">
        <f>C193+1</f>
        <v>11.5</v>
      </c>
      <c r="D213" s="1" t="s">
        <v>16</v>
      </c>
      <c r="E213" s="1">
        <v>2</v>
      </c>
      <c r="F213">
        <v>4</v>
      </c>
      <c r="G213">
        <v>2</v>
      </c>
      <c r="H213">
        <v>9.9999999999999995E-7</v>
      </c>
      <c r="I213">
        <f>LOG(1/H213)</f>
        <v>6</v>
      </c>
      <c r="J213">
        <v>10</v>
      </c>
      <c r="K213">
        <f>AVERAGE(F213,G213)</f>
        <v>3</v>
      </c>
      <c r="L213">
        <f>K213/(H213*(J213/1000))</f>
        <v>300000000</v>
      </c>
    </row>
    <row r="214" spans="1:12">
      <c r="A214" t="s">
        <v>14</v>
      </c>
      <c r="B214" t="s">
        <v>15</v>
      </c>
      <c r="C214">
        <f>C194+1</f>
        <v>11.5</v>
      </c>
      <c r="D214" s="1" t="s">
        <v>16</v>
      </c>
      <c r="E214" s="1">
        <v>3</v>
      </c>
      <c r="F214">
        <v>16</v>
      </c>
      <c r="G214">
        <v>15</v>
      </c>
      <c r="H214">
        <v>9.9999999999999995E-7</v>
      </c>
      <c r="I214">
        <f>LOG(1/H214)</f>
        <v>6</v>
      </c>
      <c r="J214">
        <v>10</v>
      </c>
      <c r="K214">
        <f>AVERAGE(F214,G214)</f>
        <v>15.5</v>
      </c>
      <c r="L214">
        <f>K214/(H214*(J214/1000))</f>
        <v>1550000000</v>
      </c>
    </row>
    <row r="215" spans="1:12">
      <c r="A215" t="s">
        <v>14</v>
      </c>
      <c r="B215" t="s">
        <v>15</v>
      </c>
      <c r="C215">
        <f>C195+1</f>
        <v>11.5</v>
      </c>
      <c r="D215" s="1" t="s">
        <v>16</v>
      </c>
      <c r="E215" s="1">
        <v>4</v>
      </c>
      <c r="F215">
        <v>8</v>
      </c>
      <c r="G215">
        <v>5</v>
      </c>
      <c r="H215">
        <v>9.9999999999999995E-7</v>
      </c>
      <c r="I215">
        <f>LOG(1/H215)</f>
        <v>6</v>
      </c>
      <c r="J215">
        <v>10</v>
      </c>
      <c r="K215">
        <f>AVERAGE(F215,G215)</f>
        <v>6.5</v>
      </c>
      <c r="L215">
        <f>K215/(H215*(J215/1000))</f>
        <v>650000000</v>
      </c>
    </row>
    <row r="216" spans="1:12">
      <c r="A216" t="s">
        <v>14</v>
      </c>
      <c r="B216" t="s">
        <v>15</v>
      </c>
      <c r="C216">
        <f>C196+1</f>
        <v>11.5</v>
      </c>
      <c r="D216" s="1" t="s">
        <v>16</v>
      </c>
      <c r="E216" s="1">
        <v>5</v>
      </c>
      <c r="F216">
        <v>4</v>
      </c>
      <c r="G216">
        <v>3</v>
      </c>
      <c r="H216">
        <v>9.9999999999999995E-7</v>
      </c>
      <c r="I216">
        <f>LOG(1/H216)</f>
        <v>6</v>
      </c>
      <c r="J216">
        <v>10</v>
      </c>
      <c r="K216">
        <f>AVERAGE(F216,G216)</f>
        <v>3.5</v>
      </c>
      <c r="L216">
        <f>K216/(H216*(J216/1000))</f>
        <v>350000000</v>
      </c>
    </row>
    <row r="217" spans="1:12">
      <c r="A217" t="s">
        <v>14</v>
      </c>
      <c r="B217" t="s">
        <v>15</v>
      </c>
      <c r="C217">
        <f>C197+1</f>
        <v>11.5</v>
      </c>
      <c r="D217" s="1" t="s">
        <v>16</v>
      </c>
      <c r="E217" s="1">
        <v>6</v>
      </c>
      <c r="F217">
        <v>11</v>
      </c>
      <c r="G217">
        <v>10</v>
      </c>
      <c r="H217">
        <v>9.9999999999999995E-7</v>
      </c>
      <c r="I217">
        <f>LOG(1/H217)</f>
        <v>6</v>
      </c>
      <c r="J217">
        <v>10</v>
      </c>
      <c r="K217">
        <f>AVERAGE(F217,G217)</f>
        <v>10.5</v>
      </c>
      <c r="L217">
        <f>K217/(H217*(J217/1000))</f>
        <v>1050000000</v>
      </c>
    </row>
    <row r="218" spans="1:12">
      <c r="A218" t="s">
        <v>14</v>
      </c>
      <c r="B218" t="s">
        <v>15</v>
      </c>
      <c r="C218">
        <f>C198+1</f>
        <v>11.5</v>
      </c>
      <c r="D218" s="1" t="s">
        <v>16</v>
      </c>
      <c r="E218" s="1">
        <v>7</v>
      </c>
      <c r="F218">
        <v>3</v>
      </c>
      <c r="G218">
        <v>1</v>
      </c>
      <c r="H218">
        <v>9.9999999999999995E-7</v>
      </c>
      <c r="I218">
        <f>LOG(1/H218)</f>
        <v>6</v>
      </c>
      <c r="J218">
        <v>10</v>
      </c>
      <c r="K218">
        <f>AVERAGE(F218,G218)</f>
        <v>2</v>
      </c>
      <c r="L218">
        <f>K218/(H218*(J218/1000))</f>
        <v>200000000</v>
      </c>
    </row>
    <row r="219" spans="1:12">
      <c r="A219" t="s">
        <v>14</v>
      </c>
      <c r="B219" t="s">
        <v>15</v>
      </c>
      <c r="C219">
        <f>C199+1</f>
        <v>11.5</v>
      </c>
      <c r="D219" s="1" t="s">
        <v>16</v>
      </c>
      <c r="E219" s="1">
        <v>8</v>
      </c>
      <c r="F219">
        <v>1</v>
      </c>
      <c r="G219">
        <v>1</v>
      </c>
      <c r="H219">
        <v>9.9999999999999995E-7</v>
      </c>
      <c r="I219">
        <f>LOG(1/H219)</f>
        <v>6</v>
      </c>
      <c r="J219">
        <v>10</v>
      </c>
      <c r="K219">
        <f>AVERAGE(F219,G219)</f>
        <v>1</v>
      </c>
      <c r="L219">
        <f>K219/(H219*(J219/1000))</f>
        <v>100000000</v>
      </c>
    </row>
    <row r="220" spans="1:12">
      <c r="A220" t="s">
        <v>14</v>
      </c>
      <c r="B220" t="s">
        <v>15</v>
      </c>
      <c r="C220">
        <f>C200+1</f>
        <v>11.5</v>
      </c>
      <c r="D220" s="1" t="s">
        <v>16</v>
      </c>
      <c r="E220" s="1">
        <v>9</v>
      </c>
      <c r="F220">
        <v>5</v>
      </c>
      <c r="G220">
        <v>3</v>
      </c>
      <c r="H220">
        <v>9.9999999999999995E-7</v>
      </c>
      <c r="I220">
        <f>LOG(1/H220)</f>
        <v>6</v>
      </c>
      <c r="J220">
        <v>10</v>
      </c>
      <c r="K220">
        <f>AVERAGE(F220,G220)</f>
        <v>4</v>
      </c>
      <c r="L220">
        <f>K220/(H220*(J220/1000))</f>
        <v>400000000</v>
      </c>
    </row>
    <row r="221" spans="1:12">
      <c r="A221" t="s">
        <v>14</v>
      </c>
      <c r="B221" t="s">
        <v>15</v>
      </c>
      <c r="C221">
        <f>C201+1</f>
        <v>11.5</v>
      </c>
      <c r="D221" s="1" t="s">
        <v>16</v>
      </c>
      <c r="E221" s="1">
        <v>10</v>
      </c>
      <c r="F221">
        <v>1</v>
      </c>
      <c r="G221">
        <v>3</v>
      </c>
      <c r="H221">
        <v>9.9999999999999995E-7</v>
      </c>
      <c r="I221">
        <f>LOG(1/H221)</f>
        <v>6</v>
      </c>
      <c r="J221">
        <v>10</v>
      </c>
      <c r="K221">
        <f>AVERAGE(F221,G221)</f>
        <v>2</v>
      </c>
      <c r="L221">
        <f>K221/(H221*(J221/1000))</f>
        <v>200000000</v>
      </c>
    </row>
    <row r="222" spans="1:12">
      <c r="A222" t="s">
        <v>14</v>
      </c>
      <c r="B222" t="s">
        <v>15</v>
      </c>
      <c r="C222">
        <f>C202+1</f>
        <v>12</v>
      </c>
      <c r="D222" s="1" t="s">
        <v>16</v>
      </c>
      <c r="E222" s="1">
        <v>1</v>
      </c>
      <c r="F222">
        <v>8</v>
      </c>
      <c r="G222">
        <v>7</v>
      </c>
      <c r="H222">
        <v>1.0000000000000001E-5</v>
      </c>
      <c r="I222">
        <f>LOG(1/H222)</f>
        <v>5</v>
      </c>
      <c r="J222">
        <v>10</v>
      </c>
      <c r="K222">
        <f>AVERAGE(F222,G222)</f>
        <v>7.5</v>
      </c>
      <c r="L222">
        <f>K222/(H222*(J222/1000))</f>
        <v>75000000</v>
      </c>
    </row>
    <row r="223" spans="1:12">
      <c r="A223" t="s">
        <v>14</v>
      </c>
      <c r="B223" t="s">
        <v>15</v>
      </c>
      <c r="C223">
        <f>C203+1</f>
        <v>12</v>
      </c>
      <c r="D223" s="1" t="s">
        <v>16</v>
      </c>
      <c r="E223" s="1">
        <v>2</v>
      </c>
      <c r="F223">
        <v>24</v>
      </c>
      <c r="G223">
        <v>15</v>
      </c>
      <c r="H223">
        <v>1.0000000000000001E-5</v>
      </c>
      <c r="I223">
        <f>LOG(1/H223)</f>
        <v>5</v>
      </c>
      <c r="J223">
        <v>10</v>
      </c>
      <c r="K223">
        <f>AVERAGE(F223,G223)</f>
        <v>19.5</v>
      </c>
      <c r="L223">
        <f>K223/(H223*(J223/1000))</f>
        <v>194999999.99999997</v>
      </c>
    </row>
    <row r="224" spans="1:12">
      <c r="A224" t="s">
        <v>14</v>
      </c>
      <c r="B224" t="s">
        <v>15</v>
      </c>
      <c r="C224">
        <f>C204+1</f>
        <v>12</v>
      </c>
      <c r="D224" s="1" t="s">
        <v>16</v>
      </c>
      <c r="E224" s="1">
        <v>3</v>
      </c>
      <c r="F224">
        <v>4</v>
      </c>
      <c r="G224">
        <v>2</v>
      </c>
      <c r="H224">
        <v>9.9999999999999995E-7</v>
      </c>
      <c r="I224">
        <f>LOG(1/H224)</f>
        <v>6</v>
      </c>
      <c r="J224">
        <v>10</v>
      </c>
      <c r="K224">
        <f>AVERAGE(F224,G224)</f>
        <v>3</v>
      </c>
      <c r="L224">
        <f>K224/(H224*(J224/1000))</f>
        <v>300000000</v>
      </c>
    </row>
    <row r="225" spans="1:12">
      <c r="A225" t="s">
        <v>14</v>
      </c>
      <c r="B225" t="s">
        <v>15</v>
      </c>
      <c r="C225">
        <f>C205+1</f>
        <v>12</v>
      </c>
      <c r="D225" s="1" t="s">
        <v>16</v>
      </c>
      <c r="E225" s="1">
        <v>4</v>
      </c>
      <c r="F225">
        <v>14</v>
      </c>
      <c r="G225">
        <v>12</v>
      </c>
      <c r="H225">
        <v>1.0000000000000001E-5</v>
      </c>
      <c r="I225">
        <f>LOG(1/H225)</f>
        <v>5</v>
      </c>
      <c r="J225">
        <v>10</v>
      </c>
      <c r="K225">
        <f>AVERAGE(F225,G225)</f>
        <v>13</v>
      </c>
      <c r="L225">
        <f>K225/(H225*(J225/1000))</f>
        <v>129999999.99999999</v>
      </c>
    </row>
    <row r="226" spans="1:12">
      <c r="A226" t="s">
        <v>14</v>
      </c>
      <c r="B226" t="s">
        <v>15</v>
      </c>
      <c r="C226">
        <f>C206+1</f>
        <v>12</v>
      </c>
      <c r="D226" s="1" t="s">
        <v>16</v>
      </c>
      <c r="E226" s="1">
        <v>5</v>
      </c>
      <c r="F226">
        <v>5</v>
      </c>
      <c r="G226">
        <v>6</v>
      </c>
      <c r="H226">
        <v>9.9999999999999995E-7</v>
      </c>
      <c r="I226">
        <f>LOG(1/H226)</f>
        <v>6</v>
      </c>
      <c r="J226">
        <v>10</v>
      </c>
      <c r="K226">
        <f>AVERAGE(F226,G226)</f>
        <v>5.5</v>
      </c>
      <c r="L226">
        <f>K226/(H226*(J226/1000))</f>
        <v>550000000</v>
      </c>
    </row>
    <row r="227" spans="1:12">
      <c r="A227" t="s">
        <v>14</v>
      </c>
      <c r="B227" t="s">
        <v>15</v>
      </c>
      <c r="C227">
        <f>C207+1</f>
        <v>12</v>
      </c>
      <c r="D227" s="1" t="s">
        <v>16</v>
      </c>
      <c r="E227" s="1">
        <v>6</v>
      </c>
      <c r="F227">
        <v>11</v>
      </c>
      <c r="G227">
        <v>3</v>
      </c>
      <c r="H227">
        <v>9.9999999999999995E-7</v>
      </c>
      <c r="I227">
        <f>LOG(1/H227)</f>
        <v>6</v>
      </c>
      <c r="J227">
        <v>10</v>
      </c>
      <c r="K227">
        <f>AVERAGE(F227,G227)</f>
        <v>7</v>
      </c>
      <c r="L227">
        <f>K227/(H227*(J227/1000))</f>
        <v>700000000</v>
      </c>
    </row>
    <row r="228" spans="1:12">
      <c r="A228" t="s">
        <v>14</v>
      </c>
      <c r="B228" t="s">
        <v>15</v>
      </c>
      <c r="C228">
        <f>C208+1</f>
        <v>12</v>
      </c>
      <c r="D228" s="1" t="s">
        <v>16</v>
      </c>
      <c r="E228" s="1">
        <v>7</v>
      </c>
      <c r="F228">
        <v>3</v>
      </c>
      <c r="G228">
        <v>1</v>
      </c>
      <c r="H228">
        <v>9.9999999999999995E-7</v>
      </c>
      <c r="I228">
        <f>LOG(1/H228)</f>
        <v>6</v>
      </c>
      <c r="J228">
        <v>10</v>
      </c>
      <c r="K228">
        <f>AVERAGE(F228,G228)</f>
        <v>2</v>
      </c>
      <c r="L228">
        <f>K228/(H228*(J228/1000))</f>
        <v>200000000</v>
      </c>
    </row>
    <row r="229" spans="1:12">
      <c r="A229" t="s">
        <v>14</v>
      </c>
      <c r="B229" t="s">
        <v>15</v>
      </c>
      <c r="C229">
        <f>C209+1</f>
        <v>12</v>
      </c>
      <c r="D229" s="1" t="s">
        <v>16</v>
      </c>
      <c r="E229" s="1">
        <v>8</v>
      </c>
      <c r="F229">
        <v>3</v>
      </c>
      <c r="G229">
        <v>4</v>
      </c>
      <c r="H229">
        <v>1.0000000000000001E-5</v>
      </c>
      <c r="I229">
        <f>LOG(1/H229)</f>
        <v>5</v>
      </c>
      <c r="J229">
        <v>10</v>
      </c>
      <c r="K229">
        <f>AVERAGE(F229,G229)</f>
        <v>3.5</v>
      </c>
      <c r="L229">
        <f>K229/(H229*(J229/1000))</f>
        <v>35000000</v>
      </c>
    </row>
    <row r="230" spans="1:12">
      <c r="A230" t="s">
        <v>14</v>
      </c>
      <c r="B230" t="s">
        <v>15</v>
      </c>
      <c r="C230">
        <f>C210+1</f>
        <v>12</v>
      </c>
      <c r="D230" s="1" t="s">
        <v>16</v>
      </c>
      <c r="E230" s="1">
        <v>9</v>
      </c>
      <c r="F230">
        <v>4</v>
      </c>
      <c r="G230">
        <v>3</v>
      </c>
      <c r="H230">
        <v>9.9999999999999995E-7</v>
      </c>
      <c r="I230">
        <f>LOG(1/H230)</f>
        <v>6</v>
      </c>
      <c r="J230">
        <v>10</v>
      </c>
      <c r="K230">
        <f>AVERAGE(F230,G230)</f>
        <v>3.5</v>
      </c>
      <c r="L230">
        <f>K230/(H230*(J230/1000))</f>
        <v>350000000</v>
      </c>
    </row>
    <row r="231" spans="1:12">
      <c r="A231" t="s">
        <v>14</v>
      </c>
      <c r="B231" t="s">
        <v>15</v>
      </c>
      <c r="C231">
        <f>C211+1</f>
        <v>12</v>
      </c>
      <c r="D231" s="1" t="s">
        <v>16</v>
      </c>
      <c r="E231" s="1">
        <v>10</v>
      </c>
      <c r="F231">
        <v>2</v>
      </c>
      <c r="G231">
        <v>3</v>
      </c>
      <c r="H231">
        <v>9.9999999999999995E-7</v>
      </c>
      <c r="I231">
        <f>LOG(1/H231)</f>
        <v>6</v>
      </c>
      <c r="J231">
        <v>10</v>
      </c>
      <c r="K231">
        <f>AVERAGE(F231,G231)</f>
        <v>2.5</v>
      </c>
      <c r="L231">
        <f>K231/(H231*(J231/1000))</f>
        <v>250000000</v>
      </c>
    </row>
    <row r="232" spans="1:12">
      <c r="A232" t="s">
        <v>14</v>
      </c>
      <c r="B232" t="s">
        <v>15</v>
      </c>
      <c r="C232">
        <f>C212+1</f>
        <v>12.5</v>
      </c>
      <c r="D232" s="1" t="s">
        <v>16</v>
      </c>
      <c r="E232" s="1">
        <v>1</v>
      </c>
      <c r="F232">
        <v>1</v>
      </c>
      <c r="G232">
        <v>2</v>
      </c>
      <c r="H232">
        <v>9.9999999999999995E-7</v>
      </c>
      <c r="I232">
        <f>LOG(1/H232)</f>
        <v>6</v>
      </c>
      <c r="J232">
        <v>10</v>
      </c>
      <c r="K232">
        <f>AVERAGE(F232,G232)</f>
        <v>1.5</v>
      </c>
      <c r="L232">
        <f>K232/(H232*(J232/1000))</f>
        <v>150000000</v>
      </c>
    </row>
    <row r="233" spans="1:12">
      <c r="A233" t="s">
        <v>14</v>
      </c>
      <c r="B233" t="s">
        <v>15</v>
      </c>
      <c r="C233">
        <f>C213+1</f>
        <v>12.5</v>
      </c>
      <c r="D233" s="1" t="s">
        <v>16</v>
      </c>
      <c r="E233" s="1">
        <v>2</v>
      </c>
      <c r="F233">
        <v>3</v>
      </c>
      <c r="G233">
        <v>6</v>
      </c>
      <c r="H233">
        <v>9.9999999999999995E-8</v>
      </c>
      <c r="I233">
        <f>LOG(1/H233)</f>
        <v>7</v>
      </c>
      <c r="J233">
        <v>10</v>
      </c>
      <c r="K233">
        <f>AVERAGE(F233,G233)</f>
        <v>4.5</v>
      </c>
      <c r="L233">
        <f>K233/(H233*(J233/1000))</f>
        <v>4500000000</v>
      </c>
    </row>
    <row r="234" spans="1:12">
      <c r="A234" t="s">
        <v>14</v>
      </c>
      <c r="B234" t="s">
        <v>15</v>
      </c>
      <c r="C234">
        <f>C214+1</f>
        <v>12.5</v>
      </c>
      <c r="D234" s="1" t="s">
        <v>16</v>
      </c>
      <c r="E234" s="1">
        <v>3</v>
      </c>
      <c r="F234">
        <v>6</v>
      </c>
      <c r="G234">
        <v>4</v>
      </c>
      <c r="H234">
        <v>9.9999999999999995E-7</v>
      </c>
      <c r="I234">
        <f>LOG(1/H234)</f>
        <v>6</v>
      </c>
      <c r="J234">
        <v>10</v>
      </c>
      <c r="K234">
        <f>AVERAGE(F234,G234)</f>
        <v>5</v>
      </c>
      <c r="L234">
        <f>K234/(H234*(J234/1000))</f>
        <v>500000000</v>
      </c>
    </row>
    <row r="235" spans="1:12">
      <c r="A235" t="s">
        <v>14</v>
      </c>
      <c r="B235" t="s">
        <v>15</v>
      </c>
      <c r="C235">
        <f>C215+1</f>
        <v>12.5</v>
      </c>
      <c r="D235" s="1" t="s">
        <v>16</v>
      </c>
      <c r="E235" s="1">
        <v>4</v>
      </c>
      <c r="F235">
        <v>3</v>
      </c>
      <c r="G235">
        <v>3</v>
      </c>
      <c r="H235">
        <v>9.9999999999999995E-7</v>
      </c>
      <c r="I235">
        <f>LOG(1/H235)</f>
        <v>6</v>
      </c>
      <c r="J235">
        <v>10</v>
      </c>
      <c r="K235">
        <f>AVERAGE(F235,G235)</f>
        <v>3</v>
      </c>
      <c r="L235">
        <f>K235/(H235*(J235/1000))</f>
        <v>300000000</v>
      </c>
    </row>
    <row r="236" spans="1:12">
      <c r="A236" t="s">
        <v>14</v>
      </c>
      <c r="B236" t="s">
        <v>15</v>
      </c>
      <c r="C236">
        <f>C216+1</f>
        <v>12.5</v>
      </c>
      <c r="D236" s="1" t="s">
        <v>16</v>
      </c>
      <c r="E236" s="1">
        <v>5</v>
      </c>
      <c r="F236">
        <v>2</v>
      </c>
      <c r="G236">
        <v>2</v>
      </c>
      <c r="H236">
        <v>9.9999999999999995E-7</v>
      </c>
      <c r="I236">
        <f>LOG(1/H236)</f>
        <v>6</v>
      </c>
      <c r="J236">
        <v>10</v>
      </c>
      <c r="K236">
        <f>AVERAGE(F236,G236)</f>
        <v>2</v>
      </c>
      <c r="L236">
        <f>K236/(H236*(J236/1000))</f>
        <v>200000000</v>
      </c>
    </row>
    <row r="237" spans="1:12">
      <c r="A237" t="s">
        <v>14</v>
      </c>
      <c r="B237" t="s">
        <v>15</v>
      </c>
      <c r="C237">
        <f>C217+1</f>
        <v>12.5</v>
      </c>
      <c r="D237" s="1" t="s">
        <v>16</v>
      </c>
      <c r="E237" s="1">
        <v>6</v>
      </c>
      <c r="F237">
        <v>15</v>
      </c>
      <c r="G237">
        <v>7</v>
      </c>
      <c r="H237">
        <v>9.9999999999999995E-7</v>
      </c>
      <c r="I237">
        <f>LOG(1/H237)</f>
        <v>6</v>
      </c>
      <c r="J237">
        <v>10</v>
      </c>
      <c r="K237">
        <f>AVERAGE(F237,G237)</f>
        <v>11</v>
      </c>
      <c r="L237">
        <f>K237/(H237*(J237/1000))</f>
        <v>1100000000</v>
      </c>
    </row>
    <row r="238" spans="1:12">
      <c r="A238" t="s">
        <v>14</v>
      </c>
      <c r="B238" t="s">
        <v>15</v>
      </c>
      <c r="C238">
        <f>C218+1</f>
        <v>12.5</v>
      </c>
      <c r="D238" s="1" t="s">
        <v>16</v>
      </c>
      <c r="E238" s="1">
        <v>7</v>
      </c>
      <c r="F238">
        <v>6</v>
      </c>
      <c r="G238">
        <v>13</v>
      </c>
      <c r="H238">
        <v>1.0000000000000001E-5</v>
      </c>
      <c r="I238">
        <f>LOG(1/H238)</f>
        <v>5</v>
      </c>
      <c r="J238">
        <v>10</v>
      </c>
      <c r="K238">
        <f>AVERAGE(F238,G238)</f>
        <v>9.5</v>
      </c>
      <c r="L238">
        <f>K238/(H238*(J238/1000))</f>
        <v>94999999.999999985</v>
      </c>
    </row>
    <row r="239" spans="1:12">
      <c r="A239" t="s">
        <v>14</v>
      </c>
      <c r="B239" t="s">
        <v>15</v>
      </c>
      <c r="C239">
        <f>C219+1</f>
        <v>12.5</v>
      </c>
      <c r="D239" s="1" t="s">
        <v>16</v>
      </c>
      <c r="E239" s="1">
        <v>8</v>
      </c>
      <c r="F239">
        <v>14</v>
      </c>
      <c r="G239">
        <v>17</v>
      </c>
      <c r="H239">
        <v>1E-4</v>
      </c>
      <c r="I239">
        <f>LOG(1/H239)</f>
        <v>4</v>
      </c>
      <c r="J239">
        <v>10</v>
      </c>
      <c r="K239">
        <f>AVERAGE(F239,G239)</f>
        <v>15.5</v>
      </c>
      <c r="L239">
        <f>K239/(H239*(J239/1000))</f>
        <v>15499999.999999998</v>
      </c>
    </row>
    <row r="240" spans="1:12">
      <c r="A240" t="s">
        <v>14</v>
      </c>
      <c r="B240" t="s">
        <v>15</v>
      </c>
      <c r="C240">
        <f>C220+1</f>
        <v>12.5</v>
      </c>
      <c r="D240" s="1" t="s">
        <v>16</v>
      </c>
      <c r="E240" s="1">
        <v>9</v>
      </c>
      <c r="F240">
        <v>2</v>
      </c>
      <c r="G240">
        <v>3</v>
      </c>
      <c r="H240">
        <v>9.9999999999999995E-7</v>
      </c>
      <c r="I240">
        <f>LOG(1/H240)</f>
        <v>6</v>
      </c>
      <c r="J240">
        <v>10</v>
      </c>
      <c r="K240">
        <f>AVERAGE(F240,G240)</f>
        <v>2.5</v>
      </c>
      <c r="L240">
        <f>K240/(H240*(J240/1000))</f>
        <v>250000000</v>
      </c>
    </row>
    <row r="241" spans="1:12">
      <c r="A241" t="s">
        <v>14</v>
      </c>
      <c r="B241" t="s">
        <v>15</v>
      </c>
      <c r="C241">
        <f>C221+1</f>
        <v>12.5</v>
      </c>
      <c r="D241" s="1" t="s">
        <v>16</v>
      </c>
      <c r="E241" s="1">
        <v>10</v>
      </c>
      <c r="F241">
        <v>4</v>
      </c>
      <c r="G241">
        <v>3</v>
      </c>
      <c r="H241">
        <v>9.9999999999999995E-7</v>
      </c>
      <c r="I241">
        <f>LOG(1/H241)</f>
        <v>6</v>
      </c>
      <c r="J241">
        <v>10</v>
      </c>
      <c r="K241">
        <f>AVERAGE(F241,G241)</f>
        <v>3.5</v>
      </c>
      <c r="L241">
        <f>K241/(H241*(J241/1000))</f>
        <v>350000000</v>
      </c>
    </row>
    <row r="242" spans="1:12">
      <c r="A242" t="s">
        <v>14</v>
      </c>
      <c r="B242" t="s">
        <v>15</v>
      </c>
      <c r="C242">
        <f>C222+1</f>
        <v>13</v>
      </c>
      <c r="D242" s="1" t="s">
        <v>16</v>
      </c>
      <c r="E242" s="1">
        <v>1</v>
      </c>
      <c r="F242">
        <v>7</v>
      </c>
      <c r="G242">
        <v>4</v>
      </c>
      <c r="H242">
        <v>9.9999999999999995E-7</v>
      </c>
      <c r="I242">
        <f>LOG(1/H242)</f>
        <v>6</v>
      </c>
      <c r="J242">
        <v>10</v>
      </c>
      <c r="K242">
        <f>AVERAGE(F242,G242)</f>
        <v>5.5</v>
      </c>
      <c r="L242">
        <f>K242/(H242*(J242/1000))</f>
        <v>550000000</v>
      </c>
    </row>
    <row r="243" spans="1:12">
      <c r="A243" t="s">
        <v>14</v>
      </c>
      <c r="B243" t="s">
        <v>15</v>
      </c>
      <c r="C243">
        <f>C223+1</f>
        <v>13</v>
      </c>
      <c r="D243" s="1" t="s">
        <v>16</v>
      </c>
      <c r="E243" s="1">
        <v>2</v>
      </c>
      <c r="F243">
        <v>1</v>
      </c>
      <c r="G243">
        <v>2</v>
      </c>
      <c r="H243">
        <v>9.9999999999999995E-7</v>
      </c>
      <c r="I243">
        <f>LOG(1/H243)</f>
        <v>6</v>
      </c>
      <c r="J243">
        <v>10</v>
      </c>
      <c r="K243">
        <f>AVERAGE(F243,G243)</f>
        <v>1.5</v>
      </c>
      <c r="L243">
        <f>K243/(H243*(J243/1000))</f>
        <v>150000000</v>
      </c>
    </row>
    <row r="244" spans="1:12">
      <c r="A244" t="s">
        <v>14</v>
      </c>
      <c r="B244" t="s">
        <v>15</v>
      </c>
      <c r="C244">
        <f>C224+1</f>
        <v>13</v>
      </c>
      <c r="D244" s="1" t="s">
        <v>16</v>
      </c>
      <c r="E244" s="1">
        <v>3</v>
      </c>
      <c r="F244">
        <v>3</v>
      </c>
      <c r="G244">
        <v>2</v>
      </c>
      <c r="H244">
        <v>9.9999999999999995E-7</v>
      </c>
      <c r="I244">
        <f>LOG(1/H244)</f>
        <v>6</v>
      </c>
      <c r="J244">
        <v>10</v>
      </c>
      <c r="K244">
        <f>AVERAGE(F244,G244)</f>
        <v>2.5</v>
      </c>
      <c r="L244">
        <f>K244/(H244*(J244/1000))</f>
        <v>250000000</v>
      </c>
    </row>
    <row r="245" spans="1:12">
      <c r="A245" t="s">
        <v>14</v>
      </c>
      <c r="B245" t="s">
        <v>15</v>
      </c>
      <c r="C245">
        <f>C225+1</f>
        <v>13</v>
      </c>
      <c r="D245" s="1" t="s">
        <v>16</v>
      </c>
      <c r="E245" s="1">
        <v>4</v>
      </c>
      <c r="F245">
        <v>2</v>
      </c>
      <c r="G245">
        <v>3</v>
      </c>
      <c r="H245">
        <v>9.9999999999999995E-7</v>
      </c>
      <c r="I245">
        <f>LOG(1/H245)</f>
        <v>6</v>
      </c>
      <c r="J245">
        <v>10</v>
      </c>
      <c r="K245">
        <f>AVERAGE(F245,G245)</f>
        <v>2.5</v>
      </c>
      <c r="L245">
        <f>K245/(H245*(J245/1000))</f>
        <v>250000000</v>
      </c>
    </row>
    <row r="246" spans="1:12">
      <c r="A246" t="s">
        <v>14</v>
      </c>
      <c r="B246" t="s">
        <v>15</v>
      </c>
      <c r="C246">
        <f>C226+1</f>
        <v>13</v>
      </c>
      <c r="D246" s="1" t="s">
        <v>16</v>
      </c>
      <c r="E246" s="1">
        <v>5</v>
      </c>
      <c r="F246">
        <v>3</v>
      </c>
      <c r="G246">
        <v>2</v>
      </c>
      <c r="H246">
        <v>9.9999999999999995E-7</v>
      </c>
      <c r="I246">
        <f>LOG(1/H246)</f>
        <v>6</v>
      </c>
      <c r="J246">
        <v>10</v>
      </c>
      <c r="K246">
        <f>AVERAGE(F246,G246)</f>
        <v>2.5</v>
      </c>
      <c r="L246">
        <f>K246/(H246*(J246/1000))</f>
        <v>250000000</v>
      </c>
    </row>
    <row r="247" spans="1:12">
      <c r="A247" t="s">
        <v>14</v>
      </c>
      <c r="B247" t="s">
        <v>15</v>
      </c>
      <c r="C247">
        <f>C227+1</f>
        <v>13</v>
      </c>
      <c r="D247" s="1" t="s">
        <v>16</v>
      </c>
      <c r="E247" s="1">
        <v>6</v>
      </c>
      <c r="F247">
        <v>27</v>
      </c>
      <c r="G247" s="5">
        <v>50</v>
      </c>
      <c r="H247">
        <v>1.0000000000000001E-5</v>
      </c>
      <c r="I247">
        <f>LOG(1/H247)</f>
        <v>5</v>
      </c>
      <c r="J247">
        <v>10</v>
      </c>
      <c r="K247">
        <f>AVERAGE(F247,G247)</f>
        <v>38.5</v>
      </c>
      <c r="L247">
        <f>K247/(H247*(J247/1000))</f>
        <v>384999999.99999994</v>
      </c>
    </row>
    <row r="248" spans="1:12">
      <c r="A248" t="s">
        <v>14</v>
      </c>
      <c r="B248" t="s">
        <v>15</v>
      </c>
      <c r="C248">
        <f>C228+1</f>
        <v>13</v>
      </c>
      <c r="D248" s="1" t="s">
        <v>16</v>
      </c>
      <c r="E248" s="1">
        <v>7</v>
      </c>
      <c r="F248">
        <v>17</v>
      </c>
      <c r="G248">
        <v>6</v>
      </c>
      <c r="H248">
        <v>1.0000000000000001E-5</v>
      </c>
      <c r="I248">
        <f>LOG(1/H248)</f>
        <v>5</v>
      </c>
      <c r="J248">
        <v>10</v>
      </c>
      <c r="K248">
        <f>AVERAGE(F248,G248)</f>
        <v>11.5</v>
      </c>
      <c r="L248">
        <f>K248/(H248*(J248/1000))</f>
        <v>114999999.99999999</v>
      </c>
    </row>
    <row r="249" spans="1:12">
      <c r="A249" t="s">
        <v>14</v>
      </c>
      <c r="B249" t="s">
        <v>15</v>
      </c>
      <c r="C249">
        <f>C229+1</f>
        <v>13</v>
      </c>
      <c r="D249" s="1" t="s">
        <v>16</v>
      </c>
      <c r="E249" s="1">
        <v>8</v>
      </c>
      <c r="F249">
        <v>3</v>
      </c>
      <c r="G249">
        <v>1</v>
      </c>
      <c r="H249">
        <v>1.0000000000000001E-5</v>
      </c>
      <c r="I249">
        <f>LOG(1/H249)</f>
        <v>5</v>
      </c>
      <c r="J249">
        <v>10</v>
      </c>
      <c r="K249">
        <f>AVERAGE(F249,G249)</f>
        <v>2</v>
      </c>
      <c r="L249">
        <f>K249/(H249*(J249/1000))</f>
        <v>20000000</v>
      </c>
    </row>
    <row r="250" spans="1:12">
      <c r="A250" t="s">
        <v>14</v>
      </c>
      <c r="B250" t="s">
        <v>15</v>
      </c>
      <c r="C250">
        <f>C230+1</f>
        <v>13</v>
      </c>
      <c r="D250" s="1" t="s">
        <v>16</v>
      </c>
      <c r="E250" s="1">
        <v>9</v>
      </c>
      <c r="F250">
        <v>1</v>
      </c>
      <c r="G250">
        <v>1</v>
      </c>
      <c r="H250">
        <v>9.9999999999999995E-7</v>
      </c>
      <c r="I250">
        <f>LOG(1/H250)</f>
        <v>6</v>
      </c>
      <c r="J250">
        <v>10</v>
      </c>
      <c r="K250">
        <f>AVERAGE(F250,G250)</f>
        <v>1</v>
      </c>
      <c r="L250">
        <f>K250/(H250*(J250/1000))</f>
        <v>100000000</v>
      </c>
    </row>
    <row r="251" spans="1:12">
      <c r="A251" t="s">
        <v>14</v>
      </c>
      <c r="B251" t="s">
        <v>15</v>
      </c>
      <c r="C251">
        <f>C231+1</f>
        <v>13</v>
      </c>
      <c r="D251" s="1" t="s">
        <v>16</v>
      </c>
      <c r="E251" s="1">
        <v>10</v>
      </c>
      <c r="F251">
        <v>2</v>
      </c>
      <c r="G251">
        <v>8</v>
      </c>
      <c r="H251">
        <v>9.9999999999999995E-7</v>
      </c>
      <c r="I251">
        <f>LOG(1/H251)</f>
        <v>6</v>
      </c>
      <c r="J251">
        <v>10</v>
      </c>
      <c r="K251">
        <f>AVERAGE(F251,G251)</f>
        <v>5</v>
      </c>
      <c r="L251">
        <f>K251/(H251*(J251/1000))</f>
        <v>500000000</v>
      </c>
    </row>
    <row r="252" spans="1:12">
      <c r="A252" t="s">
        <v>14</v>
      </c>
      <c r="B252" t="s">
        <v>15</v>
      </c>
      <c r="C252">
        <f>C232+1</f>
        <v>13.5</v>
      </c>
      <c r="D252" s="1" t="s">
        <v>16</v>
      </c>
      <c r="E252" s="1">
        <v>1</v>
      </c>
      <c r="F252">
        <v>5</v>
      </c>
      <c r="G252">
        <v>3</v>
      </c>
      <c r="H252">
        <v>1.0000000000000001E-5</v>
      </c>
      <c r="I252">
        <f>LOG(1/H252)</f>
        <v>5</v>
      </c>
      <c r="J252">
        <v>10</v>
      </c>
      <c r="K252">
        <f>AVERAGE(F252,G252)</f>
        <v>4</v>
      </c>
      <c r="L252">
        <f>K252/(H252*(J252/1000))</f>
        <v>40000000</v>
      </c>
    </row>
    <row r="253" spans="1:12">
      <c r="A253" t="s">
        <v>14</v>
      </c>
      <c r="B253" t="s">
        <v>15</v>
      </c>
      <c r="C253">
        <f>C233+1</f>
        <v>13.5</v>
      </c>
      <c r="D253" s="1" t="s">
        <v>16</v>
      </c>
      <c r="E253" s="1">
        <v>2</v>
      </c>
      <c r="F253">
        <v>15</v>
      </c>
      <c r="G253">
        <v>10</v>
      </c>
      <c r="H253">
        <v>1.0000000000000001E-5</v>
      </c>
      <c r="I253">
        <f>LOG(1/H253)</f>
        <v>5</v>
      </c>
      <c r="J253">
        <v>10</v>
      </c>
      <c r="K253">
        <f>AVERAGE(F253,G253)</f>
        <v>12.5</v>
      </c>
      <c r="L253">
        <f>K253/(H253*(J253/1000))</f>
        <v>124999999.99999999</v>
      </c>
    </row>
    <row r="254" spans="1:12">
      <c r="A254" t="s">
        <v>14</v>
      </c>
      <c r="B254" t="s">
        <v>15</v>
      </c>
      <c r="C254">
        <f>C234+1</f>
        <v>13.5</v>
      </c>
      <c r="D254" s="1" t="s">
        <v>16</v>
      </c>
      <c r="E254" s="1">
        <v>3</v>
      </c>
      <c r="F254">
        <v>2</v>
      </c>
      <c r="G254">
        <v>6</v>
      </c>
      <c r="H254">
        <v>9.9999999999999995E-7</v>
      </c>
      <c r="I254">
        <f>LOG(1/H254)</f>
        <v>6</v>
      </c>
      <c r="J254">
        <v>10</v>
      </c>
      <c r="K254">
        <f>AVERAGE(F254,G254)</f>
        <v>4</v>
      </c>
      <c r="L254">
        <f>K254/(H254*(J254/1000))</f>
        <v>400000000</v>
      </c>
    </row>
    <row r="255" spans="1:12">
      <c r="A255" t="s">
        <v>14</v>
      </c>
      <c r="B255" t="s">
        <v>15</v>
      </c>
      <c r="C255">
        <f>C235+1</f>
        <v>13.5</v>
      </c>
      <c r="D255" s="1" t="s">
        <v>16</v>
      </c>
      <c r="E255" s="1">
        <v>4</v>
      </c>
      <c r="F255">
        <v>5</v>
      </c>
      <c r="G255">
        <v>3</v>
      </c>
      <c r="H255">
        <v>9.9999999999999995E-7</v>
      </c>
      <c r="I255">
        <f>LOG(1/H255)</f>
        <v>6</v>
      </c>
      <c r="J255">
        <v>10</v>
      </c>
      <c r="K255">
        <f>AVERAGE(F255,G255)</f>
        <v>4</v>
      </c>
      <c r="L255">
        <f>K255/(H255*(J255/1000))</f>
        <v>400000000</v>
      </c>
    </row>
    <row r="256" spans="1:12">
      <c r="A256" t="s">
        <v>14</v>
      </c>
      <c r="B256" t="s">
        <v>15</v>
      </c>
      <c r="C256">
        <f>C236+1</f>
        <v>13.5</v>
      </c>
      <c r="D256" s="1" t="s">
        <v>16</v>
      </c>
      <c r="E256" s="1">
        <v>5</v>
      </c>
      <c r="F256">
        <v>10</v>
      </c>
      <c r="G256">
        <v>12</v>
      </c>
      <c r="H256">
        <v>1.0000000000000001E-5</v>
      </c>
      <c r="I256">
        <f>LOG(1/H256)</f>
        <v>5</v>
      </c>
      <c r="J256">
        <v>10</v>
      </c>
      <c r="K256">
        <f>AVERAGE(F256,G256)</f>
        <v>11</v>
      </c>
      <c r="L256">
        <f>K256/(H256*(J256/1000))</f>
        <v>109999999.99999999</v>
      </c>
    </row>
    <row r="257" spans="1:12">
      <c r="A257" t="s">
        <v>14</v>
      </c>
      <c r="B257" t="s">
        <v>15</v>
      </c>
      <c r="C257">
        <f>C237+1</f>
        <v>13.5</v>
      </c>
      <c r="D257" s="1" t="s">
        <v>16</v>
      </c>
      <c r="E257" s="1">
        <v>6</v>
      </c>
      <c r="F257">
        <v>6</v>
      </c>
      <c r="G257">
        <v>5</v>
      </c>
      <c r="H257">
        <v>9.9999999999999995E-7</v>
      </c>
      <c r="I257">
        <f>LOG(1/H257)</f>
        <v>6</v>
      </c>
      <c r="J257">
        <v>10</v>
      </c>
      <c r="K257">
        <f>AVERAGE(F257,G257)</f>
        <v>5.5</v>
      </c>
      <c r="L257">
        <f>K257/(H257*(J257/1000))</f>
        <v>550000000</v>
      </c>
    </row>
    <row r="258" spans="1:12">
      <c r="A258" t="s">
        <v>14</v>
      </c>
      <c r="B258" t="s">
        <v>15</v>
      </c>
      <c r="C258">
        <f>C238+1</f>
        <v>13.5</v>
      </c>
      <c r="D258" s="1" t="s">
        <v>16</v>
      </c>
      <c r="E258" s="1">
        <v>7</v>
      </c>
      <c r="F258">
        <v>11</v>
      </c>
      <c r="G258">
        <v>17</v>
      </c>
      <c r="H258">
        <v>1.0000000000000001E-5</v>
      </c>
      <c r="I258">
        <f>LOG(1/H258)</f>
        <v>5</v>
      </c>
      <c r="J258">
        <v>10</v>
      </c>
      <c r="K258">
        <f>AVERAGE(F258,G258)</f>
        <v>14</v>
      </c>
      <c r="L258">
        <f>K258/(H258*(J258/1000))</f>
        <v>140000000</v>
      </c>
    </row>
    <row r="259" spans="1:12">
      <c r="A259" t="s">
        <v>14</v>
      </c>
      <c r="B259" t="s">
        <v>15</v>
      </c>
      <c r="C259">
        <f>C239+1</f>
        <v>13.5</v>
      </c>
      <c r="D259" s="1" t="s">
        <v>16</v>
      </c>
      <c r="E259" s="1">
        <v>8</v>
      </c>
      <c r="F259">
        <v>3</v>
      </c>
      <c r="G259">
        <v>1</v>
      </c>
      <c r="H259">
        <v>1.0000000000000001E-5</v>
      </c>
      <c r="I259">
        <f>LOG(1/H259)</f>
        <v>5</v>
      </c>
      <c r="J259">
        <v>10</v>
      </c>
      <c r="K259">
        <f>AVERAGE(F259,G259)</f>
        <v>2</v>
      </c>
      <c r="L259">
        <f>K259/(H259*(J259/1000))</f>
        <v>20000000</v>
      </c>
    </row>
    <row r="260" spans="1:12">
      <c r="A260" t="s">
        <v>14</v>
      </c>
      <c r="B260" t="s">
        <v>15</v>
      </c>
      <c r="C260">
        <f>C240+1</f>
        <v>13.5</v>
      </c>
      <c r="D260" s="1" t="s">
        <v>16</v>
      </c>
      <c r="E260" s="1">
        <v>9</v>
      </c>
      <c r="F260">
        <v>7</v>
      </c>
      <c r="G260">
        <v>9</v>
      </c>
      <c r="H260">
        <v>1.0000000000000001E-5</v>
      </c>
      <c r="I260">
        <f>LOG(1/H260)</f>
        <v>5</v>
      </c>
      <c r="J260">
        <v>10</v>
      </c>
      <c r="K260">
        <f>AVERAGE(F260,G260)</f>
        <v>8</v>
      </c>
      <c r="L260">
        <f>K260/(H260*(J260/1000))</f>
        <v>80000000</v>
      </c>
    </row>
    <row r="261" spans="1:12">
      <c r="A261" t="s">
        <v>14</v>
      </c>
      <c r="B261" t="s">
        <v>15</v>
      </c>
      <c r="C261">
        <f>C241+1</f>
        <v>13.5</v>
      </c>
      <c r="D261" s="1" t="s">
        <v>16</v>
      </c>
      <c r="E261" s="1">
        <v>10</v>
      </c>
      <c r="F261">
        <v>7</v>
      </c>
      <c r="G261">
        <v>17</v>
      </c>
      <c r="H261">
        <v>1.0000000000000001E-5</v>
      </c>
      <c r="I261">
        <f>LOG(1/H261)</f>
        <v>5</v>
      </c>
      <c r="J261">
        <v>10</v>
      </c>
      <c r="K261">
        <f>AVERAGE(F261,G261)</f>
        <v>12</v>
      </c>
      <c r="L261">
        <f>K261/(H261*(J261/1000))</f>
        <v>119999999.99999999</v>
      </c>
    </row>
    <row r="262" spans="1:12">
      <c r="A262" t="s">
        <v>14</v>
      </c>
      <c r="B262" t="s">
        <v>15</v>
      </c>
      <c r="C262">
        <f>C242+1</f>
        <v>14</v>
      </c>
      <c r="D262" s="1" t="s">
        <v>16</v>
      </c>
      <c r="E262" s="1">
        <v>1</v>
      </c>
      <c r="F262" s="5">
        <v>30</v>
      </c>
      <c r="G262">
        <v>20</v>
      </c>
      <c r="H262">
        <v>1E-4</v>
      </c>
      <c r="I262">
        <f>LOG(1/H262)</f>
        <v>4</v>
      </c>
      <c r="J262">
        <v>10</v>
      </c>
      <c r="K262">
        <f>AVERAGE(F262,G262)</f>
        <v>25</v>
      </c>
      <c r="L262">
        <f>K262/(H262*(J262/1000))</f>
        <v>24999999.999999996</v>
      </c>
    </row>
    <row r="263" spans="1:12">
      <c r="A263" t="s">
        <v>14</v>
      </c>
      <c r="B263" t="s">
        <v>15</v>
      </c>
      <c r="C263">
        <f>C243+1</f>
        <v>14</v>
      </c>
      <c r="D263" s="1" t="s">
        <v>16</v>
      </c>
      <c r="E263" s="1">
        <v>2</v>
      </c>
      <c r="F263">
        <v>4</v>
      </c>
      <c r="G263">
        <v>9</v>
      </c>
      <c r="H263">
        <v>1.0000000000000001E-5</v>
      </c>
      <c r="I263">
        <f>LOG(1/H263)</f>
        <v>5</v>
      </c>
      <c r="J263">
        <v>10</v>
      </c>
      <c r="K263">
        <f>AVERAGE(F263,G263)</f>
        <v>6.5</v>
      </c>
      <c r="L263">
        <f>K263/(H263*(J263/1000))</f>
        <v>64999999.999999993</v>
      </c>
    </row>
    <row r="264" spans="1:12">
      <c r="A264" t="s">
        <v>14</v>
      </c>
      <c r="B264" t="s">
        <v>15</v>
      </c>
      <c r="C264">
        <f>C244+1</f>
        <v>14</v>
      </c>
      <c r="D264" s="1" t="s">
        <v>16</v>
      </c>
      <c r="E264" s="1">
        <v>3</v>
      </c>
      <c r="F264">
        <v>2</v>
      </c>
      <c r="G264">
        <v>5</v>
      </c>
      <c r="H264">
        <v>9.9999999999999995E-7</v>
      </c>
      <c r="I264">
        <f>LOG(1/H264)</f>
        <v>6</v>
      </c>
      <c r="J264">
        <v>10</v>
      </c>
      <c r="K264">
        <f>AVERAGE(F264,G264)</f>
        <v>3.5</v>
      </c>
      <c r="L264">
        <f>K264/(H264*(J264/1000))</f>
        <v>350000000</v>
      </c>
    </row>
    <row r="265" spans="1:12">
      <c r="A265" t="s">
        <v>14</v>
      </c>
      <c r="B265" t="s">
        <v>15</v>
      </c>
      <c r="C265">
        <f>C245+1</f>
        <v>14</v>
      </c>
      <c r="D265" s="1" t="s">
        <v>16</v>
      </c>
      <c r="E265" s="1">
        <v>4</v>
      </c>
      <c r="F265">
        <v>1</v>
      </c>
      <c r="G265">
        <v>4</v>
      </c>
      <c r="H265">
        <v>9.9999999999999995E-7</v>
      </c>
      <c r="I265">
        <f>LOG(1/H265)</f>
        <v>6</v>
      </c>
      <c r="J265">
        <v>10</v>
      </c>
      <c r="K265">
        <f>AVERAGE(F265,G265)</f>
        <v>2.5</v>
      </c>
      <c r="L265">
        <f>K265/(H265*(J265/1000))</f>
        <v>250000000</v>
      </c>
    </row>
    <row r="266" spans="1:12">
      <c r="A266" t="s">
        <v>14</v>
      </c>
      <c r="B266" t="s">
        <v>15</v>
      </c>
      <c r="C266">
        <f>C246+1</f>
        <v>14</v>
      </c>
      <c r="D266" s="1" t="s">
        <v>16</v>
      </c>
      <c r="E266" s="1">
        <v>5</v>
      </c>
      <c r="F266">
        <v>3</v>
      </c>
      <c r="G266">
        <v>11</v>
      </c>
      <c r="H266">
        <v>1.0000000000000001E-5</v>
      </c>
      <c r="I266">
        <f>LOG(1/H266)</f>
        <v>5</v>
      </c>
      <c r="J266">
        <v>10</v>
      </c>
      <c r="K266">
        <f>AVERAGE(F266,G266)</f>
        <v>7</v>
      </c>
      <c r="L266">
        <f>K266/(H266*(J266/1000))</f>
        <v>70000000</v>
      </c>
    </row>
    <row r="267" spans="1:12">
      <c r="A267" t="s">
        <v>14</v>
      </c>
      <c r="B267" t="s">
        <v>15</v>
      </c>
      <c r="C267">
        <f>C247+1</f>
        <v>14</v>
      </c>
      <c r="D267" s="1" t="s">
        <v>16</v>
      </c>
      <c r="E267" s="1">
        <v>6</v>
      </c>
      <c r="F267">
        <v>3</v>
      </c>
      <c r="G267">
        <v>8</v>
      </c>
      <c r="H267">
        <v>9.9999999999999995E-7</v>
      </c>
      <c r="I267">
        <f>LOG(1/H267)</f>
        <v>6</v>
      </c>
      <c r="J267">
        <v>10</v>
      </c>
      <c r="K267">
        <f>AVERAGE(F267,G267)</f>
        <v>5.5</v>
      </c>
      <c r="L267">
        <f>K267/(H267*(J267/1000))</f>
        <v>550000000</v>
      </c>
    </row>
    <row r="268" spans="1:12">
      <c r="A268" t="s">
        <v>14</v>
      </c>
      <c r="B268" t="s">
        <v>15</v>
      </c>
      <c r="C268">
        <f>C248+1</f>
        <v>14</v>
      </c>
      <c r="D268" s="1" t="s">
        <v>16</v>
      </c>
      <c r="E268" s="1">
        <v>7</v>
      </c>
      <c r="F268">
        <v>5</v>
      </c>
      <c r="G268">
        <v>3</v>
      </c>
      <c r="H268">
        <v>1.0000000000000001E-5</v>
      </c>
      <c r="I268">
        <f>LOG(1/H268)</f>
        <v>5</v>
      </c>
      <c r="J268">
        <v>10</v>
      </c>
      <c r="K268">
        <f>AVERAGE(F268,G268)</f>
        <v>4</v>
      </c>
      <c r="L268">
        <f>K268/(H268*(J268/1000))</f>
        <v>40000000</v>
      </c>
    </row>
    <row r="269" spans="1:12">
      <c r="A269" t="s">
        <v>14</v>
      </c>
      <c r="B269" t="s">
        <v>15</v>
      </c>
      <c r="C269">
        <f>C249+1</f>
        <v>14</v>
      </c>
      <c r="D269" s="1" t="s">
        <v>16</v>
      </c>
      <c r="E269" s="1">
        <v>8</v>
      </c>
      <c r="F269">
        <v>14</v>
      </c>
      <c r="G269">
        <v>9</v>
      </c>
      <c r="H269">
        <v>1E-4</v>
      </c>
      <c r="I269">
        <f>LOG(1/H269)</f>
        <v>4</v>
      </c>
      <c r="J269">
        <v>10</v>
      </c>
      <c r="K269">
        <f>AVERAGE(F269,G269)</f>
        <v>11.5</v>
      </c>
      <c r="L269">
        <f>K269/(H269*(J269/1000))</f>
        <v>11499999.999999998</v>
      </c>
    </row>
    <row r="270" spans="1:12">
      <c r="A270" t="s">
        <v>14</v>
      </c>
      <c r="B270" t="s">
        <v>15</v>
      </c>
      <c r="C270">
        <f>C250+1</f>
        <v>14</v>
      </c>
      <c r="D270" s="1" t="s">
        <v>16</v>
      </c>
      <c r="E270" s="1">
        <v>9</v>
      </c>
      <c r="F270">
        <v>3</v>
      </c>
      <c r="G270">
        <v>5</v>
      </c>
      <c r="H270">
        <v>9.9999999999999995E-7</v>
      </c>
      <c r="I270">
        <f>LOG(1/H270)</f>
        <v>6</v>
      </c>
      <c r="J270">
        <v>10</v>
      </c>
      <c r="K270">
        <f>AVERAGE(F270,G270)</f>
        <v>4</v>
      </c>
      <c r="L270">
        <f>K270/(H270*(J270/1000))</f>
        <v>400000000</v>
      </c>
    </row>
    <row r="271" spans="1:12">
      <c r="A271" t="s">
        <v>14</v>
      </c>
      <c r="B271" t="s">
        <v>15</v>
      </c>
      <c r="C271">
        <f>C251+1</f>
        <v>14</v>
      </c>
      <c r="D271" s="1" t="s">
        <v>16</v>
      </c>
      <c r="E271" s="1">
        <v>10</v>
      </c>
      <c r="F271">
        <v>3</v>
      </c>
      <c r="G271">
        <v>3</v>
      </c>
      <c r="H271">
        <v>9.9999999999999995E-7</v>
      </c>
      <c r="I271">
        <f>LOG(1/H271)</f>
        <v>6</v>
      </c>
      <c r="J271">
        <v>10</v>
      </c>
      <c r="K271">
        <f>AVERAGE(F271,G271)</f>
        <v>3</v>
      </c>
      <c r="L271">
        <f>K271/(H271*(J271/1000))</f>
        <v>300000000</v>
      </c>
    </row>
    <row r="272" spans="1:12">
      <c r="A272" t="s">
        <v>14</v>
      </c>
      <c r="B272" t="s">
        <v>15</v>
      </c>
      <c r="C272">
        <f>C252+1</f>
        <v>14.5</v>
      </c>
      <c r="D272" s="1" t="s">
        <v>16</v>
      </c>
      <c r="E272" s="1">
        <v>1</v>
      </c>
      <c r="F272">
        <v>5</v>
      </c>
      <c r="G272">
        <v>4</v>
      </c>
      <c r="H272">
        <v>1.0000000000000001E-5</v>
      </c>
      <c r="I272">
        <f>LOG(1/H272)</f>
        <v>5</v>
      </c>
      <c r="J272">
        <v>10</v>
      </c>
      <c r="K272">
        <f>AVERAGE(F272,G272)</f>
        <v>4.5</v>
      </c>
      <c r="L272">
        <f>K272/(H272*(J272/1000))</f>
        <v>44999999.999999993</v>
      </c>
    </row>
    <row r="273" spans="1:12">
      <c r="A273" t="s">
        <v>14</v>
      </c>
      <c r="B273" t="s">
        <v>15</v>
      </c>
      <c r="C273">
        <f>C253+1</f>
        <v>14.5</v>
      </c>
      <c r="D273" s="1" t="s">
        <v>16</v>
      </c>
      <c r="E273" s="1">
        <v>2</v>
      </c>
      <c r="F273">
        <v>1</v>
      </c>
      <c r="G273">
        <v>3</v>
      </c>
      <c r="H273">
        <v>9.9999999999999995E-7</v>
      </c>
      <c r="I273">
        <f>LOG(1/H273)</f>
        <v>6</v>
      </c>
      <c r="J273">
        <v>10</v>
      </c>
      <c r="K273">
        <f>AVERAGE(F273,G273)</f>
        <v>2</v>
      </c>
      <c r="L273">
        <f>K273/(H273*(J273/1000))</f>
        <v>200000000</v>
      </c>
    </row>
    <row r="274" spans="1:12">
      <c r="A274" t="s">
        <v>14</v>
      </c>
      <c r="B274" t="s">
        <v>15</v>
      </c>
      <c r="C274">
        <f>C254+1</f>
        <v>14.5</v>
      </c>
      <c r="D274" s="1" t="s">
        <v>16</v>
      </c>
      <c r="E274" s="1">
        <v>3</v>
      </c>
      <c r="F274">
        <v>5</v>
      </c>
      <c r="G274">
        <v>3</v>
      </c>
      <c r="H274">
        <v>9.9999999999999995E-7</v>
      </c>
      <c r="I274">
        <f>LOG(1/H274)</f>
        <v>6</v>
      </c>
      <c r="J274">
        <v>10</v>
      </c>
      <c r="K274">
        <f>AVERAGE(F274,G274)</f>
        <v>4</v>
      </c>
      <c r="L274">
        <f>K274/(H274*(J274/1000))</f>
        <v>400000000</v>
      </c>
    </row>
    <row r="275" spans="1:12">
      <c r="A275" t="s">
        <v>14</v>
      </c>
      <c r="B275" t="s">
        <v>15</v>
      </c>
      <c r="C275">
        <f>C255+1</f>
        <v>14.5</v>
      </c>
      <c r="D275" s="1" t="s">
        <v>16</v>
      </c>
      <c r="E275" s="1">
        <v>4</v>
      </c>
      <c r="F275">
        <v>7</v>
      </c>
      <c r="G275">
        <v>7</v>
      </c>
      <c r="H275">
        <v>1.0000000000000001E-5</v>
      </c>
      <c r="I275">
        <f>LOG(1/H275)</f>
        <v>5</v>
      </c>
      <c r="J275">
        <v>10</v>
      </c>
      <c r="K275">
        <f>AVERAGE(F275,G275)</f>
        <v>7</v>
      </c>
      <c r="L275">
        <f>K275/(H275*(J275/1000))</f>
        <v>70000000</v>
      </c>
    </row>
    <row r="276" spans="1:12">
      <c r="A276" t="s">
        <v>14</v>
      </c>
      <c r="B276" t="s">
        <v>15</v>
      </c>
      <c r="C276">
        <f>C256+1</f>
        <v>14.5</v>
      </c>
      <c r="D276" s="1" t="s">
        <v>16</v>
      </c>
      <c r="E276" s="1">
        <v>5</v>
      </c>
      <c r="F276">
        <v>3</v>
      </c>
      <c r="G276">
        <v>3</v>
      </c>
      <c r="H276">
        <v>1.0000000000000001E-5</v>
      </c>
      <c r="I276">
        <f>LOG(1/H276)</f>
        <v>5</v>
      </c>
      <c r="J276">
        <v>10</v>
      </c>
      <c r="K276">
        <f>AVERAGE(F276,G276)</f>
        <v>3</v>
      </c>
      <c r="L276">
        <f>K276/(H276*(J276/1000))</f>
        <v>29999999.999999996</v>
      </c>
    </row>
    <row r="277" spans="1:12">
      <c r="A277" t="s">
        <v>14</v>
      </c>
      <c r="B277" t="s">
        <v>15</v>
      </c>
      <c r="C277">
        <f>C257+1</f>
        <v>14.5</v>
      </c>
      <c r="D277" s="1" t="s">
        <v>16</v>
      </c>
      <c r="E277" s="1">
        <v>6</v>
      </c>
      <c r="F277">
        <v>8</v>
      </c>
      <c r="G277">
        <v>7</v>
      </c>
      <c r="H277">
        <v>9.9999999999999995E-7</v>
      </c>
      <c r="I277">
        <f>LOG(1/H277)</f>
        <v>6</v>
      </c>
      <c r="J277">
        <v>10</v>
      </c>
      <c r="K277">
        <f>AVERAGE(F277,G277)</f>
        <v>7.5</v>
      </c>
      <c r="L277">
        <f>K277/(H277*(J277/1000))</f>
        <v>750000000</v>
      </c>
    </row>
    <row r="278" spans="1:12">
      <c r="A278" t="s">
        <v>14</v>
      </c>
      <c r="B278" t="s">
        <v>15</v>
      </c>
      <c r="C278">
        <f>C258+1</f>
        <v>14.5</v>
      </c>
      <c r="D278" s="1" t="s">
        <v>16</v>
      </c>
      <c r="E278" s="1">
        <v>7</v>
      </c>
      <c r="F278">
        <v>13</v>
      </c>
      <c r="G278">
        <v>11</v>
      </c>
      <c r="H278">
        <v>1.0000000000000001E-5</v>
      </c>
      <c r="I278">
        <f>LOG(1/H278)</f>
        <v>5</v>
      </c>
      <c r="J278">
        <v>10</v>
      </c>
      <c r="K278">
        <f>AVERAGE(F278,G278)</f>
        <v>12</v>
      </c>
      <c r="L278">
        <f>K278/(H278*(J278/1000))</f>
        <v>119999999.99999999</v>
      </c>
    </row>
    <row r="279" spans="1:12">
      <c r="A279" t="s">
        <v>14</v>
      </c>
      <c r="B279" t="s">
        <v>15</v>
      </c>
      <c r="C279">
        <f>C259+1</f>
        <v>14.5</v>
      </c>
      <c r="D279" s="1" t="s">
        <v>16</v>
      </c>
      <c r="E279" s="1">
        <v>8</v>
      </c>
      <c r="F279">
        <v>5</v>
      </c>
      <c r="G279">
        <v>3</v>
      </c>
      <c r="H279">
        <v>1.0000000000000001E-5</v>
      </c>
      <c r="I279">
        <f>LOG(1/H279)</f>
        <v>5</v>
      </c>
      <c r="J279">
        <v>10</v>
      </c>
      <c r="K279">
        <f>AVERAGE(F279,G279)</f>
        <v>4</v>
      </c>
      <c r="L279">
        <f>K279/(H279*(J279/1000))</f>
        <v>40000000</v>
      </c>
    </row>
    <row r="280" spans="1:12">
      <c r="A280" t="s">
        <v>14</v>
      </c>
      <c r="B280" t="s">
        <v>15</v>
      </c>
      <c r="C280">
        <f>C260+1</f>
        <v>14.5</v>
      </c>
      <c r="D280" s="1" t="s">
        <v>16</v>
      </c>
      <c r="E280" s="1">
        <v>9</v>
      </c>
      <c r="F280">
        <v>9</v>
      </c>
      <c r="G280">
        <v>1</v>
      </c>
      <c r="H280">
        <v>9.9999999999999995E-7</v>
      </c>
      <c r="I280">
        <f>LOG(1/H280)</f>
        <v>6</v>
      </c>
      <c r="J280">
        <v>10</v>
      </c>
      <c r="K280">
        <f>AVERAGE(F280,G280)</f>
        <v>5</v>
      </c>
      <c r="L280">
        <f>K280/(H280*(J280/1000))</f>
        <v>500000000</v>
      </c>
    </row>
    <row r="281" spans="1:12">
      <c r="A281" t="s">
        <v>14</v>
      </c>
      <c r="B281" t="s">
        <v>15</v>
      </c>
      <c r="C281">
        <f>C261+1</f>
        <v>14.5</v>
      </c>
      <c r="D281" s="1" t="s">
        <v>16</v>
      </c>
      <c r="E281" s="1">
        <v>10</v>
      </c>
      <c r="F281">
        <v>14</v>
      </c>
      <c r="G281">
        <v>19</v>
      </c>
      <c r="H281">
        <v>1.0000000000000001E-5</v>
      </c>
      <c r="I281">
        <f>LOG(1/H281)</f>
        <v>5</v>
      </c>
      <c r="J281">
        <v>10</v>
      </c>
      <c r="K281">
        <f>AVERAGE(F281,G281)</f>
        <v>16.5</v>
      </c>
      <c r="L281">
        <f>K281/(H281*(J281/1000))</f>
        <v>165000000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8BD8-6B97-FA44-8553-1E5AFFAB8D0E}">
  <dimension ref="A1:L1066"/>
  <sheetViews>
    <sheetView workbookViewId="0">
      <selection activeCell="L16" sqref="L16"/>
    </sheetView>
  </sheetViews>
  <sheetFormatPr defaultColWidth="11" defaultRowHeight="15.95"/>
  <sheetData>
    <row r="1" spans="1:12" ht="17.100000000000001" thickBot="1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>
      <c r="A2" t="s">
        <v>17</v>
      </c>
      <c r="B2" t="s">
        <v>18</v>
      </c>
      <c r="C2" s="6">
        <v>1</v>
      </c>
      <c r="D2" s="7" t="s">
        <v>16</v>
      </c>
      <c r="E2" s="7" t="s">
        <v>19</v>
      </c>
      <c r="F2" s="7">
        <v>7</v>
      </c>
      <c r="G2" s="7"/>
      <c r="H2">
        <v>9.9999999999999995E-7</v>
      </c>
      <c r="I2">
        <f>LOG(1/H2)</f>
        <v>6</v>
      </c>
      <c r="J2">
        <v>10</v>
      </c>
      <c r="K2">
        <f>AVERAGE(F2,G2)</f>
        <v>7</v>
      </c>
      <c r="L2">
        <f>K2/(H2*(J2/1000))</f>
        <v>700000000</v>
      </c>
    </row>
    <row r="3" spans="1:12">
      <c r="A3" t="s">
        <v>17</v>
      </c>
      <c r="B3" t="s">
        <v>18</v>
      </c>
      <c r="C3" s="8">
        <v>1</v>
      </c>
      <c r="D3" s="9" t="s">
        <v>16</v>
      </c>
      <c r="E3" s="9" t="s">
        <v>20</v>
      </c>
      <c r="F3" s="9">
        <v>2</v>
      </c>
      <c r="G3" s="9"/>
      <c r="H3">
        <v>9.9999999999999995E-7</v>
      </c>
      <c r="I3">
        <f>LOG(1/H3)</f>
        <v>6</v>
      </c>
      <c r="J3">
        <v>10</v>
      </c>
      <c r="K3">
        <f>AVERAGE(F3,G3)</f>
        <v>2</v>
      </c>
      <c r="L3">
        <f>K3/(H3*(J3/1000))</f>
        <v>200000000</v>
      </c>
    </row>
    <row r="4" spans="1:12">
      <c r="A4" t="s">
        <v>17</v>
      </c>
      <c r="B4" t="s">
        <v>18</v>
      </c>
      <c r="C4" s="8">
        <v>1</v>
      </c>
      <c r="D4" s="9" t="s">
        <v>16</v>
      </c>
      <c r="E4" s="9" t="s">
        <v>21</v>
      </c>
      <c r="F4" s="9">
        <v>4</v>
      </c>
      <c r="G4" s="9"/>
      <c r="H4">
        <v>9.9999999999999995E-7</v>
      </c>
      <c r="I4">
        <f>LOG(1/H4)</f>
        <v>6</v>
      </c>
      <c r="J4">
        <v>10</v>
      </c>
      <c r="K4">
        <f>AVERAGE(F4,G4)</f>
        <v>4</v>
      </c>
      <c r="L4">
        <f>K4/(H4*(J4/1000))</f>
        <v>400000000</v>
      </c>
    </row>
    <row r="5" spans="1:12">
      <c r="A5" t="s">
        <v>17</v>
      </c>
      <c r="B5" t="s">
        <v>18</v>
      </c>
      <c r="C5" s="8">
        <v>1</v>
      </c>
      <c r="D5" s="9" t="s">
        <v>16</v>
      </c>
      <c r="E5" s="9" t="s">
        <v>22</v>
      </c>
      <c r="F5" s="9">
        <v>4</v>
      </c>
      <c r="G5" s="9"/>
      <c r="H5">
        <v>9.9999999999999995E-7</v>
      </c>
      <c r="I5">
        <f>LOG(1/H5)</f>
        <v>6</v>
      </c>
      <c r="J5">
        <v>10</v>
      </c>
      <c r="K5">
        <f>AVERAGE(F5,G5)</f>
        <v>4</v>
      </c>
      <c r="L5">
        <f>K5/(H5*(J5/1000))</f>
        <v>400000000</v>
      </c>
    </row>
    <row r="6" spans="1:12">
      <c r="A6" t="s">
        <v>17</v>
      </c>
      <c r="B6" t="s">
        <v>18</v>
      </c>
      <c r="C6" s="8">
        <v>1</v>
      </c>
      <c r="D6" s="9" t="s">
        <v>16</v>
      </c>
      <c r="E6" s="9">
        <v>1</v>
      </c>
      <c r="F6" s="9">
        <v>2</v>
      </c>
      <c r="G6" s="9"/>
      <c r="H6">
        <v>9.9999999999999995E-7</v>
      </c>
      <c r="I6">
        <f>LOG(1/H6)</f>
        <v>6</v>
      </c>
      <c r="J6">
        <v>10</v>
      </c>
      <c r="K6">
        <f>AVERAGE(F6,G6)</f>
        <v>2</v>
      </c>
      <c r="L6">
        <f>K6/(H6*(J6/1000))</f>
        <v>200000000</v>
      </c>
    </row>
    <row r="7" spans="1:12">
      <c r="A7" t="s">
        <v>17</v>
      </c>
      <c r="B7" t="s">
        <v>18</v>
      </c>
      <c r="C7" s="8">
        <v>1</v>
      </c>
      <c r="D7" s="9" t="s">
        <v>16</v>
      </c>
      <c r="E7" s="9">
        <v>2</v>
      </c>
      <c r="F7" s="9">
        <v>3</v>
      </c>
      <c r="G7" s="9"/>
      <c r="H7">
        <v>9.9999999999999995E-7</v>
      </c>
      <c r="I7">
        <f>LOG(1/H7)</f>
        <v>6</v>
      </c>
      <c r="J7">
        <v>10</v>
      </c>
      <c r="K7">
        <f>AVERAGE(F7,G7)</f>
        <v>3</v>
      </c>
      <c r="L7">
        <f>K7/(H7*(J7/1000))</f>
        <v>300000000</v>
      </c>
    </row>
    <row r="8" spans="1:12">
      <c r="A8" t="s">
        <v>17</v>
      </c>
      <c r="B8" t="s">
        <v>18</v>
      </c>
      <c r="C8" s="8">
        <v>1</v>
      </c>
      <c r="D8" s="9" t="s">
        <v>16</v>
      </c>
      <c r="E8" s="9">
        <v>3</v>
      </c>
      <c r="F8" s="9">
        <v>5</v>
      </c>
      <c r="G8" s="9"/>
      <c r="H8">
        <v>9.9999999999999995E-7</v>
      </c>
      <c r="I8">
        <f>LOG(1/H8)</f>
        <v>6</v>
      </c>
      <c r="J8">
        <v>10</v>
      </c>
      <c r="K8">
        <f>AVERAGE(F8,G8)</f>
        <v>5</v>
      </c>
      <c r="L8">
        <f>K8/(H8*(J8/1000))</f>
        <v>500000000</v>
      </c>
    </row>
    <row r="9" spans="1:12">
      <c r="A9" t="s">
        <v>17</v>
      </c>
      <c r="B9" t="s">
        <v>18</v>
      </c>
      <c r="C9" s="8">
        <v>1</v>
      </c>
      <c r="D9" s="9" t="s">
        <v>16</v>
      </c>
      <c r="E9" s="9">
        <v>4</v>
      </c>
      <c r="F9" s="9">
        <v>4</v>
      </c>
      <c r="G9" s="9"/>
      <c r="H9">
        <v>9.9999999999999995E-7</v>
      </c>
      <c r="I9">
        <f>LOG(1/H9)</f>
        <v>6</v>
      </c>
      <c r="J9">
        <v>10</v>
      </c>
      <c r="K9">
        <f>AVERAGE(F9,G9)</f>
        <v>4</v>
      </c>
      <c r="L9">
        <f>K9/(H9*(J9/1000))</f>
        <v>400000000</v>
      </c>
    </row>
    <row r="10" spans="1:12">
      <c r="A10" t="s">
        <v>17</v>
      </c>
      <c r="B10" t="s">
        <v>18</v>
      </c>
      <c r="C10" s="8">
        <v>1</v>
      </c>
      <c r="D10" s="9" t="s">
        <v>16</v>
      </c>
      <c r="E10" s="9">
        <v>5</v>
      </c>
      <c r="F10" s="9">
        <v>24</v>
      </c>
      <c r="G10" s="10">
        <v>50</v>
      </c>
      <c r="H10">
        <v>1.0000000000000001E-5</v>
      </c>
      <c r="I10">
        <f>LOG(1/H10)</f>
        <v>5</v>
      </c>
      <c r="J10">
        <v>10</v>
      </c>
      <c r="K10">
        <f>AVERAGE(F10,G10)</f>
        <v>37</v>
      </c>
      <c r="L10">
        <f>K10/(H10*(J10/1000))</f>
        <v>369999999.99999994</v>
      </c>
    </row>
    <row r="11" spans="1:12">
      <c r="A11" t="s">
        <v>17</v>
      </c>
      <c r="B11" t="s">
        <v>18</v>
      </c>
      <c r="C11" s="8">
        <v>1</v>
      </c>
      <c r="D11" s="9" t="s">
        <v>16</v>
      </c>
      <c r="E11" s="9">
        <v>6</v>
      </c>
      <c r="F11" s="9">
        <v>29</v>
      </c>
      <c r="G11" s="10">
        <v>10</v>
      </c>
      <c r="H11">
        <v>1.0000000000000001E-5</v>
      </c>
      <c r="I11">
        <f>LOG(1/H11)</f>
        <v>5</v>
      </c>
      <c r="J11">
        <v>10</v>
      </c>
      <c r="K11">
        <f>AVERAGE(F11,G11)</f>
        <v>19.5</v>
      </c>
      <c r="L11">
        <f>K11/(H11*(J11/1000))</f>
        <v>194999999.99999997</v>
      </c>
    </row>
    <row r="12" spans="1:12">
      <c r="A12" t="s">
        <v>17</v>
      </c>
      <c r="B12" t="s">
        <v>18</v>
      </c>
      <c r="C12" s="8">
        <v>1</v>
      </c>
      <c r="D12" s="9" t="s">
        <v>16</v>
      </c>
      <c r="E12" s="9">
        <v>7</v>
      </c>
      <c r="F12" s="9">
        <v>22</v>
      </c>
      <c r="G12" s="9"/>
      <c r="H12">
        <v>1.0000000000000001E-5</v>
      </c>
      <c r="I12">
        <f>LOG(1/H12)</f>
        <v>5</v>
      </c>
      <c r="J12">
        <v>10</v>
      </c>
      <c r="K12">
        <f>AVERAGE(F12,G12)</f>
        <v>22</v>
      </c>
      <c r="L12">
        <f>K12/(H12*(J12/1000))</f>
        <v>219999999.99999997</v>
      </c>
    </row>
    <row r="13" spans="1:12">
      <c r="A13" t="s">
        <v>17</v>
      </c>
      <c r="B13" t="s">
        <v>18</v>
      </c>
      <c r="C13" s="8">
        <v>1</v>
      </c>
      <c r="D13" s="9" t="s">
        <v>16</v>
      </c>
      <c r="E13" s="9">
        <v>8</v>
      </c>
      <c r="F13" s="9">
        <v>31</v>
      </c>
      <c r="G13" s="9"/>
      <c r="H13">
        <v>1.0000000000000001E-5</v>
      </c>
      <c r="I13">
        <f>LOG(1/H13)</f>
        <v>5</v>
      </c>
      <c r="J13">
        <v>10</v>
      </c>
      <c r="K13">
        <f>AVERAGE(F13,G13)</f>
        <v>31</v>
      </c>
      <c r="L13">
        <f>K13/(H13*(J13/1000))</f>
        <v>310000000</v>
      </c>
    </row>
    <row r="14" spans="1:12">
      <c r="A14" t="s">
        <v>17</v>
      </c>
      <c r="B14" t="s">
        <v>18</v>
      </c>
      <c r="C14" s="8">
        <v>1</v>
      </c>
      <c r="D14" s="9" t="s">
        <v>16</v>
      </c>
      <c r="E14" s="9">
        <v>9</v>
      </c>
      <c r="F14" s="9">
        <v>2</v>
      </c>
      <c r="G14" s="9"/>
      <c r="H14">
        <v>9.9999999999999995E-7</v>
      </c>
      <c r="I14">
        <f>LOG(1/H14)</f>
        <v>6</v>
      </c>
      <c r="J14">
        <v>10</v>
      </c>
      <c r="K14">
        <f>AVERAGE(F14,G14)</f>
        <v>2</v>
      </c>
      <c r="L14">
        <f>K14/(H14*(J14/1000))</f>
        <v>200000000</v>
      </c>
    </row>
    <row r="15" spans="1:12" ht="15.75">
      <c r="A15" t="s">
        <v>17</v>
      </c>
      <c r="B15" t="s">
        <v>18</v>
      </c>
      <c r="C15" s="8">
        <v>1</v>
      </c>
      <c r="D15" s="9" t="s">
        <v>16</v>
      </c>
      <c r="E15" s="9">
        <v>10</v>
      </c>
      <c r="F15" s="9">
        <v>4</v>
      </c>
      <c r="G15" s="9"/>
      <c r="H15">
        <v>9.9999999999999995E-7</v>
      </c>
      <c r="I15">
        <f>LOG(1/H15)</f>
        <v>6</v>
      </c>
      <c r="J15">
        <v>10</v>
      </c>
      <c r="K15">
        <f>AVERAGE(F15,G15)</f>
        <v>4</v>
      </c>
      <c r="L15">
        <f>K15/(H15*(J15/1000))</f>
        <v>400000000</v>
      </c>
    </row>
    <row r="16" spans="1:12" ht="15.75">
      <c r="A16" t="s">
        <v>17</v>
      </c>
      <c r="B16" t="s">
        <v>18</v>
      </c>
      <c r="C16" s="6">
        <v>1.5</v>
      </c>
      <c r="D16" s="7" t="s">
        <v>16</v>
      </c>
      <c r="E16" s="7">
        <v>1</v>
      </c>
      <c r="F16" s="7">
        <v>5</v>
      </c>
      <c r="G16" s="7">
        <v>7</v>
      </c>
      <c r="H16">
        <v>0.01</v>
      </c>
      <c r="I16">
        <f>LOG(1/H16)</f>
        <v>2</v>
      </c>
      <c r="J16">
        <v>10</v>
      </c>
      <c r="K16">
        <f>AVERAGE(F16,G16)</f>
        <v>6</v>
      </c>
      <c r="L16">
        <f>K16/(H16*(J16/1000))</f>
        <v>60000</v>
      </c>
    </row>
    <row r="17" spans="1:12">
      <c r="A17" t="s">
        <v>17</v>
      </c>
      <c r="B17" t="s">
        <v>18</v>
      </c>
      <c r="C17" s="8">
        <v>1.5</v>
      </c>
      <c r="D17" s="9" t="s">
        <v>16</v>
      </c>
      <c r="E17" s="9">
        <v>2</v>
      </c>
      <c r="F17" s="9">
        <v>3</v>
      </c>
      <c r="G17" s="9">
        <v>4</v>
      </c>
      <c r="H17">
        <v>0.01</v>
      </c>
      <c r="I17">
        <f>LOG(1/H17)</f>
        <v>2</v>
      </c>
      <c r="J17">
        <v>10</v>
      </c>
      <c r="K17">
        <f>AVERAGE(F17,G17)</f>
        <v>3.5</v>
      </c>
      <c r="L17">
        <f>K17/(H17*(J17/1000))</f>
        <v>35000</v>
      </c>
    </row>
    <row r="18" spans="1:12">
      <c r="A18" t="s">
        <v>17</v>
      </c>
      <c r="B18" t="s">
        <v>18</v>
      </c>
      <c r="C18" s="8">
        <v>1.5</v>
      </c>
      <c r="D18" s="9" t="s">
        <v>16</v>
      </c>
      <c r="E18" s="9">
        <v>3</v>
      </c>
      <c r="F18" s="9">
        <v>12</v>
      </c>
      <c r="G18" s="9">
        <v>6</v>
      </c>
      <c r="H18">
        <v>0.01</v>
      </c>
      <c r="I18">
        <f>LOG(1/H18)</f>
        <v>2</v>
      </c>
      <c r="J18">
        <v>10</v>
      </c>
      <c r="K18">
        <f>AVERAGE(F18,G18)</f>
        <v>9</v>
      </c>
      <c r="L18">
        <f>K18/(H18*(J18/1000))</f>
        <v>90000</v>
      </c>
    </row>
    <row r="19" spans="1:12">
      <c r="A19" t="s">
        <v>17</v>
      </c>
      <c r="B19" t="s">
        <v>18</v>
      </c>
      <c r="C19" s="8">
        <v>1.5</v>
      </c>
      <c r="D19" s="9" t="s">
        <v>16</v>
      </c>
      <c r="E19" s="9">
        <v>4</v>
      </c>
      <c r="F19" s="9">
        <v>14</v>
      </c>
      <c r="G19" s="9">
        <v>9</v>
      </c>
      <c r="H19">
        <v>0.01</v>
      </c>
      <c r="I19">
        <f>LOG(1/H19)</f>
        <v>2</v>
      </c>
      <c r="J19">
        <v>10</v>
      </c>
      <c r="K19">
        <f>AVERAGE(F19,G19)</f>
        <v>11.5</v>
      </c>
      <c r="L19">
        <f>K19/(H19*(J19/1000))</f>
        <v>115000</v>
      </c>
    </row>
    <row r="20" spans="1:12">
      <c r="A20" t="s">
        <v>17</v>
      </c>
      <c r="B20" t="s">
        <v>18</v>
      </c>
      <c r="C20" s="8">
        <v>1.5</v>
      </c>
      <c r="D20" s="9" t="s">
        <v>16</v>
      </c>
      <c r="E20" s="9">
        <v>5</v>
      </c>
      <c r="F20" s="9">
        <v>3</v>
      </c>
      <c r="G20" s="9">
        <v>6</v>
      </c>
      <c r="H20">
        <v>0.01</v>
      </c>
      <c r="I20">
        <f>LOG(1/H20)</f>
        <v>2</v>
      </c>
      <c r="J20">
        <v>10</v>
      </c>
      <c r="K20">
        <f>AVERAGE(F20,G20)</f>
        <v>4.5</v>
      </c>
      <c r="L20">
        <f>K20/(H20*(J20/1000))</f>
        <v>45000</v>
      </c>
    </row>
    <row r="21" spans="1:12">
      <c r="A21" t="s">
        <v>17</v>
      </c>
      <c r="B21" t="s">
        <v>18</v>
      </c>
      <c r="C21" s="8">
        <v>1.5</v>
      </c>
      <c r="D21" s="9" t="s">
        <v>16</v>
      </c>
      <c r="E21" s="9">
        <v>6</v>
      </c>
      <c r="F21" s="9">
        <v>14</v>
      </c>
      <c r="G21" s="9"/>
      <c r="H21">
        <v>0.01</v>
      </c>
      <c r="I21">
        <f>LOG(1/H21)</f>
        <v>2</v>
      </c>
      <c r="J21">
        <v>10</v>
      </c>
      <c r="K21">
        <f>AVERAGE(F21,G21)</f>
        <v>14</v>
      </c>
      <c r="L21">
        <f>K21/(H21*(J21/1000))</f>
        <v>140000</v>
      </c>
    </row>
    <row r="22" spans="1:12">
      <c r="A22" t="s">
        <v>17</v>
      </c>
      <c r="B22" t="s">
        <v>18</v>
      </c>
      <c r="C22" s="8">
        <v>1.5</v>
      </c>
      <c r="D22" s="9" t="s">
        <v>16</v>
      </c>
      <c r="E22" s="9">
        <v>7</v>
      </c>
      <c r="F22" s="9">
        <v>16</v>
      </c>
      <c r="G22" s="9">
        <v>12</v>
      </c>
      <c r="H22">
        <v>0.01</v>
      </c>
      <c r="I22">
        <f>LOG(1/H22)</f>
        <v>2</v>
      </c>
      <c r="J22">
        <v>10</v>
      </c>
      <c r="K22">
        <f>AVERAGE(F22,G22)</f>
        <v>14</v>
      </c>
      <c r="L22">
        <f>K22/(H22*(J22/1000))</f>
        <v>140000</v>
      </c>
    </row>
    <row r="23" spans="1:12">
      <c r="A23" t="s">
        <v>17</v>
      </c>
      <c r="B23" t="s">
        <v>18</v>
      </c>
      <c r="C23" s="8">
        <v>1.5</v>
      </c>
      <c r="D23" s="9" t="s">
        <v>16</v>
      </c>
      <c r="E23" s="9">
        <v>8</v>
      </c>
      <c r="F23" s="9">
        <v>11</v>
      </c>
      <c r="G23" s="9">
        <v>13</v>
      </c>
      <c r="H23">
        <v>0.1</v>
      </c>
      <c r="I23">
        <f>LOG(1/H23)</f>
        <v>1</v>
      </c>
      <c r="J23">
        <v>10</v>
      </c>
      <c r="K23">
        <f>AVERAGE(F23,G23)</f>
        <v>12</v>
      </c>
      <c r="L23">
        <f>K23/(H23*(J23/1000))</f>
        <v>12000</v>
      </c>
    </row>
    <row r="24" spans="1:12">
      <c r="A24" t="s">
        <v>17</v>
      </c>
      <c r="B24" t="s">
        <v>18</v>
      </c>
      <c r="C24" s="8">
        <v>1.5</v>
      </c>
      <c r="D24" s="9" t="s">
        <v>16</v>
      </c>
      <c r="E24" s="9">
        <v>9</v>
      </c>
      <c r="F24" s="9">
        <v>4</v>
      </c>
      <c r="G24" s="9">
        <v>5</v>
      </c>
      <c r="H24">
        <v>0.01</v>
      </c>
      <c r="I24">
        <f>LOG(1/H24)</f>
        <v>2</v>
      </c>
      <c r="J24">
        <v>10</v>
      </c>
      <c r="K24">
        <f>AVERAGE(F24,G24)</f>
        <v>4.5</v>
      </c>
      <c r="L24">
        <f>K24/(H24*(J24/1000))</f>
        <v>45000</v>
      </c>
    </row>
    <row r="25" spans="1:12">
      <c r="A25" t="s">
        <v>17</v>
      </c>
      <c r="B25" t="s">
        <v>18</v>
      </c>
      <c r="C25" s="8">
        <v>1.5</v>
      </c>
      <c r="D25" s="9" t="s">
        <v>16</v>
      </c>
      <c r="E25" s="9">
        <v>10</v>
      </c>
      <c r="F25" s="9">
        <v>11</v>
      </c>
      <c r="G25" s="9"/>
      <c r="H25">
        <v>0.01</v>
      </c>
      <c r="I25">
        <f>LOG(1/H25)</f>
        <v>2</v>
      </c>
      <c r="J25">
        <v>10</v>
      </c>
      <c r="K25">
        <f>AVERAGE(F25,G25)</f>
        <v>11</v>
      </c>
      <c r="L25">
        <f>K25/(H25*(J25/1000))</f>
        <v>110000</v>
      </c>
    </row>
    <row r="26" spans="1:12">
      <c r="A26" t="s">
        <v>17</v>
      </c>
      <c r="B26" t="s">
        <v>18</v>
      </c>
      <c r="C26" s="6">
        <f>C2+1</f>
        <v>2</v>
      </c>
      <c r="D26" s="7" t="s">
        <v>16</v>
      </c>
      <c r="E26" s="7" t="s">
        <v>19</v>
      </c>
      <c r="F26" s="7">
        <v>21</v>
      </c>
      <c r="G26" s="7">
        <v>20</v>
      </c>
      <c r="H26">
        <v>1.0000000000000001E-5</v>
      </c>
      <c r="I26">
        <f>LOG(1/H26)</f>
        <v>5</v>
      </c>
      <c r="J26">
        <v>10</v>
      </c>
      <c r="K26">
        <f>AVERAGE(F26,G26)</f>
        <v>20.5</v>
      </c>
      <c r="L26">
        <f>K26/(H26*(J26/1000))</f>
        <v>204999999.99999997</v>
      </c>
    </row>
    <row r="27" spans="1:12">
      <c r="A27" t="s">
        <v>17</v>
      </c>
      <c r="B27" t="s">
        <v>18</v>
      </c>
      <c r="C27" s="8">
        <f>C3+1</f>
        <v>2</v>
      </c>
      <c r="D27" s="9" t="s">
        <v>16</v>
      </c>
      <c r="E27" s="9" t="s">
        <v>20</v>
      </c>
      <c r="F27" s="9">
        <v>23</v>
      </c>
      <c r="G27" s="10">
        <v>40</v>
      </c>
      <c r="H27">
        <v>1.0000000000000001E-5</v>
      </c>
      <c r="I27">
        <f>LOG(1/H27)</f>
        <v>5</v>
      </c>
      <c r="J27">
        <v>10</v>
      </c>
      <c r="K27">
        <f>AVERAGE(F27,G27)</f>
        <v>31.5</v>
      </c>
      <c r="L27">
        <f>K27/(H27*(J27/1000))</f>
        <v>315000000</v>
      </c>
    </row>
    <row r="28" spans="1:12">
      <c r="A28" t="s">
        <v>17</v>
      </c>
      <c r="B28" t="s">
        <v>18</v>
      </c>
      <c r="C28" s="8">
        <f>C4+1</f>
        <v>2</v>
      </c>
      <c r="D28" s="9" t="s">
        <v>16</v>
      </c>
      <c r="E28" s="9" t="s">
        <v>21</v>
      </c>
      <c r="F28" s="9">
        <v>32</v>
      </c>
      <c r="G28" s="9">
        <v>28</v>
      </c>
      <c r="H28">
        <v>1.0000000000000001E-5</v>
      </c>
      <c r="I28">
        <f>LOG(1/H28)</f>
        <v>5</v>
      </c>
      <c r="J28">
        <v>10</v>
      </c>
      <c r="K28">
        <f>AVERAGE(F28,G28)</f>
        <v>30</v>
      </c>
      <c r="L28">
        <f>K28/(H28*(J28/1000))</f>
        <v>300000000</v>
      </c>
    </row>
    <row r="29" spans="1:12">
      <c r="A29" t="s">
        <v>17</v>
      </c>
      <c r="B29" t="s">
        <v>18</v>
      </c>
      <c r="C29" s="8">
        <f>C5+1</f>
        <v>2</v>
      </c>
      <c r="D29" s="9" t="s">
        <v>16</v>
      </c>
      <c r="E29" s="9" t="s">
        <v>22</v>
      </c>
      <c r="F29" s="9">
        <v>23</v>
      </c>
      <c r="G29" s="9">
        <v>24</v>
      </c>
      <c r="H29">
        <v>1.0000000000000001E-5</v>
      </c>
      <c r="I29">
        <f>LOG(1/H29)</f>
        <v>5</v>
      </c>
      <c r="J29">
        <v>10</v>
      </c>
      <c r="K29">
        <f>AVERAGE(F29,G29)</f>
        <v>23.5</v>
      </c>
      <c r="L29">
        <f>K29/(H29*(J29/1000))</f>
        <v>234999999.99999997</v>
      </c>
    </row>
    <row r="30" spans="1:12">
      <c r="A30" t="s">
        <v>17</v>
      </c>
      <c r="B30" t="s">
        <v>18</v>
      </c>
      <c r="C30" s="8">
        <f>C6+1</f>
        <v>2</v>
      </c>
      <c r="D30" s="9" t="s">
        <v>16</v>
      </c>
      <c r="E30" s="9">
        <v>1</v>
      </c>
      <c r="F30" s="9">
        <v>20</v>
      </c>
      <c r="G30" s="9">
        <v>17</v>
      </c>
      <c r="H30">
        <v>1.0000000000000001E-5</v>
      </c>
      <c r="I30">
        <f>LOG(1/H30)</f>
        <v>5</v>
      </c>
      <c r="J30">
        <v>10</v>
      </c>
      <c r="K30">
        <f>AVERAGE(F30,G30)</f>
        <v>18.5</v>
      </c>
      <c r="L30">
        <f>K30/(H30*(J30/1000))</f>
        <v>184999999.99999997</v>
      </c>
    </row>
    <row r="31" spans="1:12">
      <c r="A31" t="s">
        <v>17</v>
      </c>
      <c r="B31" t="s">
        <v>18</v>
      </c>
      <c r="C31" s="8">
        <f>C7+1</f>
        <v>2</v>
      </c>
      <c r="D31" s="9" t="s">
        <v>16</v>
      </c>
      <c r="E31" s="9">
        <v>2</v>
      </c>
      <c r="F31" s="9">
        <v>16</v>
      </c>
      <c r="G31" s="9">
        <v>19</v>
      </c>
      <c r="H31">
        <v>1.0000000000000001E-5</v>
      </c>
      <c r="I31">
        <f>LOG(1/H31)</f>
        <v>5</v>
      </c>
      <c r="J31">
        <v>10</v>
      </c>
      <c r="K31">
        <f>AVERAGE(F31,G31)</f>
        <v>17.5</v>
      </c>
      <c r="L31">
        <f>K31/(H31*(J31/1000))</f>
        <v>174999999.99999997</v>
      </c>
    </row>
    <row r="32" spans="1:12">
      <c r="A32" t="s">
        <v>17</v>
      </c>
      <c r="B32" t="s">
        <v>18</v>
      </c>
      <c r="C32" s="8">
        <f>C8+1</f>
        <v>2</v>
      </c>
      <c r="D32" s="9" t="s">
        <v>16</v>
      </c>
      <c r="E32" s="9">
        <v>3</v>
      </c>
      <c r="F32" s="9">
        <v>22</v>
      </c>
      <c r="G32" s="9">
        <v>25</v>
      </c>
      <c r="H32">
        <v>1.0000000000000001E-5</v>
      </c>
      <c r="I32">
        <f>LOG(1/H32)</f>
        <v>5</v>
      </c>
      <c r="J32">
        <v>10</v>
      </c>
      <c r="K32">
        <f>AVERAGE(F32,G32)</f>
        <v>23.5</v>
      </c>
      <c r="L32">
        <f>K32/(H32*(J32/1000))</f>
        <v>234999999.99999997</v>
      </c>
    </row>
    <row r="33" spans="1:12">
      <c r="A33" t="s">
        <v>17</v>
      </c>
      <c r="B33" t="s">
        <v>18</v>
      </c>
      <c r="C33" s="8">
        <f>C9+1</f>
        <v>2</v>
      </c>
      <c r="D33" s="9" t="s">
        <v>16</v>
      </c>
      <c r="E33" s="9">
        <v>4</v>
      </c>
      <c r="F33" s="9">
        <v>17</v>
      </c>
      <c r="G33" s="9">
        <v>18</v>
      </c>
      <c r="H33">
        <v>1.0000000000000001E-5</v>
      </c>
      <c r="I33">
        <f>LOG(1/H33)</f>
        <v>5</v>
      </c>
      <c r="J33">
        <v>10</v>
      </c>
      <c r="K33">
        <f>AVERAGE(F33,G33)</f>
        <v>17.5</v>
      </c>
      <c r="L33">
        <f>K33/(H33*(J33/1000))</f>
        <v>174999999.99999997</v>
      </c>
    </row>
    <row r="34" spans="1:12">
      <c r="A34" t="s">
        <v>17</v>
      </c>
      <c r="B34" t="s">
        <v>18</v>
      </c>
      <c r="C34" s="8">
        <f>C10+1</f>
        <v>2</v>
      </c>
      <c r="D34" s="9" t="s">
        <v>16</v>
      </c>
      <c r="E34" s="9">
        <v>5</v>
      </c>
      <c r="F34" s="9">
        <v>31</v>
      </c>
      <c r="G34" s="9">
        <v>20</v>
      </c>
      <c r="H34">
        <v>1.0000000000000001E-5</v>
      </c>
      <c r="I34">
        <f>LOG(1/H34)</f>
        <v>5</v>
      </c>
      <c r="J34">
        <v>10</v>
      </c>
      <c r="K34">
        <f>AVERAGE(F34,G34)</f>
        <v>25.5</v>
      </c>
      <c r="L34">
        <f>K34/(H34*(J34/1000))</f>
        <v>254999999.99999997</v>
      </c>
    </row>
    <row r="35" spans="1:12">
      <c r="A35" t="s">
        <v>17</v>
      </c>
      <c r="B35" t="s">
        <v>18</v>
      </c>
      <c r="C35" s="8">
        <f>C11+1</f>
        <v>2</v>
      </c>
      <c r="D35" s="9" t="s">
        <v>16</v>
      </c>
      <c r="E35" s="9">
        <v>6</v>
      </c>
      <c r="F35" s="9">
        <v>21</v>
      </c>
      <c r="G35" s="10">
        <v>30</v>
      </c>
      <c r="H35">
        <v>1.0000000000000001E-5</v>
      </c>
      <c r="I35">
        <f>LOG(1/H35)</f>
        <v>5</v>
      </c>
      <c r="J35">
        <v>10</v>
      </c>
      <c r="K35">
        <f>AVERAGE(F35,G35)</f>
        <v>25.5</v>
      </c>
      <c r="L35">
        <f>K35/(H35*(J35/1000))</f>
        <v>254999999.99999997</v>
      </c>
    </row>
    <row r="36" spans="1:12">
      <c r="A36" t="s">
        <v>17</v>
      </c>
      <c r="B36" t="s">
        <v>18</v>
      </c>
      <c r="C36" s="8">
        <f>C12+1</f>
        <v>2</v>
      </c>
      <c r="D36" s="9" t="s">
        <v>16</v>
      </c>
      <c r="E36" s="9">
        <v>7</v>
      </c>
      <c r="F36" s="9">
        <v>21</v>
      </c>
      <c r="G36" s="9">
        <v>20</v>
      </c>
      <c r="H36">
        <v>1.0000000000000001E-5</v>
      </c>
      <c r="I36">
        <f>LOG(1/H36)</f>
        <v>5</v>
      </c>
      <c r="J36">
        <v>10</v>
      </c>
      <c r="K36">
        <f>AVERAGE(F36,G36)</f>
        <v>20.5</v>
      </c>
      <c r="L36">
        <f>K36/(H36*(J36/1000))</f>
        <v>204999999.99999997</v>
      </c>
    </row>
    <row r="37" spans="1:12">
      <c r="A37" t="s">
        <v>17</v>
      </c>
      <c r="B37" t="s">
        <v>18</v>
      </c>
      <c r="C37" s="8">
        <f>C13+1</f>
        <v>2</v>
      </c>
      <c r="D37" s="9" t="s">
        <v>16</v>
      </c>
      <c r="E37" s="9">
        <v>8</v>
      </c>
      <c r="F37" s="9">
        <v>21</v>
      </c>
      <c r="G37" s="9"/>
      <c r="H37">
        <v>1.0000000000000001E-5</v>
      </c>
      <c r="I37">
        <f>LOG(1/H37)</f>
        <v>5</v>
      </c>
      <c r="J37">
        <v>10</v>
      </c>
      <c r="K37">
        <f>AVERAGE(F37,G37)</f>
        <v>21</v>
      </c>
      <c r="L37">
        <f>K37/(H37*(J37/1000))</f>
        <v>209999999.99999997</v>
      </c>
    </row>
    <row r="38" spans="1:12">
      <c r="A38" t="s">
        <v>17</v>
      </c>
      <c r="B38" t="s">
        <v>18</v>
      </c>
      <c r="C38" s="8">
        <f>C14+1</f>
        <v>2</v>
      </c>
      <c r="D38" s="9" t="s">
        <v>16</v>
      </c>
      <c r="E38" s="9">
        <v>9</v>
      </c>
      <c r="F38" s="9">
        <v>17</v>
      </c>
      <c r="G38" s="9">
        <v>24</v>
      </c>
      <c r="H38">
        <v>1.0000000000000001E-5</v>
      </c>
      <c r="I38">
        <f>LOG(1/H38)</f>
        <v>5</v>
      </c>
      <c r="J38">
        <v>10</v>
      </c>
      <c r="K38">
        <f>AVERAGE(F38,G38)</f>
        <v>20.5</v>
      </c>
      <c r="L38">
        <f>K38/(H38*(J38/1000))</f>
        <v>204999999.99999997</v>
      </c>
    </row>
    <row r="39" spans="1:12">
      <c r="A39" t="s">
        <v>17</v>
      </c>
      <c r="B39" t="s">
        <v>18</v>
      </c>
      <c r="C39" s="8">
        <f>C15+1</f>
        <v>2</v>
      </c>
      <c r="D39" s="9" t="s">
        <v>16</v>
      </c>
      <c r="E39" s="9">
        <v>10</v>
      </c>
      <c r="F39" s="9">
        <v>13</v>
      </c>
      <c r="G39" s="9">
        <v>18</v>
      </c>
      <c r="H39">
        <v>1.0000000000000001E-5</v>
      </c>
      <c r="I39">
        <f>LOG(1/H39)</f>
        <v>5</v>
      </c>
      <c r="J39">
        <v>10</v>
      </c>
      <c r="K39">
        <f>AVERAGE(F39,G39)</f>
        <v>15.5</v>
      </c>
      <c r="L39">
        <f>K39/(H39*(J39/1000))</f>
        <v>155000000</v>
      </c>
    </row>
    <row r="40" spans="1:12">
      <c r="A40" t="s">
        <v>17</v>
      </c>
      <c r="B40" t="s">
        <v>18</v>
      </c>
      <c r="C40" s="8">
        <f>C16+1</f>
        <v>2.5</v>
      </c>
      <c r="D40" s="9" t="s">
        <v>16</v>
      </c>
      <c r="E40" s="9">
        <v>1</v>
      </c>
      <c r="F40" s="9">
        <v>16</v>
      </c>
      <c r="G40" s="9">
        <v>12</v>
      </c>
      <c r="H40">
        <v>0.1</v>
      </c>
      <c r="I40">
        <f>LOG(1/H40)</f>
        <v>1</v>
      </c>
      <c r="J40">
        <v>10</v>
      </c>
      <c r="K40">
        <f>AVERAGE(F40,G40)</f>
        <v>14</v>
      </c>
      <c r="L40">
        <f>K40/(H40*(J40/1000))</f>
        <v>14000</v>
      </c>
    </row>
    <row r="41" spans="1:12">
      <c r="A41" t="s">
        <v>17</v>
      </c>
      <c r="B41" t="s">
        <v>18</v>
      </c>
      <c r="C41" s="8">
        <f>C17+1</f>
        <v>2.5</v>
      </c>
      <c r="D41" s="9" t="s">
        <v>16</v>
      </c>
      <c r="E41" s="9">
        <v>2</v>
      </c>
      <c r="F41" s="9">
        <v>9</v>
      </c>
      <c r="G41" s="9">
        <v>9</v>
      </c>
      <c r="H41">
        <v>0.1</v>
      </c>
      <c r="I41">
        <f>LOG(1/H41)</f>
        <v>1</v>
      </c>
      <c r="J41">
        <v>10</v>
      </c>
      <c r="K41">
        <f>AVERAGE(F41,G41)</f>
        <v>9</v>
      </c>
      <c r="L41">
        <f>K41/(H41*(J41/1000))</f>
        <v>9000</v>
      </c>
    </row>
    <row r="42" spans="1:12">
      <c r="A42" t="s">
        <v>17</v>
      </c>
      <c r="B42" t="s">
        <v>18</v>
      </c>
      <c r="C42" s="8">
        <f>C18+1</f>
        <v>2.5</v>
      </c>
      <c r="D42" s="9" t="s">
        <v>16</v>
      </c>
      <c r="E42" s="9">
        <v>3</v>
      </c>
      <c r="F42" s="9">
        <v>11</v>
      </c>
      <c r="G42" s="9">
        <v>12</v>
      </c>
      <c r="H42">
        <v>0.1</v>
      </c>
      <c r="I42">
        <f>LOG(1/H42)</f>
        <v>1</v>
      </c>
      <c r="J42">
        <v>10</v>
      </c>
      <c r="K42">
        <f>AVERAGE(F42,G42)</f>
        <v>11.5</v>
      </c>
      <c r="L42">
        <f>K42/(H42*(J42/1000))</f>
        <v>11500</v>
      </c>
    </row>
    <row r="43" spans="1:12">
      <c r="A43" t="s">
        <v>17</v>
      </c>
      <c r="B43" t="s">
        <v>18</v>
      </c>
      <c r="C43" s="8">
        <f>C19+1</f>
        <v>2.5</v>
      </c>
      <c r="D43" s="9" t="s">
        <v>16</v>
      </c>
      <c r="E43" s="9">
        <v>4</v>
      </c>
      <c r="F43" s="9">
        <v>14</v>
      </c>
      <c r="G43" s="9">
        <v>12</v>
      </c>
      <c r="H43">
        <v>0.1</v>
      </c>
      <c r="I43">
        <f>LOG(1/H43)</f>
        <v>1</v>
      </c>
      <c r="J43">
        <v>10</v>
      </c>
      <c r="K43">
        <f>AVERAGE(F43,G43)</f>
        <v>13</v>
      </c>
      <c r="L43">
        <f>K43/(H43*(J43/1000))</f>
        <v>13000</v>
      </c>
    </row>
    <row r="44" spans="1:12">
      <c r="A44" t="s">
        <v>17</v>
      </c>
      <c r="B44" t="s">
        <v>18</v>
      </c>
      <c r="C44" s="8">
        <f>C20+1</f>
        <v>2.5</v>
      </c>
      <c r="D44" s="9" t="s">
        <v>16</v>
      </c>
      <c r="E44" s="9">
        <v>5</v>
      </c>
      <c r="F44" s="9">
        <v>14</v>
      </c>
      <c r="G44" s="9">
        <v>8</v>
      </c>
      <c r="H44">
        <v>0.1</v>
      </c>
      <c r="I44">
        <f>LOG(1/H44)</f>
        <v>1</v>
      </c>
      <c r="J44">
        <v>10</v>
      </c>
      <c r="K44">
        <f>AVERAGE(F44,G44)</f>
        <v>11</v>
      </c>
      <c r="L44">
        <f>K44/(H44*(J44/1000))</f>
        <v>11000</v>
      </c>
    </row>
    <row r="45" spans="1:12">
      <c r="A45" t="s">
        <v>17</v>
      </c>
      <c r="B45" t="s">
        <v>18</v>
      </c>
      <c r="C45" s="8">
        <f>C21+1</f>
        <v>2.5</v>
      </c>
      <c r="D45" s="9" t="s">
        <v>16</v>
      </c>
      <c r="E45" s="9">
        <v>6</v>
      </c>
      <c r="F45" s="9">
        <v>25</v>
      </c>
      <c r="G45" s="9">
        <v>15</v>
      </c>
      <c r="H45">
        <v>0.1</v>
      </c>
      <c r="I45">
        <f>LOG(1/H45)</f>
        <v>1</v>
      </c>
      <c r="J45">
        <v>10</v>
      </c>
      <c r="K45">
        <f>AVERAGE(F45,G45)</f>
        <v>20</v>
      </c>
      <c r="L45">
        <f>K45/(H45*(J45/1000))</f>
        <v>20000</v>
      </c>
    </row>
    <row r="46" spans="1:12">
      <c r="A46" t="s">
        <v>17</v>
      </c>
      <c r="B46" t="s">
        <v>18</v>
      </c>
      <c r="C46" s="8">
        <f>C22+1</f>
        <v>2.5</v>
      </c>
      <c r="D46" s="9" t="s">
        <v>16</v>
      </c>
      <c r="E46" s="9">
        <v>7</v>
      </c>
      <c r="F46" s="9">
        <v>11</v>
      </c>
      <c r="G46" s="9">
        <v>12</v>
      </c>
      <c r="H46">
        <v>0.1</v>
      </c>
      <c r="I46">
        <f>LOG(1/H46)</f>
        <v>1</v>
      </c>
      <c r="J46">
        <v>10</v>
      </c>
      <c r="K46">
        <f>AVERAGE(F46,G46)</f>
        <v>11.5</v>
      </c>
      <c r="L46">
        <f>K46/(H46*(J46/1000))</f>
        <v>11500</v>
      </c>
    </row>
    <row r="47" spans="1:12">
      <c r="A47" t="s">
        <v>17</v>
      </c>
      <c r="B47" t="s">
        <v>18</v>
      </c>
      <c r="C47" s="8">
        <f>C23+1</f>
        <v>2.5</v>
      </c>
      <c r="D47" s="9" t="s">
        <v>16</v>
      </c>
      <c r="E47" s="9">
        <v>8</v>
      </c>
      <c r="F47" s="9">
        <v>14</v>
      </c>
      <c r="G47" s="9">
        <v>9</v>
      </c>
      <c r="H47">
        <v>0.1</v>
      </c>
      <c r="I47">
        <f>LOG(1/H47)</f>
        <v>1</v>
      </c>
      <c r="J47">
        <v>10</v>
      </c>
      <c r="K47">
        <f>AVERAGE(F47,G47)</f>
        <v>11.5</v>
      </c>
      <c r="L47">
        <f>K47/(H47*(J47/1000))</f>
        <v>11500</v>
      </c>
    </row>
    <row r="48" spans="1:12">
      <c r="A48" t="s">
        <v>17</v>
      </c>
      <c r="B48" t="s">
        <v>18</v>
      </c>
      <c r="C48" s="8">
        <f>C24+1</f>
        <v>2.5</v>
      </c>
      <c r="D48" s="9" t="s">
        <v>16</v>
      </c>
      <c r="E48" s="9">
        <v>9</v>
      </c>
      <c r="F48" s="9">
        <v>8</v>
      </c>
      <c r="G48" s="9">
        <v>4</v>
      </c>
      <c r="H48">
        <v>0.01</v>
      </c>
      <c r="I48">
        <f>LOG(1/H48)</f>
        <v>2</v>
      </c>
      <c r="J48">
        <v>10</v>
      </c>
      <c r="K48">
        <f>AVERAGE(F48,G48)</f>
        <v>6</v>
      </c>
      <c r="L48">
        <f>K48/(H48*(J48/1000))</f>
        <v>60000</v>
      </c>
    </row>
    <row r="49" spans="1:12">
      <c r="A49" t="s">
        <v>17</v>
      </c>
      <c r="B49" t="s">
        <v>18</v>
      </c>
      <c r="C49" s="8">
        <f>C25+1</f>
        <v>2.5</v>
      </c>
      <c r="D49" s="9" t="s">
        <v>16</v>
      </c>
      <c r="E49" s="9">
        <v>10</v>
      </c>
      <c r="F49" s="9">
        <v>10</v>
      </c>
      <c r="G49" s="9">
        <v>11</v>
      </c>
      <c r="H49">
        <v>0.1</v>
      </c>
      <c r="I49">
        <f>LOG(1/H49)</f>
        <v>1</v>
      </c>
      <c r="J49">
        <v>10</v>
      </c>
      <c r="K49">
        <f>AVERAGE(F49,G49)</f>
        <v>10.5</v>
      </c>
      <c r="L49">
        <f>K49/(H49*(J49/1000))</f>
        <v>10500</v>
      </c>
    </row>
    <row r="50" spans="1:12">
      <c r="A50" t="s">
        <v>17</v>
      </c>
      <c r="B50" t="s">
        <v>18</v>
      </c>
      <c r="C50" s="9">
        <f>C26+1</f>
        <v>3</v>
      </c>
      <c r="D50" s="9" t="s">
        <v>16</v>
      </c>
      <c r="E50" s="9" t="s">
        <v>19</v>
      </c>
      <c r="F50" s="9">
        <v>29</v>
      </c>
      <c r="G50" s="10">
        <v>50</v>
      </c>
      <c r="H50">
        <v>1.0000000000000001E-5</v>
      </c>
      <c r="I50">
        <f>LOG(1/H50)</f>
        <v>5</v>
      </c>
      <c r="J50">
        <v>10</v>
      </c>
      <c r="K50">
        <f>AVERAGE(F50,G50)</f>
        <v>39.5</v>
      </c>
      <c r="L50">
        <f>K50/(H50*(J50/1000))</f>
        <v>394999999.99999994</v>
      </c>
    </row>
    <row r="51" spans="1:12">
      <c r="A51" t="s">
        <v>17</v>
      </c>
      <c r="B51" t="s">
        <v>18</v>
      </c>
      <c r="C51" s="9">
        <f>C27+1</f>
        <v>3</v>
      </c>
      <c r="D51" s="9" t="s">
        <v>16</v>
      </c>
      <c r="E51" s="9" t="s">
        <v>20</v>
      </c>
      <c r="F51" s="9">
        <v>22</v>
      </c>
      <c r="G51" s="10">
        <v>20</v>
      </c>
      <c r="H51">
        <v>1.0000000000000001E-5</v>
      </c>
      <c r="I51">
        <f>LOG(1/H51)</f>
        <v>5</v>
      </c>
      <c r="J51">
        <v>10</v>
      </c>
      <c r="K51">
        <f>AVERAGE(F51,G51)</f>
        <v>21</v>
      </c>
      <c r="L51">
        <f>K51/(H51*(J51/1000))</f>
        <v>209999999.99999997</v>
      </c>
    </row>
    <row r="52" spans="1:12">
      <c r="A52" t="s">
        <v>17</v>
      </c>
      <c r="B52" t="s">
        <v>18</v>
      </c>
      <c r="C52" s="9">
        <f>C28+1</f>
        <v>3</v>
      </c>
      <c r="D52" s="9" t="s">
        <v>16</v>
      </c>
      <c r="E52" s="9" t="s">
        <v>21</v>
      </c>
      <c r="F52" s="9">
        <v>3</v>
      </c>
      <c r="G52" s="9">
        <v>3</v>
      </c>
      <c r="H52">
        <v>9.9999999999999995E-7</v>
      </c>
      <c r="I52">
        <f>LOG(1/H52)</f>
        <v>6</v>
      </c>
      <c r="J52">
        <v>10</v>
      </c>
      <c r="K52">
        <f>AVERAGE(F52,G52)</f>
        <v>3</v>
      </c>
      <c r="L52">
        <f>K52/(H52*(J52/1000))</f>
        <v>300000000</v>
      </c>
    </row>
    <row r="53" spans="1:12">
      <c r="A53" t="s">
        <v>17</v>
      </c>
      <c r="B53" t="s">
        <v>18</v>
      </c>
      <c r="C53" s="9">
        <f>C29+1</f>
        <v>3</v>
      </c>
      <c r="D53" s="9" t="s">
        <v>16</v>
      </c>
      <c r="E53" s="9" t="s">
        <v>22</v>
      </c>
      <c r="F53" s="9">
        <v>1</v>
      </c>
      <c r="G53" s="9">
        <v>2</v>
      </c>
      <c r="H53">
        <v>9.9999999999999995E-7</v>
      </c>
      <c r="I53">
        <f>LOG(1/H53)</f>
        <v>6</v>
      </c>
      <c r="J53">
        <v>10</v>
      </c>
      <c r="K53">
        <f>AVERAGE(F53,G53)</f>
        <v>1.5</v>
      </c>
      <c r="L53">
        <f>K53/(H53*(J53/1000))</f>
        <v>150000000</v>
      </c>
    </row>
    <row r="54" spans="1:12">
      <c r="A54" t="s">
        <v>17</v>
      </c>
      <c r="B54" t="s">
        <v>18</v>
      </c>
      <c r="C54" s="9">
        <f>C30+1</f>
        <v>3</v>
      </c>
      <c r="D54" s="9" t="s">
        <v>16</v>
      </c>
      <c r="E54" s="9">
        <v>1</v>
      </c>
      <c r="F54" s="9">
        <v>8</v>
      </c>
      <c r="G54" s="9">
        <v>6</v>
      </c>
      <c r="H54">
        <v>9.9999999999999995E-7</v>
      </c>
      <c r="I54">
        <f>LOG(1/H54)</f>
        <v>6</v>
      </c>
      <c r="J54">
        <v>10</v>
      </c>
      <c r="K54">
        <f>AVERAGE(F54,G54)</f>
        <v>7</v>
      </c>
      <c r="L54">
        <f>K54/(H54*(J54/1000))</f>
        <v>700000000</v>
      </c>
    </row>
    <row r="55" spans="1:12">
      <c r="A55" t="s">
        <v>17</v>
      </c>
      <c r="B55" t="s">
        <v>18</v>
      </c>
      <c r="C55" s="9">
        <f>C31+1</f>
        <v>3</v>
      </c>
      <c r="D55" s="9" t="s">
        <v>16</v>
      </c>
      <c r="E55" s="9">
        <v>2</v>
      </c>
      <c r="F55" s="9">
        <v>7</v>
      </c>
      <c r="G55" s="9"/>
      <c r="H55">
        <v>9.9999999999999995E-7</v>
      </c>
      <c r="I55">
        <f>LOG(1/H55)</f>
        <v>6</v>
      </c>
      <c r="J55">
        <v>10</v>
      </c>
      <c r="K55">
        <f>AVERAGE(F55,G55)</f>
        <v>7</v>
      </c>
      <c r="L55">
        <f>K55/(H55*(J55/1000))</f>
        <v>700000000</v>
      </c>
    </row>
    <row r="56" spans="1:12">
      <c r="A56" t="s">
        <v>17</v>
      </c>
      <c r="B56" t="s">
        <v>18</v>
      </c>
      <c r="C56" s="9">
        <f>C32+1</f>
        <v>3</v>
      </c>
      <c r="D56" s="9" t="s">
        <v>16</v>
      </c>
      <c r="E56" s="9">
        <v>3</v>
      </c>
      <c r="F56" s="9">
        <v>2</v>
      </c>
      <c r="G56" s="9">
        <v>2</v>
      </c>
      <c r="H56">
        <v>9.9999999999999995E-7</v>
      </c>
      <c r="I56">
        <f>LOG(1/H56)</f>
        <v>6</v>
      </c>
      <c r="J56">
        <v>10</v>
      </c>
      <c r="K56">
        <f>AVERAGE(F56,G56)</f>
        <v>2</v>
      </c>
      <c r="L56">
        <f>K56/(H56*(J56/1000))</f>
        <v>200000000</v>
      </c>
    </row>
    <row r="57" spans="1:12">
      <c r="A57" t="s">
        <v>17</v>
      </c>
      <c r="B57" t="s">
        <v>18</v>
      </c>
      <c r="C57" s="9">
        <f>C33+1</f>
        <v>3</v>
      </c>
      <c r="D57" s="9" t="s">
        <v>16</v>
      </c>
      <c r="E57" s="9">
        <v>4</v>
      </c>
      <c r="F57" s="9">
        <v>3</v>
      </c>
      <c r="G57" s="9">
        <v>2</v>
      </c>
      <c r="H57">
        <v>9.9999999999999995E-7</v>
      </c>
      <c r="I57">
        <f>LOG(1/H57)</f>
        <v>6</v>
      </c>
      <c r="J57">
        <v>10</v>
      </c>
      <c r="K57">
        <f>AVERAGE(F57,G57)</f>
        <v>2.5</v>
      </c>
      <c r="L57">
        <f>K57/(H57*(J57/1000))</f>
        <v>250000000</v>
      </c>
    </row>
    <row r="58" spans="1:12">
      <c r="A58" t="s">
        <v>17</v>
      </c>
      <c r="B58" t="s">
        <v>18</v>
      </c>
      <c r="C58" s="9">
        <f>C34+1</f>
        <v>3</v>
      </c>
      <c r="D58" s="9" t="s">
        <v>16</v>
      </c>
      <c r="E58" s="9">
        <v>5</v>
      </c>
      <c r="F58" s="9">
        <v>3</v>
      </c>
      <c r="G58" s="9">
        <v>4</v>
      </c>
      <c r="H58">
        <v>9.9999999999999995E-7</v>
      </c>
      <c r="I58">
        <f>LOG(1/H58)</f>
        <v>6</v>
      </c>
      <c r="J58">
        <v>10</v>
      </c>
      <c r="K58">
        <f>AVERAGE(F58,G58)</f>
        <v>3.5</v>
      </c>
      <c r="L58">
        <f>K58/(H58*(J58/1000))</f>
        <v>350000000</v>
      </c>
    </row>
    <row r="59" spans="1:12">
      <c r="A59" t="s">
        <v>17</v>
      </c>
      <c r="B59" t="s">
        <v>18</v>
      </c>
      <c r="C59" s="9">
        <f>C35+1</f>
        <v>3</v>
      </c>
      <c r="D59" s="9" t="s">
        <v>16</v>
      </c>
      <c r="E59" s="9">
        <v>6</v>
      </c>
      <c r="F59" s="9">
        <v>3</v>
      </c>
      <c r="G59" s="9">
        <v>2</v>
      </c>
      <c r="H59">
        <v>9.9999999999999995E-7</v>
      </c>
      <c r="I59">
        <f>LOG(1/H59)</f>
        <v>6</v>
      </c>
      <c r="J59">
        <v>10</v>
      </c>
      <c r="K59">
        <f>AVERAGE(F59,G59)</f>
        <v>2.5</v>
      </c>
      <c r="L59">
        <f>K59/(H59*(J59/1000))</f>
        <v>250000000</v>
      </c>
    </row>
    <row r="60" spans="1:12">
      <c r="A60" t="s">
        <v>17</v>
      </c>
      <c r="B60" t="s">
        <v>18</v>
      </c>
      <c r="C60" s="9">
        <f>C36+1</f>
        <v>3</v>
      </c>
      <c r="D60" s="9" t="s">
        <v>16</v>
      </c>
      <c r="E60" s="9">
        <v>7</v>
      </c>
      <c r="F60" s="9">
        <v>6</v>
      </c>
      <c r="G60" s="9">
        <v>1</v>
      </c>
      <c r="H60">
        <v>9.9999999999999995E-7</v>
      </c>
      <c r="I60">
        <f>LOG(1/H60)</f>
        <v>6</v>
      </c>
      <c r="J60">
        <v>10</v>
      </c>
      <c r="K60">
        <f>AVERAGE(F60,G60)</f>
        <v>3.5</v>
      </c>
      <c r="L60">
        <f>K60/(H60*(J60/1000))</f>
        <v>350000000</v>
      </c>
    </row>
    <row r="61" spans="1:12">
      <c r="A61" t="s">
        <v>17</v>
      </c>
      <c r="B61" t="s">
        <v>18</v>
      </c>
      <c r="C61" s="9">
        <f>C37+1</f>
        <v>3</v>
      </c>
      <c r="D61" s="9" t="s">
        <v>16</v>
      </c>
      <c r="E61" s="9">
        <v>8</v>
      </c>
      <c r="F61" s="9">
        <v>24</v>
      </c>
      <c r="G61" s="10">
        <v>30</v>
      </c>
      <c r="H61">
        <v>1.0000000000000001E-5</v>
      </c>
      <c r="I61">
        <f>LOG(1/H61)</f>
        <v>5</v>
      </c>
      <c r="J61">
        <v>10</v>
      </c>
      <c r="K61">
        <f>AVERAGE(F61,G61)</f>
        <v>27</v>
      </c>
      <c r="L61">
        <f>K61/(H61*(J61/1000))</f>
        <v>270000000</v>
      </c>
    </row>
    <row r="62" spans="1:12">
      <c r="A62" t="s">
        <v>17</v>
      </c>
      <c r="B62" t="s">
        <v>18</v>
      </c>
      <c r="C62" s="9">
        <f>C38+1</f>
        <v>3</v>
      </c>
      <c r="D62" s="9" t="s">
        <v>16</v>
      </c>
      <c r="E62" s="9">
        <v>9</v>
      </c>
      <c r="F62" s="9">
        <v>4</v>
      </c>
      <c r="G62" s="9"/>
      <c r="H62">
        <v>9.9999999999999995E-7</v>
      </c>
      <c r="I62">
        <f>LOG(1/H62)</f>
        <v>6</v>
      </c>
      <c r="J62">
        <v>10</v>
      </c>
      <c r="K62">
        <f>AVERAGE(F62,G62)</f>
        <v>4</v>
      </c>
      <c r="L62">
        <f>K62/(H62*(J62/1000))</f>
        <v>400000000</v>
      </c>
    </row>
    <row r="63" spans="1:12">
      <c r="A63" t="s">
        <v>17</v>
      </c>
      <c r="B63" t="s">
        <v>18</v>
      </c>
      <c r="C63" s="9">
        <f>C39+1</f>
        <v>3</v>
      </c>
      <c r="D63" s="9" t="s">
        <v>16</v>
      </c>
      <c r="E63" s="9">
        <v>10</v>
      </c>
      <c r="F63" s="9">
        <v>20</v>
      </c>
      <c r="G63" s="9"/>
      <c r="H63">
        <v>9.9999999999999995E-7</v>
      </c>
      <c r="I63">
        <f>LOG(1/H63)</f>
        <v>6</v>
      </c>
      <c r="J63">
        <v>10</v>
      </c>
      <c r="K63">
        <f>AVERAGE(F63,G63)</f>
        <v>20</v>
      </c>
      <c r="L63">
        <f>K63/(H63*(J63/1000))</f>
        <v>2000000000</v>
      </c>
    </row>
    <row r="64" spans="1:12">
      <c r="A64" t="s">
        <v>17</v>
      </c>
      <c r="B64" t="s">
        <v>18</v>
      </c>
      <c r="C64" s="9">
        <f>C40+1</f>
        <v>3.5</v>
      </c>
      <c r="D64" s="9" t="s">
        <v>16</v>
      </c>
      <c r="E64" s="9">
        <v>1</v>
      </c>
      <c r="F64" s="9">
        <v>9</v>
      </c>
      <c r="G64" s="9">
        <v>14</v>
      </c>
      <c r="H64">
        <v>0.01</v>
      </c>
      <c r="I64">
        <f>LOG(1/H64)</f>
        <v>2</v>
      </c>
      <c r="J64">
        <v>10</v>
      </c>
      <c r="K64">
        <f>AVERAGE(F64,G64)</f>
        <v>11.5</v>
      </c>
      <c r="L64">
        <f>K64/(H64*(J64/1000))</f>
        <v>115000</v>
      </c>
    </row>
    <row r="65" spans="1:12">
      <c r="A65" t="s">
        <v>17</v>
      </c>
      <c r="B65" t="s">
        <v>18</v>
      </c>
      <c r="C65" s="9">
        <f>C41+1</f>
        <v>3.5</v>
      </c>
      <c r="D65" s="9" t="s">
        <v>16</v>
      </c>
      <c r="E65" s="9">
        <v>2</v>
      </c>
      <c r="F65" s="9">
        <v>20</v>
      </c>
      <c r="G65" s="9">
        <v>22</v>
      </c>
      <c r="H65">
        <v>0.1</v>
      </c>
      <c r="I65">
        <f>LOG(1/H65)</f>
        <v>1</v>
      </c>
      <c r="J65">
        <v>10</v>
      </c>
      <c r="K65">
        <f>AVERAGE(F65,G65)</f>
        <v>21</v>
      </c>
      <c r="L65">
        <f>K65/(H65*(J65/1000))</f>
        <v>21000</v>
      </c>
    </row>
    <row r="66" spans="1:12">
      <c r="A66" t="s">
        <v>17</v>
      </c>
      <c r="B66" t="s">
        <v>18</v>
      </c>
      <c r="C66" s="9">
        <f>C42+1</f>
        <v>3.5</v>
      </c>
      <c r="D66" s="9" t="s">
        <v>16</v>
      </c>
      <c r="E66" s="9">
        <v>3</v>
      </c>
      <c r="F66" s="9">
        <v>15</v>
      </c>
      <c r="G66" s="9">
        <v>19</v>
      </c>
      <c r="H66">
        <v>0.1</v>
      </c>
      <c r="I66">
        <f>LOG(1/H66)</f>
        <v>1</v>
      </c>
      <c r="J66">
        <v>10</v>
      </c>
      <c r="K66">
        <f>AVERAGE(F66,G66)</f>
        <v>17</v>
      </c>
      <c r="L66">
        <f>K66/(H66*(J66/1000))</f>
        <v>17000</v>
      </c>
    </row>
    <row r="67" spans="1:12">
      <c r="A67" t="s">
        <v>17</v>
      </c>
      <c r="B67" t="s">
        <v>18</v>
      </c>
      <c r="C67" s="9">
        <f>C43+1</f>
        <v>3.5</v>
      </c>
      <c r="D67" s="9" t="s">
        <v>16</v>
      </c>
      <c r="E67" s="9">
        <v>4</v>
      </c>
      <c r="F67" s="9">
        <v>8</v>
      </c>
      <c r="G67" s="9">
        <v>4</v>
      </c>
      <c r="H67">
        <v>0.01</v>
      </c>
      <c r="I67">
        <f>LOG(1/H67)</f>
        <v>2</v>
      </c>
      <c r="J67">
        <v>10</v>
      </c>
      <c r="K67">
        <f>AVERAGE(F67,G67)</f>
        <v>6</v>
      </c>
      <c r="L67">
        <f>K67/(H67*(J67/1000))</f>
        <v>60000</v>
      </c>
    </row>
    <row r="68" spans="1:12">
      <c r="A68" t="s">
        <v>17</v>
      </c>
      <c r="B68" t="s">
        <v>18</v>
      </c>
      <c r="C68" s="9">
        <f>C44+1</f>
        <v>3.5</v>
      </c>
      <c r="D68" s="9" t="s">
        <v>16</v>
      </c>
      <c r="E68" s="9">
        <v>5</v>
      </c>
      <c r="F68" s="9">
        <v>3</v>
      </c>
      <c r="G68" s="9">
        <v>3</v>
      </c>
      <c r="H68">
        <v>0.01</v>
      </c>
      <c r="I68">
        <f>LOG(1/H68)</f>
        <v>2</v>
      </c>
      <c r="J68">
        <v>10</v>
      </c>
      <c r="K68">
        <f>AVERAGE(F68,G68)</f>
        <v>3</v>
      </c>
      <c r="L68">
        <f>K68/(H68*(J68/1000))</f>
        <v>30000</v>
      </c>
    </row>
    <row r="69" spans="1:12">
      <c r="A69" t="s">
        <v>17</v>
      </c>
      <c r="B69" t="s">
        <v>18</v>
      </c>
      <c r="C69" s="9">
        <f>C45+1</f>
        <v>3.5</v>
      </c>
      <c r="D69" s="9" t="s">
        <v>16</v>
      </c>
      <c r="E69" s="9">
        <v>6</v>
      </c>
      <c r="F69" s="9">
        <v>4</v>
      </c>
      <c r="G69" s="9">
        <v>4</v>
      </c>
      <c r="H69">
        <v>0.01</v>
      </c>
      <c r="I69">
        <f>LOG(1/H69)</f>
        <v>2</v>
      </c>
      <c r="J69">
        <v>10</v>
      </c>
      <c r="K69">
        <f>AVERAGE(F69,G69)</f>
        <v>4</v>
      </c>
      <c r="L69">
        <f>K69/(H69*(J69/1000))</f>
        <v>40000</v>
      </c>
    </row>
    <row r="70" spans="1:12">
      <c r="A70" t="s">
        <v>17</v>
      </c>
      <c r="B70" t="s">
        <v>18</v>
      </c>
      <c r="C70" s="9">
        <f>C46+1</f>
        <v>3.5</v>
      </c>
      <c r="D70" s="9" t="s">
        <v>16</v>
      </c>
      <c r="E70" s="9">
        <v>7</v>
      </c>
      <c r="F70" s="9">
        <v>14</v>
      </c>
      <c r="G70" s="9">
        <v>17</v>
      </c>
      <c r="H70">
        <v>0.01</v>
      </c>
      <c r="I70">
        <f>LOG(1/H70)</f>
        <v>2</v>
      </c>
      <c r="J70">
        <v>10</v>
      </c>
      <c r="K70">
        <f>AVERAGE(F70,G70)</f>
        <v>15.5</v>
      </c>
      <c r="L70">
        <f>K70/(H70*(J70/1000))</f>
        <v>155000</v>
      </c>
    </row>
    <row r="71" spans="1:12">
      <c r="A71" t="s">
        <v>17</v>
      </c>
      <c r="B71" t="s">
        <v>18</v>
      </c>
      <c r="C71" s="9">
        <f>C47+1</f>
        <v>3.5</v>
      </c>
      <c r="D71" s="9" t="s">
        <v>16</v>
      </c>
      <c r="E71" s="9">
        <v>8</v>
      </c>
      <c r="F71" s="9">
        <v>15</v>
      </c>
      <c r="G71" s="9">
        <v>14</v>
      </c>
      <c r="H71">
        <v>0.1</v>
      </c>
      <c r="I71">
        <f>LOG(1/H71)</f>
        <v>1</v>
      </c>
      <c r="J71">
        <v>10</v>
      </c>
      <c r="K71">
        <f>AVERAGE(F71,G71)</f>
        <v>14.5</v>
      </c>
      <c r="L71">
        <f>K71/(H71*(J71/1000))</f>
        <v>14500</v>
      </c>
    </row>
    <row r="72" spans="1:12">
      <c r="A72" t="s">
        <v>17</v>
      </c>
      <c r="B72" t="s">
        <v>18</v>
      </c>
      <c r="C72" s="9">
        <f>C48+1</f>
        <v>3.5</v>
      </c>
      <c r="D72" s="9" t="s">
        <v>16</v>
      </c>
      <c r="E72" s="9">
        <v>9</v>
      </c>
      <c r="F72" s="9">
        <v>8</v>
      </c>
      <c r="G72" s="9"/>
      <c r="H72">
        <v>0.1</v>
      </c>
      <c r="I72">
        <f>LOG(1/H72)</f>
        <v>1</v>
      </c>
      <c r="J72">
        <v>10</v>
      </c>
      <c r="K72">
        <f>AVERAGE(F72,G72)</f>
        <v>8</v>
      </c>
      <c r="L72">
        <f>K72/(H72*(J72/1000))</f>
        <v>8000</v>
      </c>
    </row>
    <row r="73" spans="1:12">
      <c r="A73" t="s">
        <v>17</v>
      </c>
      <c r="B73" t="s">
        <v>18</v>
      </c>
      <c r="C73" s="9">
        <f>C49+1</f>
        <v>3.5</v>
      </c>
      <c r="D73" s="9" t="s">
        <v>16</v>
      </c>
      <c r="E73" s="9">
        <v>10</v>
      </c>
      <c r="F73" s="9">
        <v>13</v>
      </c>
      <c r="G73" s="9">
        <v>12</v>
      </c>
      <c r="H73">
        <v>0.1</v>
      </c>
      <c r="I73">
        <f>LOG(1/H73)</f>
        <v>1</v>
      </c>
      <c r="J73">
        <v>10</v>
      </c>
      <c r="K73">
        <f>AVERAGE(F73,G73)</f>
        <v>12.5</v>
      </c>
      <c r="L73">
        <f>K73/(H73*(J73/1000))</f>
        <v>12500</v>
      </c>
    </row>
    <row r="74" spans="1:12">
      <c r="A74" t="s">
        <v>17</v>
      </c>
      <c r="B74" t="s">
        <v>18</v>
      </c>
      <c r="C74" s="9">
        <f>C50+1</f>
        <v>4</v>
      </c>
      <c r="D74" s="9" t="s">
        <v>16</v>
      </c>
      <c r="E74" s="9" t="s">
        <v>19</v>
      </c>
      <c r="F74" s="9">
        <v>2</v>
      </c>
      <c r="G74" s="9">
        <v>1</v>
      </c>
      <c r="H74">
        <v>9.9999999999999995E-7</v>
      </c>
      <c r="I74">
        <f>LOG(1/H74)</f>
        <v>6</v>
      </c>
      <c r="J74">
        <v>10</v>
      </c>
      <c r="K74">
        <f>AVERAGE(F74,G74)</f>
        <v>1.5</v>
      </c>
      <c r="L74">
        <f>K74/(H74*(J74/1000))</f>
        <v>150000000</v>
      </c>
    </row>
    <row r="75" spans="1:12">
      <c r="A75" t="s">
        <v>17</v>
      </c>
      <c r="B75" t="s">
        <v>18</v>
      </c>
      <c r="C75" s="9">
        <f>C51+1</f>
        <v>4</v>
      </c>
      <c r="D75" s="9" t="s">
        <v>16</v>
      </c>
      <c r="E75" s="9" t="s">
        <v>20</v>
      </c>
      <c r="F75" s="9">
        <v>21</v>
      </c>
      <c r="G75" s="10">
        <v>30</v>
      </c>
      <c r="H75">
        <v>1.0000000000000001E-5</v>
      </c>
      <c r="I75">
        <f>LOG(1/H75)</f>
        <v>5</v>
      </c>
      <c r="J75">
        <v>10</v>
      </c>
      <c r="K75">
        <f>AVERAGE(F75,G75)</f>
        <v>25.5</v>
      </c>
      <c r="L75">
        <f>K75/(H75*(J75/1000))</f>
        <v>254999999.99999997</v>
      </c>
    </row>
    <row r="76" spans="1:12">
      <c r="A76" t="s">
        <v>17</v>
      </c>
      <c r="B76" t="s">
        <v>18</v>
      </c>
      <c r="C76" s="9">
        <f>C52+1</f>
        <v>4</v>
      </c>
      <c r="D76" s="9" t="s">
        <v>16</v>
      </c>
      <c r="E76" s="9" t="s">
        <v>21</v>
      </c>
      <c r="F76" s="9">
        <v>5</v>
      </c>
      <c r="G76" s="9">
        <v>3</v>
      </c>
      <c r="H76">
        <v>9.9999999999999995E-7</v>
      </c>
      <c r="I76">
        <f>LOG(1/H76)</f>
        <v>6</v>
      </c>
      <c r="J76">
        <v>10</v>
      </c>
      <c r="K76">
        <f>AVERAGE(F76,G76)</f>
        <v>4</v>
      </c>
      <c r="L76">
        <f>K76/(H76*(J76/1000))</f>
        <v>400000000</v>
      </c>
    </row>
    <row r="77" spans="1:12">
      <c r="A77" t="s">
        <v>17</v>
      </c>
      <c r="B77" t="s">
        <v>18</v>
      </c>
      <c r="C77" s="9">
        <f>C53+1</f>
        <v>4</v>
      </c>
      <c r="D77" s="9" t="s">
        <v>16</v>
      </c>
      <c r="E77" s="9" t="s">
        <v>22</v>
      </c>
      <c r="F77" s="9">
        <v>18</v>
      </c>
      <c r="G77" s="10">
        <v>10</v>
      </c>
      <c r="H77">
        <v>1.0000000000000001E-5</v>
      </c>
      <c r="I77">
        <f>LOG(1/H77)</f>
        <v>5</v>
      </c>
      <c r="J77">
        <v>10</v>
      </c>
      <c r="K77">
        <f>AVERAGE(F77,G77)</f>
        <v>14</v>
      </c>
      <c r="L77">
        <f>K77/(H77*(J77/1000))</f>
        <v>140000000</v>
      </c>
    </row>
    <row r="78" spans="1:12">
      <c r="A78" t="s">
        <v>17</v>
      </c>
      <c r="B78" t="s">
        <v>18</v>
      </c>
      <c r="C78" s="9">
        <f>C54+1</f>
        <v>4</v>
      </c>
      <c r="D78" s="9" t="s">
        <v>16</v>
      </c>
      <c r="E78" s="9">
        <v>1</v>
      </c>
      <c r="F78" s="9">
        <v>2</v>
      </c>
      <c r="G78" s="9">
        <v>2</v>
      </c>
      <c r="H78">
        <v>9.9999999999999995E-7</v>
      </c>
      <c r="I78">
        <f>LOG(1/H78)</f>
        <v>6</v>
      </c>
      <c r="J78">
        <v>10</v>
      </c>
      <c r="K78">
        <f>AVERAGE(F78,G78)</f>
        <v>2</v>
      </c>
      <c r="L78">
        <f>K78/(H78*(J78/1000))</f>
        <v>200000000</v>
      </c>
    </row>
    <row r="79" spans="1:12">
      <c r="A79" t="s">
        <v>17</v>
      </c>
      <c r="B79" t="s">
        <v>18</v>
      </c>
      <c r="C79" s="9">
        <f>C55+1</f>
        <v>4</v>
      </c>
      <c r="D79" s="9" t="s">
        <v>16</v>
      </c>
      <c r="E79" s="9">
        <v>2</v>
      </c>
      <c r="F79" s="9">
        <v>4</v>
      </c>
      <c r="G79" s="9">
        <v>2</v>
      </c>
      <c r="H79">
        <v>9.9999999999999995E-7</v>
      </c>
      <c r="I79">
        <f>LOG(1/H79)</f>
        <v>6</v>
      </c>
      <c r="J79">
        <v>10</v>
      </c>
      <c r="K79">
        <f>AVERAGE(F79,G79)</f>
        <v>3</v>
      </c>
      <c r="L79">
        <f>K79/(H79*(J79/1000))</f>
        <v>300000000</v>
      </c>
    </row>
    <row r="80" spans="1:12">
      <c r="A80" t="s">
        <v>17</v>
      </c>
      <c r="B80" t="s">
        <v>18</v>
      </c>
      <c r="C80" s="9">
        <f>C56+1</f>
        <v>4</v>
      </c>
      <c r="D80" s="9" t="s">
        <v>16</v>
      </c>
      <c r="E80" s="9">
        <v>3</v>
      </c>
      <c r="F80" s="9">
        <v>4</v>
      </c>
      <c r="G80" s="9">
        <v>2</v>
      </c>
      <c r="H80">
        <v>9.9999999999999995E-7</v>
      </c>
      <c r="I80">
        <f>LOG(1/H80)</f>
        <v>6</v>
      </c>
      <c r="J80">
        <v>10</v>
      </c>
      <c r="K80">
        <f>AVERAGE(F80,G80)</f>
        <v>3</v>
      </c>
      <c r="L80">
        <f>K80/(H80*(J80/1000))</f>
        <v>300000000</v>
      </c>
    </row>
    <row r="81" spans="1:12">
      <c r="A81" t="s">
        <v>17</v>
      </c>
      <c r="B81" t="s">
        <v>18</v>
      </c>
      <c r="C81" s="9">
        <f>C57+1</f>
        <v>4</v>
      </c>
      <c r="D81" s="9" t="s">
        <v>16</v>
      </c>
      <c r="E81" s="9">
        <v>4</v>
      </c>
      <c r="F81" s="9">
        <v>2</v>
      </c>
      <c r="G81" s="9">
        <v>1</v>
      </c>
      <c r="H81">
        <v>9.9999999999999995E-7</v>
      </c>
      <c r="I81">
        <f>LOG(1/H81)</f>
        <v>6</v>
      </c>
      <c r="J81">
        <v>10</v>
      </c>
      <c r="K81">
        <f>AVERAGE(F81,G81)</f>
        <v>1.5</v>
      </c>
      <c r="L81">
        <f>K81/(H81*(J81/1000))</f>
        <v>150000000</v>
      </c>
    </row>
    <row r="82" spans="1:12">
      <c r="A82" t="s">
        <v>17</v>
      </c>
      <c r="B82" t="s">
        <v>18</v>
      </c>
      <c r="C82" s="9">
        <f>C58+1</f>
        <v>4</v>
      </c>
      <c r="D82" s="9" t="s">
        <v>16</v>
      </c>
      <c r="E82" s="9">
        <v>5</v>
      </c>
      <c r="F82" s="9">
        <v>4</v>
      </c>
      <c r="G82" s="9">
        <v>2</v>
      </c>
      <c r="H82">
        <v>9.9999999999999995E-7</v>
      </c>
      <c r="I82">
        <f>LOG(1/H82)</f>
        <v>6</v>
      </c>
      <c r="J82">
        <v>10</v>
      </c>
      <c r="K82">
        <f>AVERAGE(F82,G82)</f>
        <v>3</v>
      </c>
      <c r="L82">
        <f>K82/(H82*(J82/1000))</f>
        <v>300000000</v>
      </c>
    </row>
    <row r="83" spans="1:12">
      <c r="A83" t="s">
        <v>17</v>
      </c>
      <c r="B83" t="s">
        <v>18</v>
      </c>
      <c r="C83" s="9">
        <f>C59+1</f>
        <v>4</v>
      </c>
      <c r="D83" s="9" t="s">
        <v>16</v>
      </c>
      <c r="E83" s="9">
        <v>6</v>
      </c>
      <c r="F83" s="9">
        <v>1</v>
      </c>
      <c r="G83" s="9">
        <v>2</v>
      </c>
      <c r="H83">
        <v>9.9999999999999995E-7</v>
      </c>
      <c r="I83">
        <f>LOG(1/H83)</f>
        <v>6</v>
      </c>
      <c r="J83">
        <v>10</v>
      </c>
      <c r="K83">
        <f>AVERAGE(F83,G83)</f>
        <v>1.5</v>
      </c>
      <c r="L83">
        <f>K83/(H83*(J83/1000))</f>
        <v>150000000</v>
      </c>
    </row>
    <row r="84" spans="1:12">
      <c r="A84" t="s">
        <v>17</v>
      </c>
      <c r="B84" t="s">
        <v>18</v>
      </c>
      <c r="C84" s="9">
        <f>C60+1</f>
        <v>4</v>
      </c>
      <c r="D84" s="9" t="s">
        <v>16</v>
      </c>
      <c r="E84" s="9">
        <v>7</v>
      </c>
      <c r="F84" s="10">
        <v>60</v>
      </c>
      <c r="G84" s="9">
        <v>34</v>
      </c>
      <c r="H84">
        <v>1.0000000000000001E-5</v>
      </c>
      <c r="I84">
        <f>LOG(1/H84)</f>
        <v>5</v>
      </c>
      <c r="J84">
        <v>10</v>
      </c>
      <c r="K84">
        <f>AVERAGE(F84,G84)</f>
        <v>47</v>
      </c>
      <c r="L84">
        <f>K84/(H84*(J84/1000))</f>
        <v>469999999.99999994</v>
      </c>
    </row>
    <row r="85" spans="1:12">
      <c r="A85" t="s">
        <v>17</v>
      </c>
      <c r="B85" t="s">
        <v>18</v>
      </c>
      <c r="C85" s="9">
        <f>C61+1</f>
        <v>4</v>
      </c>
      <c r="D85" s="9" t="s">
        <v>16</v>
      </c>
      <c r="E85" s="9">
        <v>8</v>
      </c>
      <c r="F85" s="9">
        <v>4</v>
      </c>
      <c r="G85" s="9">
        <v>1</v>
      </c>
      <c r="H85">
        <v>9.9999999999999995E-7</v>
      </c>
      <c r="I85">
        <f>LOG(1/H85)</f>
        <v>6</v>
      </c>
      <c r="J85">
        <v>10</v>
      </c>
      <c r="K85">
        <f>AVERAGE(F85,G85)</f>
        <v>2.5</v>
      </c>
      <c r="L85">
        <f>K85/(H85*(J85/1000))</f>
        <v>250000000</v>
      </c>
    </row>
    <row r="86" spans="1:12">
      <c r="A86" t="s">
        <v>17</v>
      </c>
      <c r="B86" t="s">
        <v>18</v>
      </c>
      <c r="C86" s="9">
        <f>C62+1</f>
        <v>4</v>
      </c>
      <c r="D86" s="9" t="s">
        <v>16</v>
      </c>
      <c r="E86" s="9">
        <v>9</v>
      </c>
      <c r="F86" s="9">
        <v>5</v>
      </c>
      <c r="G86" s="9">
        <v>9</v>
      </c>
      <c r="H86">
        <v>9.9999999999999995E-7</v>
      </c>
      <c r="I86">
        <f>LOG(1/H86)</f>
        <v>6</v>
      </c>
      <c r="J86">
        <v>10</v>
      </c>
      <c r="K86">
        <f>AVERAGE(F86,G86)</f>
        <v>7</v>
      </c>
      <c r="L86">
        <f>K86/(H86*(J86/1000))</f>
        <v>700000000</v>
      </c>
    </row>
    <row r="87" spans="1:12">
      <c r="A87" t="s">
        <v>17</v>
      </c>
      <c r="B87" t="s">
        <v>18</v>
      </c>
      <c r="C87" s="9">
        <f>C63+1</f>
        <v>4</v>
      </c>
      <c r="D87" s="9" t="s">
        <v>16</v>
      </c>
      <c r="E87" s="9">
        <v>10</v>
      </c>
      <c r="F87" s="9">
        <v>2</v>
      </c>
      <c r="G87" s="9">
        <v>2</v>
      </c>
      <c r="H87">
        <v>9.9999999999999995E-7</v>
      </c>
      <c r="I87">
        <f>LOG(1/H87)</f>
        <v>6</v>
      </c>
      <c r="J87">
        <v>10</v>
      </c>
      <c r="K87">
        <f>AVERAGE(F87,G87)</f>
        <v>2</v>
      </c>
      <c r="L87">
        <f>K87/(H87*(J87/1000))</f>
        <v>200000000</v>
      </c>
    </row>
    <row r="88" spans="1:12">
      <c r="A88" t="s">
        <v>17</v>
      </c>
      <c r="B88" t="s">
        <v>18</v>
      </c>
      <c r="C88" s="9">
        <f>C64+1</f>
        <v>4.5</v>
      </c>
      <c r="D88" s="9" t="s">
        <v>16</v>
      </c>
      <c r="E88" s="9">
        <v>1</v>
      </c>
      <c r="F88" s="9">
        <v>4</v>
      </c>
      <c r="G88" s="9">
        <v>2</v>
      </c>
      <c r="H88">
        <v>1E-3</v>
      </c>
      <c r="I88">
        <f>LOG(1/H88)</f>
        <v>3</v>
      </c>
      <c r="J88">
        <v>10</v>
      </c>
      <c r="K88">
        <f>AVERAGE(F88,G88)</f>
        <v>3</v>
      </c>
      <c r="L88">
        <f>K88/(H88*(J88/1000))</f>
        <v>300000</v>
      </c>
    </row>
    <row r="89" spans="1:12">
      <c r="A89" t="s">
        <v>17</v>
      </c>
      <c r="B89" t="s">
        <v>18</v>
      </c>
      <c r="C89" s="9">
        <f>C65+1</f>
        <v>4.5</v>
      </c>
      <c r="D89" s="9" t="s">
        <v>16</v>
      </c>
      <c r="E89" s="9">
        <v>2</v>
      </c>
      <c r="F89" s="9">
        <v>6</v>
      </c>
      <c r="G89" s="9">
        <v>4</v>
      </c>
      <c r="H89">
        <v>1E-4</v>
      </c>
      <c r="I89">
        <f>LOG(1/H89)</f>
        <v>4</v>
      </c>
      <c r="J89">
        <v>10</v>
      </c>
      <c r="K89">
        <f>AVERAGE(F89,G89)</f>
        <v>5</v>
      </c>
      <c r="L89">
        <f>K89/(H89*(J89/1000))</f>
        <v>4999999.9999999991</v>
      </c>
    </row>
    <row r="90" spans="1:12">
      <c r="A90" t="s">
        <v>17</v>
      </c>
      <c r="B90" t="s">
        <v>18</v>
      </c>
      <c r="C90" s="9">
        <f>C66+1</f>
        <v>4.5</v>
      </c>
      <c r="D90" s="9" t="s">
        <v>16</v>
      </c>
      <c r="E90" s="9">
        <v>3</v>
      </c>
      <c r="F90" s="9">
        <v>14</v>
      </c>
      <c r="G90" s="9">
        <v>16</v>
      </c>
      <c r="H90">
        <v>1E-3</v>
      </c>
      <c r="I90">
        <f>LOG(1/H90)</f>
        <v>3</v>
      </c>
      <c r="J90">
        <v>10</v>
      </c>
      <c r="K90">
        <f>AVERAGE(F90,G90)</f>
        <v>15</v>
      </c>
      <c r="L90">
        <f>K90/(H90*(J90/1000))</f>
        <v>1499999.9999999998</v>
      </c>
    </row>
    <row r="91" spans="1:12">
      <c r="A91" t="s">
        <v>17</v>
      </c>
      <c r="B91" t="s">
        <v>18</v>
      </c>
      <c r="C91" s="9">
        <f>C67+1</f>
        <v>4.5</v>
      </c>
      <c r="D91" s="9" t="s">
        <v>16</v>
      </c>
      <c r="E91" s="9">
        <v>4</v>
      </c>
      <c r="F91" s="9">
        <v>22</v>
      </c>
      <c r="G91" s="9">
        <v>20</v>
      </c>
      <c r="H91">
        <v>1E-3</v>
      </c>
      <c r="I91">
        <f>LOG(1/H91)</f>
        <v>3</v>
      </c>
      <c r="J91">
        <v>10</v>
      </c>
      <c r="K91">
        <f>AVERAGE(F91,G91)</f>
        <v>21</v>
      </c>
      <c r="L91">
        <f>K91/(H91*(J91/1000))</f>
        <v>2100000</v>
      </c>
    </row>
    <row r="92" spans="1:12">
      <c r="A92" t="s">
        <v>17</v>
      </c>
      <c r="B92" t="s">
        <v>18</v>
      </c>
      <c r="C92" s="9">
        <f>C68+1</f>
        <v>4.5</v>
      </c>
      <c r="D92" s="9" t="s">
        <v>16</v>
      </c>
      <c r="E92" s="9">
        <v>5</v>
      </c>
      <c r="F92" s="9">
        <v>17</v>
      </c>
      <c r="G92" s="9">
        <v>18</v>
      </c>
      <c r="H92">
        <v>0.01</v>
      </c>
      <c r="I92">
        <f>LOG(1/H92)</f>
        <v>2</v>
      </c>
      <c r="J92">
        <v>10</v>
      </c>
      <c r="K92">
        <f>AVERAGE(F92,G92)</f>
        <v>17.5</v>
      </c>
      <c r="L92">
        <f>K92/(H92*(J92/1000))</f>
        <v>175000</v>
      </c>
    </row>
    <row r="93" spans="1:12">
      <c r="A93" t="s">
        <v>17</v>
      </c>
      <c r="B93" t="s">
        <v>18</v>
      </c>
      <c r="C93" s="9">
        <f>C69+1</f>
        <v>4.5</v>
      </c>
      <c r="D93" s="9" t="s">
        <v>16</v>
      </c>
      <c r="E93" s="9">
        <v>6</v>
      </c>
      <c r="F93" s="9">
        <v>7</v>
      </c>
      <c r="G93" s="9">
        <v>10</v>
      </c>
      <c r="H93">
        <v>1E-4</v>
      </c>
      <c r="I93">
        <f>LOG(1/H93)</f>
        <v>4</v>
      </c>
      <c r="J93">
        <v>10</v>
      </c>
      <c r="K93">
        <f>AVERAGE(F93,G93)</f>
        <v>8.5</v>
      </c>
      <c r="L93">
        <f>K93/(H93*(J93/1000))</f>
        <v>8499999.9999999981</v>
      </c>
    </row>
    <row r="94" spans="1:12">
      <c r="A94" t="s">
        <v>17</v>
      </c>
      <c r="B94" t="s">
        <v>18</v>
      </c>
      <c r="C94" s="9">
        <f>C70+1</f>
        <v>4.5</v>
      </c>
      <c r="D94" s="9" t="s">
        <v>16</v>
      </c>
      <c r="E94" s="9">
        <v>7</v>
      </c>
      <c r="F94" s="9">
        <v>8</v>
      </c>
      <c r="G94" s="9">
        <v>9</v>
      </c>
      <c r="H94">
        <v>1E-3</v>
      </c>
      <c r="I94">
        <f>LOG(1/H94)</f>
        <v>3</v>
      </c>
      <c r="J94">
        <v>10</v>
      </c>
      <c r="K94">
        <f>AVERAGE(F94,G94)</f>
        <v>8.5</v>
      </c>
      <c r="L94">
        <f>K94/(H94*(J94/1000))</f>
        <v>849999.99999999988</v>
      </c>
    </row>
    <row r="95" spans="1:12">
      <c r="A95" t="s">
        <v>17</v>
      </c>
      <c r="B95" t="s">
        <v>18</v>
      </c>
      <c r="C95" s="9">
        <f>C71+1</f>
        <v>4.5</v>
      </c>
      <c r="D95" s="9" t="s">
        <v>16</v>
      </c>
      <c r="E95" s="9">
        <v>8</v>
      </c>
      <c r="F95" s="9">
        <v>10</v>
      </c>
      <c r="G95" s="9">
        <v>13</v>
      </c>
      <c r="H95">
        <v>1E-3</v>
      </c>
      <c r="I95">
        <f>LOG(1/H95)</f>
        <v>3</v>
      </c>
      <c r="J95">
        <v>10</v>
      </c>
      <c r="K95">
        <f>AVERAGE(F95,G95)</f>
        <v>11.5</v>
      </c>
      <c r="L95">
        <f>K95/(H95*(J95/1000))</f>
        <v>1150000</v>
      </c>
    </row>
    <row r="96" spans="1:12">
      <c r="A96" t="s">
        <v>17</v>
      </c>
      <c r="B96" t="s">
        <v>18</v>
      </c>
      <c r="C96" s="9">
        <f>C72+1</f>
        <v>4.5</v>
      </c>
      <c r="D96" s="9" t="s">
        <v>16</v>
      </c>
      <c r="E96" s="9">
        <v>9</v>
      </c>
      <c r="F96" s="9">
        <v>8</v>
      </c>
      <c r="G96" s="9">
        <v>11</v>
      </c>
      <c r="H96">
        <v>1E-3</v>
      </c>
      <c r="I96">
        <f>LOG(1/H96)</f>
        <v>3</v>
      </c>
      <c r="J96">
        <v>10</v>
      </c>
      <c r="K96">
        <f>AVERAGE(F96,G96)</f>
        <v>9.5</v>
      </c>
      <c r="L96">
        <f>K96/(H96*(J96/1000))</f>
        <v>949999.99999999988</v>
      </c>
    </row>
    <row r="97" spans="1:12">
      <c r="A97" t="s">
        <v>17</v>
      </c>
      <c r="B97" t="s">
        <v>18</v>
      </c>
      <c r="C97" s="9">
        <f>C73+1</f>
        <v>4.5</v>
      </c>
      <c r="D97" s="9" t="s">
        <v>16</v>
      </c>
      <c r="E97" s="9">
        <v>10</v>
      </c>
      <c r="F97" s="9">
        <v>13</v>
      </c>
      <c r="G97" s="9">
        <v>17</v>
      </c>
      <c r="H97">
        <v>1E-3</v>
      </c>
      <c r="I97">
        <f>LOG(1/H97)</f>
        <v>3</v>
      </c>
      <c r="J97">
        <v>10</v>
      </c>
      <c r="K97">
        <f>AVERAGE(F97,G97)</f>
        <v>15</v>
      </c>
      <c r="L97">
        <f>K97/(H97*(J97/1000))</f>
        <v>1499999.9999999998</v>
      </c>
    </row>
    <row r="98" spans="1:12">
      <c r="A98" t="s">
        <v>17</v>
      </c>
      <c r="B98" t="s">
        <v>18</v>
      </c>
      <c r="C98" s="9">
        <f>C74+1</f>
        <v>5</v>
      </c>
      <c r="D98" s="9" t="s">
        <v>16</v>
      </c>
      <c r="E98" s="9" t="s">
        <v>19</v>
      </c>
      <c r="F98" s="9">
        <v>22</v>
      </c>
      <c r="G98" s="9">
        <v>20</v>
      </c>
      <c r="H98">
        <v>1.0000000000000001E-5</v>
      </c>
      <c r="I98">
        <f>LOG(1/H98)</f>
        <v>5</v>
      </c>
      <c r="J98">
        <v>10</v>
      </c>
      <c r="K98">
        <f>AVERAGE(F98,G98)</f>
        <v>21</v>
      </c>
      <c r="L98">
        <f>K98/(H98*(J98/1000))</f>
        <v>209999999.99999997</v>
      </c>
    </row>
    <row r="99" spans="1:12">
      <c r="A99" t="s">
        <v>17</v>
      </c>
      <c r="B99" t="s">
        <v>18</v>
      </c>
      <c r="C99" s="9">
        <f>C75+1</f>
        <v>5</v>
      </c>
      <c r="D99" s="9" t="s">
        <v>16</v>
      </c>
      <c r="E99" s="9" t="s">
        <v>20</v>
      </c>
      <c r="F99" s="9">
        <v>19</v>
      </c>
      <c r="G99" s="9">
        <v>12</v>
      </c>
      <c r="H99">
        <v>1.0000000000000001E-5</v>
      </c>
      <c r="I99">
        <f>LOG(1/H99)</f>
        <v>5</v>
      </c>
      <c r="J99">
        <v>10</v>
      </c>
      <c r="K99">
        <f>AVERAGE(F99,G99)</f>
        <v>15.5</v>
      </c>
      <c r="L99">
        <f>K99/(H99*(J99/1000))</f>
        <v>155000000</v>
      </c>
    </row>
    <row r="100" spans="1:12">
      <c r="A100" t="s">
        <v>17</v>
      </c>
      <c r="B100" t="s">
        <v>18</v>
      </c>
      <c r="C100" s="9">
        <f>C76+1</f>
        <v>5</v>
      </c>
      <c r="D100" s="9" t="s">
        <v>16</v>
      </c>
      <c r="E100" s="9" t="s">
        <v>21</v>
      </c>
      <c r="F100" s="9">
        <v>23</v>
      </c>
      <c r="G100" s="9">
        <v>19</v>
      </c>
      <c r="H100">
        <v>1.0000000000000001E-5</v>
      </c>
      <c r="I100">
        <f>LOG(1/H100)</f>
        <v>5</v>
      </c>
      <c r="J100">
        <v>10</v>
      </c>
      <c r="K100">
        <f>AVERAGE(F100,G100)</f>
        <v>21</v>
      </c>
      <c r="L100">
        <f>K100/(H100*(J100/1000))</f>
        <v>209999999.99999997</v>
      </c>
    </row>
    <row r="101" spans="1:12">
      <c r="A101" t="s">
        <v>17</v>
      </c>
      <c r="B101" t="s">
        <v>18</v>
      </c>
      <c r="C101" s="9">
        <f>C77+1</f>
        <v>5</v>
      </c>
      <c r="D101" s="9" t="s">
        <v>16</v>
      </c>
      <c r="E101" s="9" t="s">
        <v>22</v>
      </c>
      <c r="F101" s="9">
        <v>11</v>
      </c>
      <c r="G101" s="9">
        <v>20</v>
      </c>
      <c r="H101">
        <v>1.0000000000000001E-5</v>
      </c>
      <c r="I101">
        <f>LOG(1/H101)</f>
        <v>5</v>
      </c>
      <c r="J101">
        <v>10</v>
      </c>
      <c r="K101">
        <f>AVERAGE(F101,G101)</f>
        <v>15.5</v>
      </c>
      <c r="L101">
        <f>K101/(H101*(J101/1000))</f>
        <v>155000000</v>
      </c>
    </row>
    <row r="102" spans="1:12">
      <c r="A102" t="s">
        <v>17</v>
      </c>
      <c r="B102" t="s">
        <v>18</v>
      </c>
      <c r="C102" s="9">
        <f>C78+1</f>
        <v>5</v>
      </c>
      <c r="D102" s="9" t="s">
        <v>16</v>
      </c>
      <c r="E102" s="9">
        <v>1</v>
      </c>
      <c r="F102" s="9">
        <v>3</v>
      </c>
      <c r="G102" s="9">
        <v>4</v>
      </c>
      <c r="H102">
        <v>9.9999999999999995E-7</v>
      </c>
      <c r="I102">
        <f>LOG(1/H102)</f>
        <v>6</v>
      </c>
      <c r="J102">
        <v>10</v>
      </c>
      <c r="K102">
        <f>AVERAGE(F102,G102)</f>
        <v>3.5</v>
      </c>
      <c r="L102">
        <f>K102/(H102*(J102/1000))</f>
        <v>350000000</v>
      </c>
    </row>
    <row r="103" spans="1:12">
      <c r="A103" t="s">
        <v>17</v>
      </c>
      <c r="B103" t="s">
        <v>18</v>
      </c>
      <c r="C103" s="9">
        <f>C79+1</f>
        <v>5</v>
      </c>
      <c r="D103" s="9" t="s">
        <v>16</v>
      </c>
      <c r="E103" s="9">
        <v>2</v>
      </c>
      <c r="F103" s="9">
        <v>13</v>
      </c>
      <c r="G103" s="9">
        <v>4</v>
      </c>
      <c r="H103">
        <v>9.9999999999999995E-7</v>
      </c>
      <c r="I103">
        <f>LOG(1/H103)</f>
        <v>6</v>
      </c>
      <c r="J103">
        <v>10</v>
      </c>
      <c r="K103">
        <f>AVERAGE(F103,G103)</f>
        <v>8.5</v>
      </c>
      <c r="L103">
        <f>K103/(H103*(J103/1000))</f>
        <v>850000000</v>
      </c>
    </row>
    <row r="104" spans="1:12">
      <c r="A104" t="s">
        <v>17</v>
      </c>
      <c r="B104" t="s">
        <v>18</v>
      </c>
      <c r="C104" s="9">
        <f>C80+1</f>
        <v>5</v>
      </c>
      <c r="D104" s="9" t="s">
        <v>16</v>
      </c>
      <c r="E104" s="9">
        <v>3</v>
      </c>
      <c r="F104" s="9">
        <v>30</v>
      </c>
      <c r="G104" s="9">
        <v>25</v>
      </c>
      <c r="H104">
        <v>1.0000000000000001E-5</v>
      </c>
      <c r="I104">
        <f>LOG(1/H104)</f>
        <v>5</v>
      </c>
      <c r="J104">
        <v>10</v>
      </c>
      <c r="K104">
        <f>AVERAGE(F104,G104)</f>
        <v>27.5</v>
      </c>
      <c r="L104">
        <f>K104/(H104*(J104/1000))</f>
        <v>275000000</v>
      </c>
    </row>
    <row r="105" spans="1:12">
      <c r="A105" t="s">
        <v>17</v>
      </c>
      <c r="B105" t="s">
        <v>18</v>
      </c>
      <c r="C105" s="9">
        <f>C81+1</f>
        <v>5</v>
      </c>
      <c r="D105" s="9" t="s">
        <v>16</v>
      </c>
      <c r="E105" s="9">
        <v>4</v>
      </c>
      <c r="F105" s="9">
        <v>25</v>
      </c>
      <c r="G105" s="9">
        <v>29</v>
      </c>
      <c r="H105">
        <v>1.0000000000000001E-5</v>
      </c>
      <c r="I105">
        <f>LOG(1/H105)</f>
        <v>5</v>
      </c>
      <c r="J105">
        <v>10</v>
      </c>
      <c r="K105">
        <f>AVERAGE(F105,G105)</f>
        <v>27</v>
      </c>
      <c r="L105">
        <f>K105/(H105*(J105/1000))</f>
        <v>270000000</v>
      </c>
    </row>
    <row r="106" spans="1:12">
      <c r="A106" t="s">
        <v>17</v>
      </c>
      <c r="B106" t="s">
        <v>18</v>
      </c>
      <c r="C106" s="9">
        <f>C82+1</f>
        <v>5</v>
      </c>
      <c r="D106" s="9" t="s">
        <v>16</v>
      </c>
      <c r="E106" s="9">
        <v>5</v>
      </c>
      <c r="F106" s="9">
        <v>21</v>
      </c>
      <c r="G106" s="9">
        <v>22</v>
      </c>
      <c r="H106">
        <v>1.0000000000000001E-5</v>
      </c>
      <c r="I106">
        <f>LOG(1/H106)</f>
        <v>5</v>
      </c>
      <c r="J106">
        <v>10</v>
      </c>
      <c r="K106">
        <f>AVERAGE(F106,G106)</f>
        <v>21.5</v>
      </c>
      <c r="L106">
        <f>K106/(H106*(J106/1000))</f>
        <v>214999999.99999997</v>
      </c>
    </row>
    <row r="107" spans="1:12">
      <c r="A107" t="s">
        <v>17</v>
      </c>
      <c r="B107" t="s">
        <v>18</v>
      </c>
      <c r="C107" s="9">
        <f>C83+1</f>
        <v>5</v>
      </c>
      <c r="D107" s="9" t="s">
        <v>16</v>
      </c>
      <c r="E107" s="9">
        <v>6</v>
      </c>
      <c r="F107" s="9">
        <v>15</v>
      </c>
      <c r="G107" s="9">
        <v>20</v>
      </c>
      <c r="H107">
        <v>1.0000000000000001E-5</v>
      </c>
      <c r="I107">
        <f>LOG(1/H107)</f>
        <v>5</v>
      </c>
      <c r="J107">
        <v>10</v>
      </c>
      <c r="K107">
        <f>AVERAGE(F107,G107)</f>
        <v>17.5</v>
      </c>
      <c r="L107">
        <f>K107/(H107*(J107/1000))</f>
        <v>174999999.99999997</v>
      </c>
    </row>
    <row r="108" spans="1:12">
      <c r="A108" t="s">
        <v>17</v>
      </c>
      <c r="B108" t="s">
        <v>18</v>
      </c>
      <c r="C108" s="9">
        <f>C84+1</f>
        <v>5</v>
      </c>
      <c r="D108" s="9" t="s">
        <v>16</v>
      </c>
      <c r="E108" s="9">
        <v>7</v>
      </c>
      <c r="F108" s="9">
        <v>10</v>
      </c>
      <c r="G108" s="9">
        <v>15</v>
      </c>
      <c r="H108">
        <v>1.0000000000000001E-5</v>
      </c>
      <c r="I108">
        <f>LOG(1/H108)</f>
        <v>5</v>
      </c>
      <c r="J108">
        <v>10</v>
      </c>
      <c r="K108">
        <f>AVERAGE(F108,G108)</f>
        <v>12.5</v>
      </c>
      <c r="L108">
        <f>K108/(H108*(J108/1000))</f>
        <v>124999999.99999999</v>
      </c>
    </row>
    <row r="109" spans="1:12">
      <c r="A109" t="s">
        <v>17</v>
      </c>
      <c r="B109" t="s">
        <v>18</v>
      </c>
      <c r="C109" s="9">
        <f>C85+1</f>
        <v>5</v>
      </c>
      <c r="D109" s="9" t="s">
        <v>16</v>
      </c>
      <c r="E109" s="9">
        <v>8</v>
      </c>
      <c r="F109" s="9">
        <v>22</v>
      </c>
      <c r="G109" s="9">
        <v>19</v>
      </c>
      <c r="H109">
        <v>1.0000000000000001E-5</v>
      </c>
      <c r="I109">
        <f>LOG(1/H109)</f>
        <v>5</v>
      </c>
      <c r="J109">
        <v>10</v>
      </c>
      <c r="K109">
        <f>AVERAGE(F109,G109)</f>
        <v>20.5</v>
      </c>
      <c r="L109">
        <f>K109/(H109*(J109/1000))</f>
        <v>204999999.99999997</v>
      </c>
    </row>
    <row r="110" spans="1:12">
      <c r="A110" t="s">
        <v>17</v>
      </c>
      <c r="B110" t="s">
        <v>18</v>
      </c>
      <c r="C110" s="9">
        <f>C86+1</f>
        <v>5</v>
      </c>
      <c r="D110" s="9" t="s">
        <v>16</v>
      </c>
      <c r="E110" s="9">
        <v>9</v>
      </c>
      <c r="F110" s="9">
        <v>14</v>
      </c>
      <c r="G110" s="9">
        <v>15</v>
      </c>
      <c r="H110">
        <v>1.0000000000000001E-5</v>
      </c>
      <c r="I110">
        <f>LOG(1/H110)</f>
        <v>5</v>
      </c>
      <c r="J110">
        <v>10</v>
      </c>
      <c r="K110">
        <f>AVERAGE(F110,G110)</f>
        <v>14.5</v>
      </c>
      <c r="L110">
        <f>K110/(H110*(J110/1000))</f>
        <v>145000000</v>
      </c>
    </row>
    <row r="111" spans="1:12">
      <c r="A111" t="s">
        <v>17</v>
      </c>
      <c r="B111" t="s">
        <v>18</v>
      </c>
      <c r="C111" s="9">
        <f>C87+1</f>
        <v>5</v>
      </c>
      <c r="D111" s="9" t="s">
        <v>16</v>
      </c>
      <c r="E111" s="9">
        <v>10</v>
      </c>
      <c r="F111" s="9">
        <v>18</v>
      </c>
      <c r="G111" s="9">
        <v>16</v>
      </c>
      <c r="H111">
        <v>1.0000000000000001E-5</v>
      </c>
      <c r="I111">
        <f>LOG(1/H111)</f>
        <v>5</v>
      </c>
      <c r="J111">
        <v>10</v>
      </c>
      <c r="K111">
        <f>AVERAGE(F111,G111)</f>
        <v>17</v>
      </c>
      <c r="L111">
        <f>K111/(H111*(J111/1000))</f>
        <v>170000000</v>
      </c>
    </row>
    <row r="112" spans="1:12">
      <c r="A112" t="s">
        <v>17</v>
      </c>
      <c r="B112" t="s">
        <v>18</v>
      </c>
      <c r="C112" s="9">
        <f>C88+1</f>
        <v>5.5</v>
      </c>
      <c r="D112" s="9" t="s">
        <v>16</v>
      </c>
      <c r="E112" s="9">
        <v>1</v>
      </c>
      <c r="F112" s="9">
        <v>11</v>
      </c>
      <c r="G112" s="9">
        <v>7</v>
      </c>
      <c r="H112">
        <v>1E-4</v>
      </c>
      <c r="I112">
        <f>LOG(1/H112)</f>
        <v>4</v>
      </c>
      <c r="J112">
        <v>10</v>
      </c>
      <c r="K112">
        <f>AVERAGE(F112,G112)</f>
        <v>9</v>
      </c>
      <c r="L112">
        <f>K112/(H112*(J112/1000))</f>
        <v>8999999.9999999981</v>
      </c>
    </row>
    <row r="113" spans="1:12">
      <c r="A113" t="s">
        <v>17</v>
      </c>
      <c r="B113" t="s">
        <v>18</v>
      </c>
      <c r="C113" s="9">
        <f>C89+1</f>
        <v>5.5</v>
      </c>
      <c r="D113" s="9" t="s">
        <v>16</v>
      </c>
      <c r="E113" s="9">
        <v>2</v>
      </c>
      <c r="F113" s="9">
        <v>3</v>
      </c>
      <c r="G113" s="9">
        <v>2</v>
      </c>
      <c r="H113">
        <v>1E-4</v>
      </c>
      <c r="I113">
        <f>LOG(1/H113)</f>
        <v>4</v>
      </c>
      <c r="J113">
        <v>10</v>
      </c>
      <c r="K113">
        <f>AVERAGE(F113,G113)</f>
        <v>2.5</v>
      </c>
      <c r="L113">
        <f>K113/(H113*(J113/1000))</f>
        <v>2499999.9999999995</v>
      </c>
    </row>
    <row r="114" spans="1:12">
      <c r="A114" t="s">
        <v>17</v>
      </c>
      <c r="B114" t="s">
        <v>18</v>
      </c>
      <c r="C114" s="9">
        <f>C90+1</f>
        <v>5.5</v>
      </c>
      <c r="D114" s="9" t="s">
        <v>16</v>
      </c>
      <c r="E114" s="9">
        <v>3</v>
      </c>
      <c r="F114" s="9">
        <v>16</v>
      </c>
      <c r="G114" s="9">
        <v>13</v>
      </c>
      <c r="H114">
        <v>1E-4</v>
      </c>
      <c r="I114">
        <f>LOG(1/H114)</f>
        <v>4</v>
      </c>
      <c r="J114">
        <v>10</v>
      </c>
      <c r="K114">
        <f>AVERAGE(F114,G114)</f>
        <v>14.5</v>
      </c>
      <c r="L114">
        <f>K114/(H114*(J114/1000))</f>
        <v>14499999.999999998</v>
      </c>
    </row>
    <row r="115" spans="1:12">
      <c r="A115" t="s">
        <v>17</v>
      </c>
      <c r="B115" t="s">
        <v>18</v>
      </c>
      <c r="C115" s="9">
        <f>C91+1</f>
        <v>5.5</v>
      </c>
      <c r="D115" s="9" t="s">
        <v>16</v>
      </c>
      <c r="E115" s="9">
        <v>4</v>
      </c>
      <c r="F115" s="9">
        <v>22</v>
      </c>
      <c r="G115" s="9">
        <v>23</v>
      </c>
      <c r="H115">
        <v>1E-4</v>
      </c>
      <c r="I115">
        <f>LOG(1/H115)</f>
        <v>4</v>
      </c>
      <c r="J115">
        <v>10</v>
      </c>
      <c r="K115">
        <f>AVERAGE(F115,G115)</f>
        <v>22.5</v>
      </c>
      <c r="L115">
        <f>K115/(H115*(J115/1000))</f>
        <v>22499999.999999996</v>
      </c>
    </row>
    <row r="116" spans="1:12">
      <c r="A116" t="s">
        <v>17</v>
      </c>
      <c r="B116" t="s">
        <v>18</v>
      </c>
      <c r="C116" s="9">
        <f>C92+1</f>
        <v>5.5</v>
      </c>
      <c r="D116" s="9" t="s">
        <v>16</v>
      </c>
      <c r="E116" s="9">
        <v>5</v>
      </c>
      <c r="F116" s="9">
        <v>4</v>
      </c>
      <c r="G116" s="9">
        <v>5</v>
      </c>
      <c r="H116">
        <v>1E-4</v>
      </c>
      <c r="I116">
        <f>LOG(1/H116)</f>
        <v>4</v>
      </c>
      <c r="J116">
        <v>10</v>
      </c>
      <c r="K116">
        <f>AVERAGE(F116,G116)</f>
        <v>4.5</v>
      </c>
      <c r="L116">
        <f>K116/(H116*(J116/1000))</f>
        <v>4499999.9999999991</v>
      </c>
    </row>
    <row r="117" spans="1:12">
      <c r="A117" t="s">
        <v>17</v>
      </c>
      <c r="B117" t="s">
        <v>18</v>
      </c>
      <c r="C117" s="9">
        <f>C93+1</f>
        <v>5.5</v>
      </c>
      <c r="D117" s="9" t="s">
        <v>16</v>
      </c>
      <c r="E117" s="9">
        <v>6</v>
      </c>
      <c r="F117" s="9">
        <v>19</v>
      </c>
      <c r="G117" s="9">
        <v>24</v>
      </c>
      <c r="H117">
        <v>1E-4</v>
      </c>
      <c r="I117">
        <f>LOG(1/H117)</f>
        <v>4</v>
      </c>
      <c r="J117">
        <v>10</v>
      </c>
      <c r="K117">
        <f>AVERAGE(F117,G117)</f>
        <v>21.5</v>
      </c>
      <c r="L117">
        <f>K117/(H117*(J117/1000))</f>
        <v>21499999.999999996</v>
      </c>
    </row>
    <row r="118" spans="1:12">
      <c r="A118" t="s">
        <v>17</v>
      </c>
      <c r="B118" t="s">
        <v>18</v>
      </c>
      <c r="C118" s="9">
        <f>C94+1</f>
        <v>5.5</v>
      </c>
      <c r="D118" s="9" t="s">
        <v>16</v>
      </c>
      <c r="E118" s="9">
        <v>7</v>
      </c>
      <c r="F118" s="9">
        <v>4</v>
      </c>
      <c r="G118" s="9">
        <v>4</v>
      </c>
      <c r="H118">
        <v>1E-3</v>
      </c>
      <c r="I118">
        <f>LOG(1/H118)</f>
        <v>3</v>
      </c>
      <c r="J118">
        <v>10</v>
      </c>
      <c r="K118">
        <f>AVERAGE(F118,G118)</f>
        <v>4</v>
      </c>
      <c r="L118">
        <f>K118/(H118*(J118/1000))</f>
        <v>399999.99999999994</v>
      </c>
    </row>
    <row r="119" spans="1:12">
      <c r="A119" t="s">
        <v>17</v>
      </c>
      <c r="B119" t="s">
        <v>18</v>
      </c>
      <c r="C119" s="9">
        <f>C95+1</f>
        <v>5.5</v>
      </c>
      <c r="D119" s="9" t="s">
        <v>16</v>
      </c>
      <c r="E119" s="9">
        <v>8</v>
      </c>
      <c r="F119" s="9">
        <v>13</v>
      </c>
      <c r="G119" s="9">
        <v>15</v>
      </c>
      <c r="H119">
        <v>1E-3</v>
      </c>
      <c r="I119">
        <f>LOG(1/H119)</f>
        <v>3</v>
      </c>
      <c r="J119">
        <v>10</v>
      </c>
      <c r="K119">
        <f>AVERAGE(F119,G119)</f>
        <v>14</v>
      </c>
      <c r="L119">
        <f>K119/(H119*(J119/1000))</f>
        <v>1400000</v>
      </c>
    </row>
    <row r="120" spans="1:12">
      <c r="A120" t="s">
        <v>17</v>
      </c>
      <c r="B120" t="s">
        <v>18</v>
      </c>
      <c r="C120" s="9">
        <f>C96+1</f>
        <v>5.5</v>
      </c>
      <c r="D120" s="9" t="s">
        <v>16</v>
      </c>
      <c r="E120" s="9">
        <v>9</v>
      </c>
      <c r="F120" s="9">
        <v>12</v>
      </c>
      <c r="G120" s="9">
        <v>11</v>
      </c>
      <c r="H120">
        <v>1E-4</v>
      </c>
      <c r="I120">
        <f>LOG(1/H120)</f>
        <v>4</v>
      </c>
      <c r="J120">
        <v>10</v>
      </c>
      <c r="K120">
        <f>AVERAGE(F120,G120)</f>
        <v>11.5</v>
      </c>
      <c r="L120">
        <f>K120/(H120*(J120/1000))</f>
        <v>11499999.999999998</v>
      </c>
    </row>
    <row r="121" spans="1:12">
      <c r="A121" t="s">
        <v>17</v>
      </c>
      <c r="B121" t="s">
        <v>18</v>
      </c>
      <c r="C121" s="9">
        <f>C97+1</f>
        <v>5.5</v>
      </c>
      <c r="D121" s="9" t="s">
        <v>16</v>
      </c>
      <c r="E121" s="9">
        <v>10</v>
      </c>
      <c r="F121" s="9">
        <v>22</v>
      </c>
      <c r="G121" s="9">
        <v>23</v>
      </c>
      <c r="H121">
        <v>1E-4</v>
      </c>
      <c r="I121">
        <f>LOG(1/H121)</f>
        <v>4</v>
      </c>
      <c r="J121">
        <v>10</v>
      </c>
      <c r="K121">
        <f>AVERAGE(F121,G121)</f>
        <v>22.5</v>
      </c>
      <c r="L121">
        <f>K121/(H121*(J121/1000))</f>
        <v>22499999.999999996</v>
      </c>
    </row>
    <row r="122" spans="1:12">
      <c r="A122" t="s">
        <v>17</v>
      </c>
      <c r="B122" t="s">
        <v>18</v>
      </c>
      <c r="C122" s="9">
        <f>C98+1</f>
        <v>6</v>
      </c>
      <c r="D122" s="9" t="s">
        <v>16</v>
      </c>
      <c r="E122" s="9" t="s">
        <v>19</v>
      </c>
      <c r="F122" s="9">
        <v>15</v>
      </c>
      <c r="G122" s="9">
        <v>7</v>
      </c>
      <c r="H122">
        <v>9.9999999999999995E-7</v>
      </c>
      <c r="I122">
        <f>LOG(1/H122)</f>
        <v>6</v>
      </c>
      <c r="J122">
        <v>10</v>
      </c>
      <c r="K122">
        <f>AVERAGE(F122,G122)</f>
        <v>11</v>
      </c>
      <c r="L122">
        <f>K122/(H122*(J122/1000))</f>
        <v>1100000000</v>
      </c>
    </row>
    <row r="123" spans="1:12">
      <c r="A123" t="s">
        <v>17</v>
      </c>
      <c r="B123" t="s">
        <v>18</v>
      </c>
      <c r="C123" s="9">
        <f>C99+1</f>
        <v>6</v>
      </c>
      <c r="D123" s="9" t="s">
        <v>16</v>
      </c>
      <c r="E123" s="9" t="s">
        <v>20</v>
      </c>
      <c r="F123" s="9">
        <v>11</v>
      </c>
      <c r="G123" s="9">
        <v>13</v>
      </c>
      <c r="H123">
        <v>9.9999999999999995E-7</v>
      </c>
      <c r="I123">
        <f>LOG(1/H123)</f>
        <v>6</v>
      </c>
      <c r="J123">
        <v>10</v>
      </c>
      <c r="K123">
        <f>AVERAGE(F123,G123)</f>
        <v>12</v>
      </c>
      <c r="L123">
        <f>K123/(H123*(J123/1000))</f>
        <v>1200000000</v>
      </c>
    </row>
    <row r="124" spans="1:12">
      <c r="A124" t="s">
        <v>17</v>
      </c>
      <c r="B124" t="s">
        <v>18</v>
      </c>
      <c r="C124" s="9">
        <f>C100+1</f>
        <v>6</v>
      </c>
      <c r="D124" s="9" t="s">
        <v>16</v>
      </c>
      <c r="E124" s="9" t="s">
        <v>21</v>
      </c>
      <c r="F124" s="9">
        <v>11</v>
      </c>
      <c r="G124" s="9">
        <v>5</v>
      </c>
      <c r="H124">
        <v>9.9999999999999995E-7</v>
      </c>
      <c r="I124">
        <f>LOG(1/H124)</f>
        <v>6</v>
      </c>
      <c r="J124">
        <v>10</v>
      </c>
      <c r="K124">
        <f>AVERAGE(F124,G124)</f>
        <v>8</v>
      </c>
      <c r="L124">
        <f>K124/(H124*(J124/1000))</f>
        <v>800000000</v>
      </c>
    </row>
    <row r="125" spans="1:12">
      <c r="A125" t="s">
        <v>17</v>
      </c>
      <c r="B125" t="s">
        <v>18</v>
      </c>
      <c r="C125" s="9">
        <f>C101+1</f>
        <v>6</v>
      </c>
      <c r="D125" s="9" t="s">
        <v>16</v>
      </c>
      <c r="E125" s="9" t="s">
        <v>22</v>
      </c>
      <c r="F125" s="9">
        <v>8</v>
      </c>
      <c r="G125" s="9">
        <v>14</v>
      </c>
      <c r="H125">
        <v>9.9999999999999995E-7</v>
      </c>
      <c r="I125">
        <f>LOG(1/H125)</f>
        <v>6</v>
      </c>
      <c r="J125">
        <v>10</v>
      </c>
      <c r="K125">
        <f>AVERAGE(F125,G125)</f>
        <v>11</v>
      </c>
      <c r="L125">
        <f>K125/(H125*(J125/1000))</f>
        <v>1100000000</v>
      </c>
    </row>
    <row r="126" spans="1:12">
      <c r="A126" t="s">
        <v>17</v>
      </c>
      <c r="B126" t="s">
        <v>18</v>
      </c>
      <c r="C126" s="9">
        <f>C102+1</f>
        <v>6</v>
      </c>
      <c r="D126" s="9" t="s">
        <v>16</v>
      </c>
      <c r="E126" s="9">
        <v>1</v>
      </c>
      <c r="F126" s="9">
        <v>13</v>
      </c>
      <c r="G126" s="9">
        <v>3</v>
      </c>
      <c r="H126">
        <v>9.9999999999999995E-7</v>
      </c>
      <c r="I126">
        <f>LOG(1/H126)</f>
        <v>6</v>
      </c>
      <c r="J126">
        <v>10</v>
      </c>
      <c r="K126">
        <f>AVERAGE(F126,G126)</f>
        <v>8</v>
      </c>
      <c r="L126">
        <f>K126/(H126*(J126/1000))</f>
        <v>800000000</v>
      </c>
    </row>
    <row r="127" spans="1:12">
      <c r="A127" t="s">
        <v>17</v>
      </c>
      <c r="B127" t="s">
        <v>18</v>
      </c>
      <c r="C127" s="9">
        <f>C103+1</f>
        <v>6</v>
      </c>
      <c r="D127" s="9" t="s">
        <v>16</v>
      </c>
      <c r="E127" s="9">
        <v>2</v>
      </c>
      <c r="F127" s="9">
        <v>4</v>
      </c>
      <c r="G127" s="9">
        <v>3</v>
      </c>
      <c r="H127">
        <v>9.9999999999999995E-7</v>
      </c>
      <c r="I127">
        <f>LOG(1/H127)</f>
        <v>6</v>
      </c>
      <c r="J127">
        <v>10</v>
      </c>
      <c r="K127">
        <f>AVERAGE(F127,G127)</f>
        <v>3.5</v>
      </c>
      <c r="L127">
        <f>K127/(H127*(J127/1000))</f>
        <v>350000000</v>
      </c>
    </row>
    <row r="128" spans="1:12">
      <c r="A128" t="s">
        <v>17</v>
      </c>
      <c r="B128" t="s">
        <v>18</v>
      </c>
      <c r="C128" s="9">
        <f>C104+1</f>
        <v>6</v>
      </c>
      <c r="D128" s="9" t="s">
        <v>16</v>
      </c>
      <c r="E128" s="9">
        <v>3</v>
      </c>
      <c r="F128" s="9">
        <v>11</v>
      </c>
      <c r="G128" s="9">
        <v>10</v>
      </c>
      <c r="H128">
        <v>9.9999999999999995E-7</v>
      </c>
      <c r="I128">
        <f>LOG(1/H128)</f>
        <v>6</v>
      </c>
      <c r="J128">
        <v>10</v>
      </c>
      <c r="K128">
        <f>AVERAGE(F128,G128)</f>
        <v>10.5</v>
      </c>
      <c r="L128">
        <f>K128/(H128*(J128/1000))</f>
        <v>1050000000</v>
      </c>
    </row>
    <row r="129" spans="1:12">
      <c r="A129" t="s">
        <v>17</v>
      </c>
      <c r="B129" t="s">
        <v>18</v>
      </c>
      <c r="C129" s="9">
        <f>C105+1</f>
        <v>6</v>
      </c>
      <c r="D129" s="9" t="s">
        <v>16</v>
      </c>
      <c r="E129" s="9">
        <v>4</v>
      </c>
      <c r="F129" s="9">
        <v>14</v>
      </c>
      <c r="G129" s="9">
        <v>13</v>
      </c>
      <c r="H129">
        <v>9.9999999999999995E-7</v>
      </c>
      <c r="I129">
        <f>LOG(1/H129)</f>
        <v>6</v>
      </c>
      <c r="J129">
        <v>10</v>
      </c>
      <c r="K129">
        <f>AVERAGE(F129,G129)</f>
        <v>13.5</v>
      </c>
      <c r="L129">
        <f>K129/(H129*(J129/1000))</f>
        <v>1350000000</v>
      </c>
    </row>
    <row r="130" spans="1:12">
      <c r="A130" t="s">
        <v>17</v>
      </c>
      <c r="B130" t="s">
        <v>18</v>
      </c>
      <c r="C130" s="9">
        <f>C106+1</f>
        <v>6</v>
      </c>
      <c r="D130" s="9" t="s">
        <v>16</v>
      </c>
      <c r="E130" s="9">
        <v>5</v>
      </c>
      <c r="F130" s="9">
        <v>10</v>
      </c>
      <c r="G130" s="9">
        <v>7</v>
      </c>
      <c r="H130">
        <v>9.9999999999999995E-7</v>
      </c>
      <c r="I130">
        <f>LOG(1/H130)</f>
        <v>6</v>
      </c>
      <c r="J130">
        <v>10</v>
      </c>
      <c r="K130">
        <f>AVERAGE(F130,G130)</f>
        <v>8.5</v>
      </c>
      <c r="L130">
        <f>K130/(H130*(J130/1000))</f>
        <v>850000000</v>
      </c>
    </row>
    <row r="131" spans="1:12">
      <c r="A131" t="s">
        <v>17</v>
      </c>
      <c r="B131" t="s">
        <v>18</v>
      </c>
      <c r="C131" s="9">
        <f>C107+1</f>
        <v>6</v>
      </c>
      <c r="D131" s="9" t="s">
        <v>16</v>
      </c>
      <c r="E131" s="9">
        <v>6</v>
      </c>
      <c r="F131" s="9">
        <v>33</v>
      </c>
      <c r="G131" s="10">
        <v>40</v>
      </c>
      <c r="H131">
        <v>1.0000000000000001E-5</v>
      </c>
      <c r="I131">
        <f>LOG(1/H131)</f>
        <v>5</v>
      </c>
      <c r="J131">
        <v>10</v>
      </c>
      <c r="K131">
        <f>AVERAGE(F131,G131)</f>
        <v>36.5</v>
      </c>
      <c r="L131">
        <f>K131/(H131*(J131/1000))</f>
        <v>364999999.99999994</v>
      </c>
    </row>
    <row r="132" spans="1:12">
      <c r="A132" t="s">
        <v>17</v>
      </c>
      <c r="B132" t="s">
        <v>18</v>
      </c>
      <c r="C132" s="9">
        <f>C108+1</f>
        <v>6</v>
      </c>
      <c r="D132" s="9" t="s">
        <v>16</v>
      </c>
      <c r="E132" s="9">
        <v>7</v>
      </c>
      <c r="F132" s="9">
        <v>10</v>
      </c>
      <c r="G132" s="9">
        <v>12</v>
      </c>
      <c r="H132">
        <v>9.9999999999999995E-7</v>
      </c>
      <c r="I132">
        <f>LOG(1/H132)</f>
        <v>6</v>
      </c>
      <c r="J132">
        <v>10</v>
      </c>
      <c r="K132">
        <f>AVERAGE(F132,G132)</f>
        <v>11</v>
      </c>
      <c r="L132">
        <f>K132/(H132*(J132/1000))</f>
        <v>1100000000</v>
      </c>
    </row>
    <row r="133" spans="1:12">
      <c r="A133" t="s">
        <v>17</v>
      </c>
      <c r="B133" t="s">
        <v>18</v>
      </c>
      <c r="C133" s="9">
        <f>C109+1</f>
        <v>6</v>
      </c>
      <c r="D133" s="9" t="s">
        <v>16</v>
      </c>
      <c r="E133" s="9">
        <v>8</v>
      </c>
      <c r="F133" s="9">
        <v>9</v>
      </c>
      <c r="G133" s="9">
        <v>13</v>
      </c>
      <c r="H133">
        <v>9.9999999999999995E-7</v>
      </c>
      <c r="I133">
        <f>LOG(1/H133)</f>
        <v>6</v>
      </c>
      <c r="J133">
        <v>10</v>
      </c>
      <c r="K133">
        <f>AVERAGE(F133,G133)</f>
        <v>11</v>
      </c>
      <c r="L133">
        <f>K133/(H133*(J133/1000))</f>
        <v>1100000000</v>
      </c>
    </row>
    <row r="134" spans="1:12">
      <c r="A134" t="s">
        <v>17</v>
      </c>
      <c r="B134" t="s">
        <v>18</v>
      </c>
      <c r="C134" s="9">
        <f>C110+1</f>
        <v>6</v>
      </c>
      <c r="D134" s="9" t="s">
        <v>16</v>
      </c>
      <c r="E134" s="9">
        <v>9</v>
      </c>
      <c r="F134" s="9">
        <v>4</v>
      </c>
      <c r="G134" s="9">
        <v>7</v>
      </c>
      <c r="H134">
        <v>9.9999999999999995E-7</v>
      </c>
      <c r="I134">
        <f>LOG(1/H134)</f>
        <v>6</v>
      </c>
      <c r="J134">
        <v>10</v>
      </c>
      <c r="K134">
        <f>AVERAGE(F134,G134)</f>
        <v>5.5</v>
      </c>
      <c r="L134">
        <f>K134/(H134*(J134/1000))</f>
        <v>550000000</v>
      </c>
    </row>
    <row r="135" spans="1:12">
      <c r="A135" t="s">
        <v>17</v>
      </c>
      <c r="B135" t="s">
        <v>18</v>
      </c>
      <c r="C135" s="9">
        <f>C111+1</f>
        <v>6</v>
      </c>
      <c r="D135" s="9" t="s">
        <v>16</v>
      </c>
      <c r="E135" s="9">
        <v>10</v>
      </c>
      <c r="F135" s="9">
        <v>10</v>
      </c>
      <c r="G135" s="9">
        <v>5</v>
      </c>
      <c r="H135">
        <v>9.9999999999999995E-7</v>
      </c>
      <c r="I135">
        <f>LOG(1/H135)</f>
        <v>6</v>
      </c>
      <c r="J135">
        <v>10</v>
      </c>
      <c r="K135">
        <f>AVERAGE(F135,G135)</f>
        <v>7.5</v>
      </c>
      <c r="L135">
        <f>K135/(H135*(J135/1000))</f>
        <v>750000000</v>
      </c>
    </row>
    <row r="136" spans="1:12">
      <c r="A136" t="s">
        <v>17</v>
      </c>
      <c r="B136" t="s">
        <v>18</v>
      </c>
      <c r="C136" s="9">
        <f>C112+1</f>
        <v>6.5</v>
      </c>
      <c r="D136" s="9" t="s">
        <v>16</v>
      </c>
      <c r="E136" s="9">
        <v>1</v>
      </c>
      <c r="F136" s="9">
        <v>4</v>
      </c>
      <c r="G136" s="9">
        <v>5</v>
      </c>
      <c r="H136">
        <v>1.0000000000000001E-5</v>
      </c>
      <c r="I136">
        <f>LOG(1/H136)</f>
        <v>5</v>
      </c>
      <c r="J136">
        <v>10</v>
      </c>
      <c r="K136">
        <f>AVERAGE(F136,G136)</f>
        <v>4.5</v>
      </c>
      <c r="L136">
        <f>K136/(H136*(J136/1000))</f>
        <v>44999999.999999993</v>
      </c>
    </row>
    <row r="137" spans="1:12">
      <c r="A137" t="s">
        <v>17</v>
      </c>
      <c r="B137" t="s">
        <v>18</v>
      </c>
      <c r="C137" s="9">
        <f>C113+1</f>
        <v>6.5</v>
      </c>
      <c r="D137" s="9" t="s">
        <v>16</v>
      </c>
      <c r="E137" s="9">
        <v>2</v>
      </c>
      <c r="F137" s="9">
        <v>4</v>
      </c>
      <c r="G137" s="9">
        <v>1</v>
      </c>
      <c r="H137">
        <v>1.0000000000000001E-5</v>
      </c>
      <c r="I137">
        <f>LOG(1/H137)</f>
        <v>5</v>
      </c>
      <c r="J137">
        <v>10</v>
      </c>
      <c r="K137">
        <f>AVERAGE(F137,G137)</f>
        <v>2.5</v>
      </c>
      <c r="L137">
        <f>K137/(H137*(J137/1000))</f>
        <v>24999999.999999996</v>
      </c>
    </row>
    <row r="138" spans="1:12">
      <c r="A138" t="s">
        <v>17</v>
      </c>
      <c r="B138" t="s">
        <v>18</v>
      </c>
      <c r="C138" s="9">
        <f>C114+1</f>
        <v>6.5</v>
      </c>
      <c r="D138" s="9" t="s">
        <v>16</v>
      </c>
      <c r="E138" s="9">
        <v>3</v>
      </c>
      <c r="F138" s="9">
        <v>31</v>
      </c>
      <c r="G138" s="9">
        <v>30</v>
      </c>
      <c r="H138">
        <v>1E-4</v>
      </c>
      <c r="I138">
        <f>LOG(1/H138)</f>
        <v>4</v>
      </c>
      <c r="J138">
        <v>10</v>
      </c>
      <c r="K138">
        <f>AVERAGE(F138,G138)</f>
        <v>30.5</v>
      </c>
      <c r="L138">
        <f>K138/(H138*(J138/1000))</f>
        <v>30499999.999999996</v>
      </c>
    </row>
    <row r="139" spans="1:12">
      <c r="A139" t="s">
        <v>17</v>
      </c>
      <c r="B139" t="s">
        <v>18</v>
      </c>
      <c r="C139" s="9">
        <f>C115+1</f>
        <v>6.5</v>
      </c>
      <c r="D139" s="9" t="s">
        <v>16</v>
      </c>
      <c r="E139" s="9">
        <v>4</v>
      </c>
      <c r="F139" s="9">
        <v>12</v>
      </c>
      <c r="G139" s="9">
        <v>5</v>
      </c>
      <c r="H139">
        <v>1.0000000000000001E-5</v>
      </c>
      <c r="I139">
        <f>LOG(1/H139)</f>
        <v>5</v>
      </c>
      <c r="J139">
        <v>10</v>
      </c>
      <c r="K139">
        <f>AVERAGE(F139,G139)</f>
        <v>8.5</v>
      </c>
      <c r="L139">
        <f>K139/(H139*(J139/1000))</f>
        <v>85000000</v>
      </c>
    </row>
    <row r="140" spans="1:12">
      <c r="A140" t="s">
        <v>17</v>
      </c>
      <c r="B140" t="s">
        <v>18</v>
      </c>
      <c r="C140" s="9">
        <f>C116+1</f>
        <v>6.5</v>
      </c>
      <c r="D140" s="9" t="s">
        <v>16</v>
      </c>
      <c r="E140" s="9">
        <v>5</v>
      </c>
      <c r="F140" s="9">
        <v>11</v>
      </c>
      <c r="G140" s="9">
        <v>14</v>
      </c>
      <c r="H140">
        <v>1.0000000000000001E-5</v>
      </c>
      <c r="I140">
        <f>LOG(1/H140)</f>
        <v>5</v>
      </c>
      <c r="J140">
        <v>10</v>
      </c>
      <c r="K140">
        <f>AVERAGE(F140,G140)</f>
        <v>12.5</v>
      </c>
      <c r="L140">
        <f>K140/(H140*(J140/1000))</f>
        <v>124999999.99999999</v>
      </c>
    </row>
    <row r="141" spans="1:12">
      <c r="A141" t="s">
        <v>17</v>
      </c>
      <c r="B141" t="s">
        <v>18</v>
      </c>
      <c r="C141" s="9">
        <f>C117+1</f>
        <v>6.5</v>
      </c>
      <c r="D141" s="9" t="s">
        <v>16</v>
      </c>
      <c r="E141" s="9">
        <v>6</v>
      </c>
      <c r="F141" s="9">
        <v>32</v>
      </c>
      <c r="G141" s="9">
        <v>25</v>
      </c>
      <c r="H141">
        <v>1E-4</v>
      </c>
      <c r="I141">
        <f>LOG(1/H141)</f>
        <v>4</v>
      </c>
      <c r="J141">
        <v>10</v>
      </c>
      <c r="K141">
        <f>AVERAGE(F141,G141)</f>
        <v>28.5</v>
      </c>
      <c r="L141">
        <f>K141/(H141*(J141/1000))</f>
        <v>28499999.999999996</v>
      </c>
    </row>
    <row r="142" spans="1:12">
      <c r="A142" t="s">
        <v>17</v>
      </c>
      <c r="B142" t="s">
        <v>18</v>
      </c>
      <c r="C142" s="9">
        <f>C118+1</f>
        <v>6.5</v>
      </c>
      <c r="D142" s="9" t="s">
        <v>16</v>
      </c>
      <c r="E142" s="9">
        <v>7</v>
      </c>
      <c r="F142" s="9">
        <v>3</v>
      </c>
      <c r="G142" s="9">
        <v>3</v>
      </c>
      <c r="H142">
        <v>1.0000000000000001E-5</v>
      </c>
      <c r="I142">
        <f>LOG(1/H142)</f>
        <v>5</v>
      </c>
      <c r="J142">
        <v>10</v>
      </c>
      <c r="K142">
        <f>AVERAGE(F142,G142)</f>
        <v>3</v>
      </c>
      <c r="L142">
        <f>K142/(H142*(J142/1000))</f>
        <v>29999999.999999996</v>
      </c>
    </row>
    <row r="143" spans="1:12">
      <c r="A143" t="s">
        <v>17</v>
      </c>
      <c r="B143" t="s">
        <v>18</v>
      </c>
      <c r="C143" s="9">
        <f>C119+1</f>
        <v>6.5</v>
      </c>
      <c r="D143" s="9" t="s">
        <v>16</v>
      </c>
      <c r="E143" s="9">
        <v>8</v>
      </c>
      <c r="F143" s="9">
        <v>13</v>
      </c>
      <c r="G143" s="9">
        <v>8</v>
      </c>
      <c r="H143">
        <v>1.0000000000000001E-5</v>
      </c>
      <c r="I143">
        <f>LOG(1/H143)</f>
        <v>5</v>
      </c>
      <c r="J143">
        <v>10</v>
      </c>
      <c r="K143">
        <f>AVERAGE(F143,G143)</f>
        <v>10.5</v>
      </c>
      <c r="L143">
        <f>K143/(H143*(J143/1000))</f>
        <v>104999999.99999999</v>
      </c>
    </row>
    <row r="144" spans="1:12">
      <c r="A144" t="s">
        <v>17</v>
      </c>
      <c r="B144" t="s">
        <v>18</v>
      </c>
      <c r="C144" s="9">
        <f>C120+1</f>
        <v>6.5</v>
      </c>
      <c r="D144" s="9" t="s">
        <v>16</v>
      </c>
      <c r="E144" s="9">
        <v>9</v>
      </c>
      <c r="F144" s="9">
        <v>8</v>
      </c>
      <c r="G144" s="9">
        <v>8</v>
      </c>
      <c r="H144">
        <v>1.0000000000000001E-5</v>
      </c>
      <c r="I144">
        <f>LOG(1/H144)</f>
        <v>5</v>
      </c>
      <c r="J144">
        <v>10</v>
      </c>
      <c r="K144">
        <f>AVERAGE(F144,G144)</f>
        <v>8</v>
      </c>
      <c r="L144">
        <f>K144/(H144*(J144/1000))</f>
        <v>80000000</v>
      </c>
    </row>
    <row r="145" spans="1:12">
      <c r="A145" t="s">
        <v>17</v>
      </c>
      <c r="B145" t="s">
        <v>18</v>
      </c>
      <c r="C145" s="9">
        <f>C121+1</f>
        <v>6.5</v>
      </c>
      <c r="D145" s="9" t="s">
        <v>16</v>
      </c>
      <c r="E145" s="9">
        <v>10</v>
      </c>
      <c r="F145" s="9">
        <v>9</v>
      </c>
      <c r="G145" s="9">
        <v>5</v>
      </c>
      <c r="H145">
        <v>1.0000000000000001E-5</v>
      </c>
      <c r="I145">
        <f>LOG(1/H145)</f>
        <v>5</v>
      </c>
      <c r="J145">
        <v>10</v>
      </c>
      <c r="K145">
        <f>AVERAGE(F145,G145)</f>
        <v>7</v>
      </c>
      <c r="L145">
        <f>K145/(H145*(J145/1000))</f>
        <v>70000000</v>
      </c>
    </row>
    <row r="146" spans="1:12">
      <c r="A146" t="s">
        <v>17</v>
      </c>
      <c r="B146" t="s">
        <v>18</v>
      </c>
      <c r="C146" s="9">
        <f>C122+1</f>
        <v>7</v>
      </c>
      <c r="D146" s="9" t="s">
        <v>16</v>
      </c>
      <c r="E146" s="9" t="s">
        <v>19</v>
      </c>
      <c r="F146" s="9">
        <v>10</v>
      </c>
      <c r="G146" s="9">
        <v>12</v>
      </c>
      <c r="H146">
        <v>9.9999999999999995E-7</v>
      </c>
      <c r="I146">
        <f>LOG(1/H146)</f>
        <v>6</v>
      </c>
      <c r="J146">
        <v>10</v>
      </c>
      <c r="K146">
        <f>AVERAGE(F146,G146)</f>
        <v>11</v>
      </c>
      <c r="L146">
        <f>K146/(H146*(J146/1000))</f>
        <v>1100000000</v>
      </c>
    </row>
    <row r="147" spans="1:12">
      <c r="A147" t="s">
        <v>17</v>
      </c>
      <c r="B147" t="s">
        <v>18</v>
      </c>
      <c r="C147" s="9">
        <f>C123+1</f>
        <v>7</v>
      </c>
      <c r="D147" s="9" t="s">
        <v>16</v>
      </c>
      <c r="E147" s="9" t="s">
        <v>20</v>
      </c>
      <c r="F147" s="9">
        <v>9</v>
      </c>
      <c r="G147" s="9">
        <v>11</v>
      </c>
      <c r="H147">
        <v>9.9999999999999995E-7</v>
      </c>
      <c r="I147">
        <f>LOG(1/H147)</f>
        <v>6</v>
      </c>
      <c r="J147">
        <v>10</v>
      </c>
      <c r="K147">
        <f>AVERAGE(F147,G147)</f>
        <v>10</v>
      </c>
      <c r="L147">
        <f>K147/(H147*(J147/1000))</f>
        <v>1000000000</v>
      </c>
    </row>
    <row r="148" spans="1:12">
      <c r="A148" t="s">
        <v>17</v>
      </c>
      <c r="B148" t="s">
        <v>18</v>
      </c>
      <c r="C148" s="9">
        <f>C124+1</f>
        <v>7</v>
      </c>
      <c r="D148" s="9" t="s">
        <v>16</v>
      </c>
      <c r="E148" s="9" t="s">
        <v>21</v>
      </c>
      <c r="F148" s="9">
        <v>10</v>
      </c>
      <c r="G148" s="9">
        <v>13</v>
      </c>
      <c r="H148">
        <v>9.9999999999999995E-7</v>
      </c>
      <c r="I148">
        <f>LOG(1/H148)</f>
        <v>6</v>
      </c>
      <c r="J148">
        <v>10</v>
      </c>
      <c r="K148">
        <f>AVERAGE(F148,G148)</f>
        <v>11.5</v>
      </c>
      <c r="L148">
        <f>K148/(H148*(J148/1000))</f>
        <v>1150000000</v>
      </c>
    </row>
    <row r="149" spans="1:12">
      <c r="A149" t="s">
        <v>17</v>
      </c>
      <c r="B149" t="s">
        <v>18</v>
      </c>
      <c r="C149" s="9">
        <f>C125+1</f>
        <v>7</v>
      </c>
      <c r="D149" s="9" t="s">
        <v>16</v>
      </c>
      <c r="E149" s="9" t="s">
        <v>22</v>
      </c>
      <c r="F149" s="9">
        <v>9</v>
      </c>
      <c r="G149" s="9">
        <v>9</v>
      </c>
      <c r="H149">
        <v>9.9999999999999995E-7</v>
      </c>
      <c r="I149">
        <f>LOG(1/H149)</f>
        <v>6</v>
      </c>
      <c r="J149">
        <v>10</v>
      </c>
      <c r="K149">
        <f>AVERAGE(F149,G149)</f>
        <v>9</v>
      </c>
      <c r="L149">
        <f>K149/(H149*(J149/1000))</f>
        <v>900000000</v>
      </c>
    </row>
    <row r="150" spans="1:12">
      <c r="A150" t="s">
        <v>17</v>
      </c>
      <c r="B150" t="s">
        <v>18</v>
      </c>
      <c r="C150" s="9">
        <f>C126+1</f>
        <v>7</v>
      </c>
      <c r="D150" s="9" t="s">
        <v>16</v>
      </c>
      <c r="E150" s="9">
        <v>1</v>
      </c>
      <c r="F150" s="9">
        <v>4</v>
      </c>
      <c r="G150" s="9">
        <v>4</v>
      </c>
      <c r="H150">
        <v>9.9999999999999995E-7</v>
      </c>
      <c r="I150">
        <f>LOG(1/H150)</f>
        <v>6</v>
      </c>
      <c r="J150">
        <v>10</v>
      </c>
      <c r="K150">
        <f>AVERAGE(F150,G150)</f>
        <v>4</v>
      </c>
      <c r="L150">
        <f>K150/(H150*(J150/1000))</f>
        <v>400000000</v>
      </c>
    </row>
    <row r="151" spans="1:12">
      <c r="A151" t="s">
        <v>17</v>
      </c>
      <c r="B151" t="s">
        <v>18</v>
      </c>
      <c r="C151" s="9">
        <f>C127+1</f>
        <v>7</v>
      </c>
      <c r="D151" s="9" t="s">
        <v>16</v>
      </c>
      <c r="E151" s="9">
        <v>2</v>
      </c>
      <c r="F151" s="9">
        <v>3</v>
      </c>
      <c r="G151" s="9">
        <v>4</v>
      </c>
      <c r="H151">
        <v>9.9999999999999995E-7</v>
      </c>
      <c r="I151">
        <f>LOG(1/H151)</f>
        <v>6</v>
      </c>
      <c r="J151">
        <v>10</v>
      </c>
      <c r="K151">
        <f>AVERAGE(F151,G151)</f>
        <v>3.5</v>
      </c>
      <c r="L151">
        <f>K151/(H151*(J151/1000))</f>
        <v>350000000</v>
      </c>
    </row>
    <row r="152" spans="1:12">
      <c r="A152" t="s">
        <v>17</v>
      </c>
      <c r="B152" t="s">
        <v>18</v>
      </c>
      <c r="C152" s="9">
        <f>C128+1</f>
        <v>7</v>
      </c>
      <c r="D152" s="9" t="s">
        <v>16</v>
      </c>
      <c r="E152" s="9">
        <v>3</v>
      </c>
      <c r="F152" s="9">
        <v>8</v>
      </c>
      <c r="G152" s="9">
        <v>6</v>
      </c>
      <c r="H152">
        <v>9.9999999999999995E-7</v>
      </c>
      <c r="I152">
        <f>LOG(1/H152)</f>
        <v>6</v>
      </c>
      <c r="J152">
        <v>10</v>
      </c>
      <c r="K152">
        <f>AVERAGE(F152,G152)</f>
        <v>7</v>
      </c>
      <c r="L152">
        <f>K152/(H152*(J152/1000))</f>
        <v>700000000</v>
      </c>
    </row>
    <row r="153" spans="1:12">
      <c r="A153" t="s">
        <v>17</v>
      </c>
      <c r="B153" t="s">
        <v>18</v>
      </c>
      <c r="C153" s="9">
        <f>C129+1</f>
        <v>7</v>
      </c>
      <c r="D153" s="9" t="s">
        <v>16</v>
      </c>
      <c r="E153" s="9">
        <v>4</v>
      </c>
      <c r="F153" s="9">
        <v>3</v>
      </c>
      <c r="G153" s="9">
        <v>3</v>
      </c>
      <c r="H153">
        <v>9.9999999999999995E-7</v>
      </c>
      <c r="I153">
        <f>LOG(1/H153)</f>
        <v>6</v>
      </c>
      <c r="J153">
        <v>10</v>
      </c>
      <c r="K153">
        <f>AVERAGE(F153,G153)</f>
        <v>3</v>
      </c>
      <c r="L153">
        <f>K153/(H153*(J153/1000))</f>
        <v>300000000</v>
      </c>
    </row>
    <row r="154" spans="1:12">
      <c r="A154" t="s">
        <v>17</v>
      </c>
      <c r="B154" t="s">
        <v>18</v>
      </c>
      <c r="C154" s="9">
        <f>C130+1</f>
        <v>7</v>
      </c>
      <c r="D154" s="9" t="s">
        <v>16</v>
      </c>
      <c r="E154" s="9">
        <v>5</v>
      </c>
      <c r="F154" s="9">
        <v>4</v>
      </c>
      <c r="G154" s="9">
        <v>10</v>
      </c>
      <c r="H154">
        <v>9.9999999999999995E-7</v>
      </c>
      <c r="I154">
        <f>LOG(1/H154)</f>
        <v>6</v>
      </c>
      <c r="J154">
        <v>10</v>
      </c>
      <c r="K154">
        <f>AVERAGE(F154,G154)</f>
        <v>7</v>
      </c>
      <c r="L154">
        <f>K154/(H154*(J154/1000))</f>
        <v>700000000</v>
      </c>
    </row>
    <row r="155" spans="1:12">
      <c r="A155" t="s">
        <v>17</v>
      </c>
      <c r="B155" t="s">
        <v>18</v>
      </c>
      <c r="C155" s="9">
        <f>C131+1</f>
        <v>7</v>
      </c>
      <c r="D155" s="9" t="s">
        <v>16</v>
      </c>
      <c r="E155" s="9">
        <v>6</v>
      </c>
      <c r="F155" s="9">
        <v>3</v>
      </c>
      <c r="G155" s="9">
        <v>2</v>
      </c>
      <c r="H155">
        <v>9.9999999999999995E-7</v>
      </c>
      <c r="I155">
        <f>LOG(1/H155)</f>
        <v>6</v>
      </c>
      <c r="J155">
        <v>10</v>
      </c>
      <c r="K155">
        <f>AVERAGE(F155,G155)</f>
        <v>2.5</v>
      </c>
      <c r="L155">
        <f>K155/(H155*(J155/1000))</f>
        <v>250000000</v>
      </c>
    </row>
    <row r="156" spans="1:12">
      <c r="A156" t="s">
        <v>17</v>
      </c>
      <c r="B156" t="s">
        <v>18</v>
      </c>
      <c r="C156" s="9">
        <f>C132+1</f>
        <v>7</v>
      </c>
      <c r="D156" s="9" t="s">
        <v>16</v>
      </c>
      <c r="E156" s="9">
        <v>7</v>
      </c>
      <c r="F156" s="9">
        <v>6</v>
      </c>
      <c r="G156" s="9">
        <v>6</v>
      </c>
      <c r="H156">
        <v>9.9999999999999995E-7</v>
      </c>
      <c r="I156">
        <f>LOG(1/H156)</f>
        <v>6</v>
      </c>
      <c r="J156">
        <v>10</v>
      </c>
      <c r="K156">
        <f>AVERAGE(F156,G156)</f>
        <v>6</v>
      </c>
      <c r="L156">
        <f>K156/(H156*(J156/1000))</f>
        <v>600000000</v>
      </c>
    </row>
    <row r="157" spans="1:12">
      <c r="A157" t="s">
        <v>17</v>
      </c>
      <c r="B157" t="s">
        <v>18</v>
      </c>
      <c r="C157" s="9">
        <f>C133+1</f>
        <v>7</v>
      </c>
      <c r="D157" s="9" t="s">
        <v>16</v>
      </c>
      <c r="E157" s="9">
        <v>8</v>
      </c>
      <c r="F157" s="9">
        <v>4</v>
      </c>
      <c r="G157" s="9">
        <v>6</v>
      </c>
      <c r="H157">
        <v>9.9999999999999995E-7</v>
      </c>
      <c r="I157">
        <f>LOG(1/H157)</f>
        <v>6</v>
      </c>
      <c r="J157">
        <v>10</v>
      </c>
      <c r="K157">
        <f>AVERAGE(F157,G157)</f>
        <v>5</v>
      </c>
      <c r="L157">
        <f>K157/(H157*(J157/1000))</f>
        <v>500000000</v>
      </c>
    </row>
    <row r="158" spans="1:12">
      <c r="A158" t="s">
        <v>17</v>
      </c>
      <c r="B158" t="s">
        <v>18</v>
      </c>
      <c r="C158" s="9">
        <f>C134+1</f>
        <v>7</v>
      </c>
      <c r="D158" s="9" t="s">
        <v>16</v>
      </c>
      <c r="E158" s="9">
        <v>9</v>
      </c>
      <c r="F158" s="9">
        <v>34</v>
      </c>
      <c r="G158" s="10">
        <v>40</v>
      </c>
      <c r="H158">
        <v>1.0000000000000001E-5</v>
      </c>
      <c r="I158">
        <f>LOG(1/H158)</f>
        <v>5</v>
      </c>
      <c r="J158">
        <v>10</v>
      </c>
      <c r="K158">
        <f>AVERAGE(F158,G158)</f>
        <v>37</v>
      </c>
      <c r="L158">
        <f>K158/(H158*(J158/1000))</f>
        <v>369999999.99999994</v>
      </c>
    </row>
    <row r="159" spans="1:12">
      <c r="A159" t="s">
        <v>17</v>
      </c>
      <c r="B159" t="s">
        <v>18</v>
      </c>
      <c r="C159" s="9">
        <f>C135+1</f>
        <v>7</v>
      </c>
      <c r="D159" s="9" t="s">
        <v>16</v>
      </c>
      <c r="E159" s="9">
        <v>10</v>
      </c>
      <c r="F159" s="9">
        <v>5</v>
      </c>
      <c r="G159" s="9">
        <v>6</v>
      </c>
      <c r="H159">
        <v>9.9999999999999995E-7</v>
      </c>
      <c r="I159">
        <f>LOG(1/H159)</f>
        <v>6</v>
      </c>
      <c r="J159">
        <v>10</v>
      </c>
      <c r="K159">
        <f>AVERAGE(F159,G159)</f>
        <v>5.5</v>
      </c>
      <c r="L159">
        <f>K159/(H159*(J159/1000))</f>
        <v>550000000</v>
      </c>
    </row>
    <row r="160" spans="1:12">
      <c r="A160" t="s">
        <v>17</v>
      </c>
      <c r="B160" t="s">
        <v>18</v>
      </c>
      <c r="C160" s="9">
        <f>C136+1</f>
        <v>7.5</v>
      </c>
      <c r="D160" s="9" t="s">
        <v>16</v>
      </c>
      <c r="E160" s="9">
        <v>1</v>
      </c>
      <c r="F160" s="9">
        <v>5</v>
      </c>
      <c r="G160" s="9">
        <v>7</v>
      </c>
      <c r="H160">
        <v>1.0000000000000001E-5</v>
      </c>
      <c r="I160">
        <f>LOG(1/H160)</f>
        <v>5</v>
      </c>
      <c r="J160">
        <v>10</v>
      </c>
      <c r="K160">
        <f>AVERAGE(F160,G160)</f>
        <v>6</v>
      </c>
      <c r="L160">
        <f>K160/(H160*(J160/1000))</f>
        <v>59999999.999999993</v>
      </c>
    </row>
    <row r="161" spans="1:12">
      <c r="A161" t="s">
        <v>17</v>
      </c>
      <c r="B161" t="s">
        <v>18</v>
      </c>
      <c r="C161" s="9">
        <f>C137+1</f>
        <v>7.5</v>
      </c>
      <c r="D161" s="9" t="s">
        <v>16</v>
      </c>
      <c r="E161" s="9">
        <v>2</v>
      </c>
      <c r="F161" s="9">
        <v>10</v>
      </c>
      <c r="G161" s="9">
        <v>18</v>
      </c>
      <c r="H161">
        <v>1.0000000000000001E-5</v>
      </c>
      <c r="I161">
        <f>LOG(1/H161)</f>
        <v>5</v>
      </c>
      <c r="J161">
        <v>10</v>
      </c>
      <c r="K161">
        <f>AVERAGE(F161,G161)</f>
        <v>14</v>
      </c>
      <c r="L161">
        <f>K161/(H161*(J161/1000))</f>
        <v>140000000</v>
      </c>
    </row>
    <row r="162" spans="1:12">
      <c r="A162" t="s">
        <v>17</v>
      </c>
      <c r="B162" t="s">
        <v>18</v>
      </c>
      <c r="C162" s="9">
        <f>C138+1</f>
        <v>7.5</v>
      </c>
      <c r="D162" s="9" t="s">
        <v>16</v>
      </c>
      <c r="E162" s="9">
        <v>3</v>
      </c>
      <c r="F162" s="9">
        <v>7</v>
      </c>
      <c r="G162" s="9">
        <v>9</v>
      </c>
      <c r="H162">
        <v>1.0000000000000001E-5</v>
      </c>
      <c r="I162">
        <f>LOG(1/H162)</f>
        <v>5</v>
      </c>
      <c r="J162">
        <v>10</v>
      </c>
      <c r="K162">
        <f>AVERAGE(F162,G162)</f>
        <v>8</v>
      </c>
      <c r="L162">
        <f>K162/(H162*(J162/1000))</f>
        <v>80000000</v>
      </c>
    </row>
    <row r="163" spans="1:12">
      <c r="A163" t="s">
        <v>17</v>
      </c>
      <c r="B163" t="s">
        <v>18</v>
      </c>
      <c r="C163" s="9">
        <f>C139+1</f>
        <v>7.5</v>
      </c>
      <c r="D163" s="9" t="s">
        <v>16</v>
      </c>
      <c r="E163" s="9">
        <v>4</v>
      </c>
      <c r="F163" s="9">
        <v>8</v>
      </c>
      <c r="G163" s="9">
        <v>7</v>
      </c>
      <c r="H163">
        <v>1.0000000000000001E-5</v>
      </c>
      <c r="I163">
        <f>LOG(1/H163)</f>
        <v>5</v>
      </c>
      <c r="J163">
        <v>10</v>
      </c>
      <c r="K163">
        <f>AVERAGE(F163,G163)</f>
        <v>7.5</v>
      </c>
      <c r="L163">
        <f>K163/(H163*(J163/1000))</f>
        <v>75000000</v>
      </c>
    </row>
    <row r="164" spans="1:12">
      <c r="A164" t="s">
        <v>17</v>
      </c>
      <c r="B164" t="s">
        <v>18</v>
      </c>
      <c r="C164" s="9">
        <f>C140+1</f>
        <v>7.5</v>
      </c>
      <c r="D164" s="9" t="s">
        <v>16</v>
      </c>
      <c r="E164" s="9">
        <v>5</v>
      </c>
      <c r="F164" s="9">
        <v>11</v>
      </c>
      <c r="G164" s="9">
        <v>12</v>
      </c>
      <c r="H164">
        <v>1.0000000000000001E-5</v>
      </c>
      <c r="I164">
        <f>LOG(1/H164)</f>
        <v>5</v>
      </c>
      <c r="J164">
        <v>10</v>
      </c>
      <c r="K164">
        <f>AVERAGE(F164,G164)</f>
        <v>11.5</v>
      </c>
      <c r="L164">
        <f>K164/(H164*(J164/1000))</f>
        <v>114999999.99999999</v>
      </c>
    </row>
    <row r="165" spans="1:12">
      <c r="A165" t="s">
        <v>17</v>
      </c>
      <c r="B165" t="s">
        <v>18</v>
      </c>
      <c r="C165" s="9">
        <f>C141+1</f>
        <v>7.5</v>
      </c>
      <c r="D165" s="9" t="s">
        <v>16</v>
      </c>
      <c r="E165" s="9">
        <v>6</v>
      </c>
      <c r="F165" s="9">
        <v>3</v>
      </c>
      <c r="G165" s="9">
        <v>8</v>
      </c>
      <c r="H165">
        <v>1.0000000000000001E-5</v>
      </c>
      <c r="I165">
        <f>LOG(1/H165)</f>
        <v>5</v>
      </c>
      <c r="J165">
        <v>10</v>
      </c>
      <c r="K165">
        <f>AVERAGE(F165,G165)</f>
        <v>5.5</v>
      </c>
      <c r="L165">
        <f>K165/(H165*(J165/1000))</f>
        <v>54999999.999999993</v>
      </c>
    </row>
    <row r="166" spans="1:12">
      <c r="A166" t="s">
        <v>17</v>
      </c>
      <c r="B166" t="s">
        <v>18</v>
      </c>
      <c r="C166" s="9">
        <f>C142+1</f>
        <v>7.5</v>
      </c>
      <c r="D166" s="9" t="s">
        <v>16</v>
      </c>
      <c r="E166" s="9">
        <v>7</v>
      </c>
      <c r="F166" s="9">
        <v>10</v>
      </c>
      <c r="G166" s="9">
        <v>5</v>
      </c>
      <c r="H166">
        <v>1.0000000000000001E-5</v>
      </c>
      <c r="I166">
        <f>LOG(1/H166)</f>
        <v>5</v>
      </c>
      <c r="J166">
        <v>10</v>
      </c>
      <c r="K166">
        <f>AVERAGE(F166,G166)</f>
        <v>7.5</v>
      </c>
      <c r="L166">
        <f>K166/(H166*(J166/1000))</f>
        <v>75000000</v>
      </c>
    </row>
    <row r="167" spans="1:12">
      <c r="A167" t="s">
        <v>17</v>
      </c>
      <c r="B167" t="s">
        <v>18</v>
      </c>
      <c r="C167" s="9">
        <f>C143+1</f>
        <v>7.5</v>
      </c>
      <c r="D167" s="9" t="s">
        <v>16</v>
      </c>
      <c r="E167" s="9">
        <v>8</v>
      </c>
      <c r="F167" s="9">
        <v>3</v>
      </c>
      <c r="G167" s="9">
        <v>5</v>
      </c>
      <c r="H167">
        <v>1.0000000000000001E-5</v>
      </c>
      <c r="I167">
        <f>LOG(1/H167)</f>
        <v>5</v>
      </c>
      <c r="J167">
        <v>10</v>
      </c>
      <c r="K167">
        <f>AVERAGE(F167,G167)</f>
        <v>4</v>
      </c>
      <c r="L167">
        <f>K167/(H167*(J167/1000))</f>
        <v>40000000</v>
      </c>
    </row>
    <row r="168" spans="1:12">
      <c r="A168" t="s">
        <v>17</v>
      </c>
      <c r="B168" t="s">
        <v>18</v>
      </c>
      <c r="C168" s="9">
        <f>C144+1</f>
        <v>7.5</v>
      </c>
      <c r="D168" s="9" t="s">
        <v>16</v>
      </c>
      <c r="E168" s="9">
        <v>9</v>
      </c>
      <c r="F168" s="9">
        <v>2</v>
      </c>
      <c r="G168" s="9">
        <v>7</v>
      </c>
      <c r="H168">
        <v>1.0000000000000001E-5</v>
      </c>
      <c r="I168">
        <f>LOG(1/H168)</f>
        <v>5</v>
      </c>
      <c r="J168">
        <v>10</v>
      </c>
      <c r="K168">
        <f>AVERAGE(F168,G168)</f>
        <v>4.5</v>
      </c>
      <c r="L168">
        <f>K168/(H168*(J168/1000))</f>
        <v>44999999.999999993</v>
      </c>
    </row>
    <row r="169" spans="1:12">
      <c r="A169" t="s">
        <v>17</v>
      </c>
      <c r="B169" t="s">
        <v>18</v>
      </c>
      <c r="C169" s="9">
        <f>C145+1</f>
        <v>7.5</v>
      </c>
      <c r="D169" s="9" t="s">
        <v>16</v>
      </c>
      <c r="E169" s="9">
        <v>10</v>
      </c>
      <c r="F169" s="9">
        <v>12</v>
      </c>
      <c r="G169" s="9">
        <v>14</v>
      </c>
      <c r="H169">
        <v>1.0000000000000001E-5</v>
      </c>
      <c r="I169">
        <f>LOG(1/H169)</f>
        <v>5</v>
      </c>
      <c r="J169">
        <v>10</v>
      </c>
      <c r="K169">
        <f>AVERAGE(F169,G169)</f>
        <v>13</v>
      </c>
      <c r="L169">
        <f>K169/(H169*(J169/1000))</f>
        <v>129999999.99999999</v>
      </c>
    </row>
    <row r="170" spans="1:12">
      <c r="A170" t="s">
        <v>17</v>
      </c>
      <c r="B170" t="s">
        <v>18</v>
      </c>
      <c r="C170" s="9">
        <f>C146+1</f>
        <v>8</v>
      </c>
      <c r="D170" s="9" t="s">
        <v>16</v>
      </c>
      <c r="E170" s="9" t="s">
        <v>19</v>
      </c>
      <c r="F170" s="9">
        <v>9</v>
      </c>
      <c r="G170" s="9">
        <v>9</v>
      </c>
      <c r="H170">
        <v>9.9999999999999995E-7</v>
      </c>
      <c r="I170">
        <f>LOG(1/H170)</f>
        <v>6</v>
      </c>
      <c r="J170">
        <v>10</v>
      </c>
      <c r="K170">
        <f>AVERAGE(F170,G170)</f>
        <v>9</v>
      </c>
      <c r="L170">
        <f>K170/(H170*(J170/1000))</f>
        <v>900000000</v>
      </c>
    </row>
    <row r="171" spans="1:12">
      <c r="A171" t="s">
        <v>17</v>
      </c>
      <c r="B171" t="s">
        <v>18</v>
      </c>
      <c r="C171" s="9">
        <f>C147+1</f>
        <v>8</v>
      </c>
      <c r="D171" s="9" t="s">
        <v>16</v>
      </c>
      <c r="E171" s="9" t="s">
        <v>20</v>
      </c>
      <c r="F171" s="9">
        <v>11</v>
      </c>
      <c r="G171" s="9">
        <v>15</v>
      </c>
      <c r="H171">
        <v>9.9999999999999995E-7</v>
      </c>
      <c r="I171">
        <f>LOG(1/H171)</f>
        <v>6</v>
      </c>
      <c r="J171">
        <v>10</v>
      </c>
      <c r="K171">
        <f>AVERAGE(F171,G171)</f>
        <v>13</v>
      </c>
      <c r="L171">
        <f>K171/(H171*(J171/1000))</f>
        <v>1300000000</v>
      </c>
    </row>
    <row r="172" spans="1:12">
      <c r="A172" t="s">
        <v>17</v>
      </c>
      <c r="B172" t="s">
        <v>18</v>
      </c>
      <c r="C172" s="9">
        <f>C148+1</f>
        <v>8</v>
      </c>
      <c r="D172" s="9" t="s">
        <v>16</v>
      </c>
      <c r="E172" s="9" t="s">
        <v>21</v>
      </c>
      <c r="F172" s="9">
        <v>13</v>
      </c>
      <c r="G172" s="9">
        <v>8</v>
      </c>
      <c r="H172">
        <v>9.9999999999999995E-7</v>
      </c>
      <c r="I172">
        <f>LOG(1/H172)</f>
        <v>6</v>
      </c>
      <c r="J172">
        <v>10</v>
      </c>
      <c r="K172">
        <f>AVERAGE(F172,G172)</f>
        <v>10.5</v>
      </c>
      <c r="L172">
        <f>K172/(H172*(J172/1000))</f>
        <v>1050000000</v>
      </c>
    </row>
    <row r="173" spans="1:12">
      <c r="A173" t="s">
        <v>17</v>
      </c>
      <c r="B173" t="s">
        <v>18</v>
      </c>
      <c r="C173" s="9">
        <f>C149+1</f>
        <v>8</v>
      </c>
      <c r="D173" s="9" t="s">
        <v>16</v>
      </c>
      <c r="E173" s="9" t="s">
        <v>22</v>
      </c>
      <c r="F173" s="9">
        <v>7</v>
      </c>
      <c r="G173" s="9">
        <v>12</v>
      </c>
      <c r="H173">
        <v>9.9999999999999995E-7</v>
      </c>
      <c r="I173">
        <f>LOG(1/H173)</f>
        <v>6</v>
      </c>
      <c r="J173">
        <v>10</v>
      </c>
      <c r="K173">
        <f>AVERAGE(F173,G173)</f>
        <v>9.5</v>
      </c>
      <c r="L173">
        <f>K173/(H173*(J173/1000))</f>
        <v>950000000</v>
      </c>
    </row>
    <row r="174" spans="1:12">
      <c r="A174" t="s">
        <v>17</v>
      </c>
      <c r="B174" t="s">
        <v>18</v>
      </c>
      <c r="C174" s="9">
        <f>C150+1</f>
        <v>8</v>
      </c>
      <c r="D174" s="9" t="s">
        <v>16</v>
      </c>
      <c r="E174" s="9">
        <v>1</v>
      </c>
      <c r="F174" s="9">
        <v>1</v>
      </c>
      <c r="G174" s="9">
        <v>4</v>
      </c>
      <c r="H174">
        <v>9.9999999999999995E-7</v>
      </c>
      <c r="I174">
        <f>LOG(1/H174)</f>
        <v>6</v>
      </c>
      <c r="J174">
        <v>10</v>
      </c>
      <c r="K174">
        <f>AVERAGE(F174,G174)</f>
        <v>2.5</v>
      </c>
      <c r="L174">
        <f>K174/(H174*(J174/1000))</f>
        <v>250000000</v>
      </c>
    </row>
    <row r="175" spans="1:12">
      <c r="A175" t="s">
        <v>17</v>
      </c>
      <c r="B175" t="s">
        <v>18</v>
      </c>
      <c r="C175" s="9">
        <f>C151+1</f>
        <v>8</v>
      </c>
      <c r="D175" s="9" t="s">
        <v>16</v>
      </c>
      <c r="E175" s="9">
        <v>2</v>
      </c>
      <c r="F175" s="9">
        <v>15</v>
      </c>
      <c r="G175" s="10">
        <v>50</v>
      </c>
      <c r="H175">
        <v>1.0000000000000001E-5</v>
      </c>
      <c r="I175">
        <f>LOG(1/H175)</f>
        <v>5</v>
      </c>
      <c r="J175">
        <v>10</v>
      </c>
      <c r="K175">
        <f>AVERAGE(F175,G175)</f>
        <v>32.5</v>
      </c>
      <c r="L175">
        <f>K175/(H175*(J175/1000))</f>
        <v>325000000</v>
      </c>
    </row>
    <row r="176" spans="1:12">
      <c r="A176" t="s">
        <v>17</v>
      </c>
      <c r="B176" t="s">
        <v>18</v>
      </c>
      <c r="C176" s="9">
        <f>C152+1</f>
        <v>8</v>
      </c>
      <c r="D176" s="9" t="s">
        <v>16</v>
      </c>
      <c r="E176" s="9">
        <v>3</v>
      </c>
      <c r="F176" s="9">
        <v>19</v>
      </c>
      <c r="G176" s="9">
        <v>25</v>
      </c>
      <c r="H176">
        <v>1.0000000000000001E-5</v>
      </c>
      <c r="I176">
        <f>LOG(1/H176)</f>
        <v>5</v>
      </c>
      <c r="J176">
        <v>10</v>
      </c>
      <c r="K176">
        <f>AVERAGE(F176,G176)</f>
        <v>22</v>
      </c>
      <c r="L176">
        <f>K176/(H176*(J176/1000))</f>
        <v>219999999.99999997</v>
      </c>
    </row>
    <row r="177" spans="1:12">
      <c r="A177" t="s">
        <v>17</v>
      </c>
      <c r="B177" t="s">
        <v>18</v>
      </c>
      <c r="C177" s="9">
        <f>C153+1</f>
        <v>8</v>
      </c>
      <c r="D177" s="9" t="s">
        <v>16</v>
      </c>
      <c r="E177" s="9">
        <v>4</v>
      </c>
      <c r="F177" s="9">
        <v>2</v>
      </c>
      <c r="G177" s="9">
        <v>9</v>
      </c>
      <c r="H177">
        <v>9.9999999999999995E-7</v>
      </c>
      <c r="I177">
        <f>LOG(1/H177)</f>
        <v>6</v>
      </c>
      <c r="J177">
        <v>10</v>
      </c>
      <c r="K177">
        <f>AVERAGE(F177,G177)</f>
        <v>5.5</v>
      </c>
      <c r="L177">
        <f>K177/(H177*(J177/1000))</f>
        <v>550000000</v>
      </c>
    </row>
    <row r="178" spans="1:12">
      <c r="A178" t="s">
        <v>17</v>
      </c>
      <c r="B178" t="s">
        <v>18</v>
      </c>
      <c r="C178" s="9">
        <f>C154+1</f>
        <v>8</v>
      </c>
      <c r="D178" s="9" t="s">
        <v>16</v>
      </c>
      <c r="E178" s="9">
        <v>5</v>
      </c>
      <c r="F178" s="9">
        <v>6</v>
      </c>
      <c r="G178" s="9">
        <v>2</v>
      </c>
      <c r="H178">
        <v>9.9999999999999995E-7</v>
      </c>
      <c r="I178">
        <f>LOG(1/H178)</f>
        <v>6</v>
      </c>
      <c r="J178">
        <v>10</v>
      </c>
      <c r="K178">
        <f>AVERAGE(F178,G178)</f>
        <v>4</v>
      </c>
      <c r="L178">
        <f>K178/(H178*(J178/1000))</f>
        <v>400000000</v>
      </c>
    </row>
    <row r="179" spans="1:12">
      <c r="A179" t="s">
        <v>17</v>
      </c>
      <c r="B179" t="s">
        <v>18</v>
      </c>
      <c r="C179" s="9">
        <f>C155+1</f>
        <v>8</v>
      </c>
      <c r="D179" s="9" t="s">
        <v>16</v>
      </c>
      <c r="E179" s="9">
        <v>6</v>
      </c>
      <c r="F179" s="9">
        <v>3</v>
      </c>
      <c r="G179" s="9">
        <v>5</v>
      </c>
      <c r="H179">
        <v>9.9999999999999995E-7</v>
      </c>
      <c r="I179">
        <f>LOG(1/H179)</f>
        <v>6</v>
      </c>
      <c r="J179">
        <v>10</v>
      </c>
      <c r="K179">
        <f>AVERAGE(F179,G179)</f>
        <v>4</v>
      </c>
      <c r="L179">
        <f>K179/(H179*(J179/1000))</f>
        <v>400000000</v>
      </c>
    </row>
    <row r="180" spans="1:12">
      <c r="A180" t="s">
        <v>17</v>
      </c>
      <c r="B180" t="s">
        <v>18</v>
      </c>
      <c r="C180" s="9">
        <f>C156+1</f>
        <v>8</v>
      </c>
      <c r="D180" s="9" t="s">
        <v>16</v>
      </c>
      <c r="E180" s="9">
        <v>7</v>
      </c>
      <c r="F180" s="9">
        <v>3</v>
      </c>
      <c r="G180" s="9">
        <v>8</v>
      </c>
      <c r="H180">
        <v>9.9999999999999995E-7</v>
      </c>
      <c r="I180">
        <f>LOG(1/H180)</f>
        <v>6</v>
      </c>
      <c r="J180">
        <v>10</v>
      </c>
      <c r="K180">
        <f>AVERAGE(F180,G180)</f>
        <v>5.5</v>
      </c>
      <c r="L180">
        <f>K180/(H180*(J180/1000))</f>
        <v>550000000</v>
      </c>
    </row>
    <row r="181" spans="1:12">
      <c r="A181" t="s">
        <v>17</v>
      </c>
      <c r="B181" t="s">
        <v>18</v>
      </c>
      <c r="C181" s="9">
        <f>C157+1</f>
        <v>8</v>
      </c>
      <c r="D181" s="9" t="s">
        <v>16</v>
      </c>
      <c r="E181" s="9">
        <v>8</v>
      </c>
      <c r="F181" s="9">
        <v>8</v>
      </c>
      <c r="G181" s="9">
        <v>4</v>
      </c>
      <c r="H181">
        <v>9.9999999999999995E-7</v>
      </c>
      <c r="I181">
        <f>LOG(1/H181)</f>
        <v>6</v>
      </c>
      <c r="J181">
        <v>10</v>
      </c>
      <c r="K181">
        <f>AVERAGE(F181,G181)</f>
        <v>6</v>
      </c>
      <c r="L181">
        <f>K181/(H181*(J181/1000))</f>
        <v>600000000</v>
      </c>
    </row>
    <row r="182" spans="1:12">
      <c r="A182" t="s">
        <v>17</v>
      </c>
      <c r="B182" t="s">
        <v>18</v>
      </c>
      <c r="C182" s="9">
        <f>C158+1</f>
        <v>8</v>
      </c>
      <c r="D182" s="9" t="s">
        <v>16</v>
      </c>
      <c r="E182" s="9">
        <v>9</v>
      </c>
      <c r="F182" s="9">
        <v>2</v>
      </c>
      <c r="G182" s="9">
        <v>3</v>
      </c>
      <c r="H182">
        <v>9.9999999999999995E-7</v>
      </c>
      <c r="I182">
        <f>LOG(1/H182)</f>
        <v>6</v>
      </c>
      <c r="J182">
        <v>10</v>
      </c>
      <c r="K182">
        <f>AVERAGE(F182,G182)</f>
        <v>2.5</v>
      </c>
      <c r="L182">
        <f>K182/(H182*(J182/1000))</f>
        <v>250000000</v>
      </c>
    </row>
    <row r="183" spans="1:12">
      <c r="A183" t="s">
        <v>17</v>
      </c>
      <c r="B183" t="s">
        <v>18</v>
      </c>
      <c r="C183" s="9">
        <f>C159+1</f>
        <v>8</v>
      </c>
      <c r="D183" s="9" t="s">
        <v>16</v>
      </c>
      <c r="E183" s="9">
        <v>10</v>
      </c>
      <c r="F183" s="9">
        <v>2</v>
      </c>
      <c r="G183" s="9">
        <v>5</v>
      </c>
      <c r="H183">
        <v>9.9999999999999995E-7</v>
      </c>
      <c r="I183">
        <f>LOG(1/H183)</f>
        <v>6</v>
      </c>
      <c r="J183">
        <v>10</v>
      </c>
      <c r="K183">
        <f>AVERAGE(F183,G183)</f>
        <v>3.5</v>
      </c>
      <c r="L183">
        <f>K183/(H183*(J183/1000))</f>
        <v>350000000</v>
      </c>
    </row>
    <row r="184" spans="1:12">
      <c r="A184" t="s">
        <v>17</v>
      </c>
      <c r="B184" t="s">
        <v>18</v>
      </c>
      <c r="C184" s="9">
        <f>C160+1</f>
        <v>8.5</v>
      </c>
      <c r="D184" s="9" t="s">
        <v>16</v>
      </c>
      <c r="E184" s="9">
        <v>1</v>
      </c>
      <c r="F184" s="9">
        <v>11</v>
      </c>
      <c r="G184" s="9">
        <v>6</v>
      </c>
      <c r="H184">
        <v>1.0000000000000001E-5</v>
      </c>
      <c r="I184">
        <f>LOG(1/H184)</f>
        <v>5</v>
      </c>
      <c r="J184">
        <v>10</v>
      </c>
      <c r="K184">
        <f>AVERAGE(F184,G184)</f>
        <v>8.5</v>
      </c>
      <c r="L184">
        <f>K184/(H184*(J184/1000))</f>
        <v>85000000</v>
      </c>
    </row>
    <row r="185" spans="1:12">
      <c r="A185" t="s">
        <v>17</v>
      </c>
      <c r="B185" t="s">
        <v>18</v>
      </c>
      <c r="C185" s="9">
        <f>C161+1</f>
        <v>8.5</v>
      </c>
      <c r="D185" s="9" t="s">
        <v>16</v>
      </c>
      <c r="E185" s="9">
        <v>2</v>
      </c>
      <c r="F185" s="9">
        <v>4</v>
      </c>
      <c r="G185" s="9">
        <v>3</v>
      </c>
      <c r="H185">
        <v>1.0000000000000001E-5</v>
      </c>
      <c r="I185">
        <f>LOG(1/H185)</f>
        <v>5</v>
      </c>
      <c r="J185">
        <v>10</v>
      </c>
      <c r="K185">
        <f>AVERAGE(F185,G185)</f>
        <v>3.5</v>
      </c>
      <c r="L185">
        <f>K185/(H185*(J185/1000))</f>
        <v>35000000</v>
      </c>
    </row>
    <row r="186" spans="1:12">
      <c r="A186" t="s">
        <v>17</v>
      </c>
      <c r="B186" t="s">
        <v>18</v>
      </c>
      <c r="C186" s="9">
        <f>C162+1</f>
        <v>8.5</v>
      </c>
      <c r="D186" s="9" t="s">
        <v>16</v>
      </c>
      <c r="E186" s="9">
        <v>3</v>
      </c>
      <c r="F186" s="9">
        <v>3</v>
      </c>
      <c r="G186" s="9">
        <v>7</v>
      </c>
      <c r="H186">
        <v>1.0000000000000001E-5</v>
      </c>
      <c r="I186">
        <f>LOG(1/H186)</f>
        <v>5</v>
      </c>
      <c r="J186">
        <v>10</v>
      </c>
      <c r="K186">
        <f>AVERAGE(F186,G186)</f>
        <v>5</v>
      </c>
      <c r="L186">
        <f>K186/(H186*(J186/1000))</f>
        <v>49999999.999999993</v>
      </c>
    </row>
    <row r="187" spans="1:12">
      <c r="A187" t="s">
        <v>17</v>
      </c>
      <c r="B187" t="s">
        <v>18</v>
      </c>
      <c r="C187" s="9">
        <f>C163+1</f>
        <v>8.5</v>
      </c>
      <c r="D187" s="9" t="s">
        <v>16</v>
      </c>
      <c r="E187" s="9">
        <v>4</v>
      </c>
      <c r="F187" s="9">
        <v>13</v>
      </c>
      <c r="G187" s="9">
        <v>9</v>
      </c>
      <c r="H187">
        <v>1.0000000000000001E-5</v>
      </c>
      <c r="I187">
        <f>LOG(1/H187)</f>
        <v>5</v>
      </c>
      <c r="J187">
        <v>10</v>
      </c>
      <c r="K187">
        <f>AVERAGE(F187,G187)</f>
        <v>11</v>
      </c>
      <c r="L187">
        <f>K187/(H187*(J187/1000))</f>
        <v>109999999.99999999</v>
      </c>
    </row>
    <row r="188" spans="1:12">
      <c r="A188" t="s">
        <v>17</v>
      </c>
      <c r="B188" t="s">
        <v>18</v>
      </c>
      <c r="C188" s="9">
        <f>C164+1</f>
        <v>8.5</v>
      </c>
      <c r="D188" s="9" t="s">
        <v>16</v>
      </c>
      <c r="E188" s="9">
        <v>5</v>
      </c>
      <c r="F188" s="9">
        <v>17</v>
      </c>
      <c r="G188" s="9">
        <v>19</v>
      </c>
      <c r="H188">
        <v>1.0000000000000001E-5</v>
      </c>
      <c r="I188">
        <f>LOG(1/H188)</f>
        <v>5</v>
      </c>
      <c r="J188">
        <v>10</v>
      </c>
      <c r="K188">
        <f>AVERAGE(F188,G188)</f>
        <v>18</v>
      </c>
      <c r="L188">
        <f>K188/(H188*(J188/1000))</f>
        <v>179999999.99999997</v>
      </c>
    </row>
    <row r="189" spans="1:12">
      <c r="A189" t="s">
        <v>17</v>
      </c>
      <c r="B189" t="s">
        <v>18</v>
      </c>
      <c r="C189" s="9">
        <f>C165+1</f>
        <v>8.5</v>
      </c>
      <c r="D189" s="9" t="s">
        <v>16</v>
      </c>
      <c r="E189" s="9">
        <v>6</v>
      </c>
      <c r="F189" s="9">
        <v>4</v>
      </c>
      <c r="G189" s="9">
        <v>5</v>
      </c>
      <c r="H189">
        <v>1.0000000000000001E-5</v>
      </c>
      <c r="I189">
        <f>LOG(1/H189)</f>
        <v>5</v>
      </c>
      <c r="J189">
        <v>10</v>
      </c>
      <c r="K189">
        <f>AVERAGE(F189,G189)</f>
        <v>4.5</v>
      </c>
      <c r="L189">
        <f>K189/(H189*(J189/1000))</f>
        <v>44999999.999999993</v>
      </c>
    </row>
    <row r="190" spans="1:12">
      <c r="A190" t="s">
        <v>17</v>
      </c>
      <c r="B190" t="s">
        <v>18</v>
      </c>
      <c r="C190" s="9">
        <f>C166+1</f>
        <v>8.5</v>
      </c>
      <c r="D190" s="9" t="s">
        <v>16</v>
      </c>
      <c r="E190" s="9">
        <v>7</v>
      </c>
      <c r="F190" s="9">
        <v>2</v>
      </c>
      <c r="G190" s="9">
        <v>6</v>
      </c>
      <c r="H190">
        <v>9.9999999999999995E-7</v>
      </c>
      <c r="I190">
        <f>LOG(1/H190)</f>
        <v>6</v>
      </c>
      <c r="J190">
        <v>10</v>
      </c>
      <c r="K190">
        <f>AVERAGE(F190,G190)</f>
        <v>4</v>
      </c>
      <c r="L190">
        <f>K190/(H190*(J190/1000))</f>
        <v>400000000</v>
      </c>
    </row>
    <row r="191" spans="1:12">
      <c r="A191" t="s">
        <v>17</v>
      </c>
      <c r="B191" t="s">
        <v>18</v>
      </c>
      <c r="C191" s="9">
        <f>C167+1</f>
        <v>8.5</v>
      </c>
      <c r="D191" s="9" t="s">
        <v>16</v>
      </c>
      <c r="E191" s="9">
        <v>8</v>
      </c>
      <c r="F191" s="9">
        <v>9</v>
      </c>
      <c r="G191" s="9">
        <v>9</v>
      </c>
      <c r="H191">
        <v>1.0000000000000001E-5</v>
      </c>
      <c r="I191">
        <f>LOG(1/H191)</f>
        <v>5</v>
      </c>
      <c r="J191">
        <v>10</v>
      </c>
      <c r="K191">
        <f>AVERAGE(F191,G191)</f>
        <v>9</v>
      </c>
      <c r="L191">
        <f>K191/(H191*(J191/1000))</f>
        <v>89999999.999999985</v>
      </c>
    </row>
    <row r="192" spans="1:12">
      <c r="A192" t="s">
        <v>17</v>
      </c>
      <c r="B192" t="s">
        <v>18</v>
      </c>
      <c r="C192" s="9">
        <f>C168+1</f>
        <v>8.5</v>
      </c>
      <c r="D192" s="9" t="s">
        <v>16</v>
      </c>
      <c r="E192" s="9">
        <v>9</v>
      </c>
      <c r="F192" s="9">
        <v>9</v>
      </c>
      <c r="G192" s="9">
        <v>8</v>
      </c>
      <c r="H192">
        <v>1.0000000000000001E-5</v>
      </c>
      <c r="I192">
        <f>LOG(1/H192)</f>
        <v>5</v>
      </c>
      <c r="J192">
        <v>10</v>
      </c>
      <c r="K192">
        <f>AVERAGE(F192,G192)</f>
        <v>8.5</v>
      </c>
      <c r="L192">
        <f>K192/(H192*(J192/1000))</f>
        <v>85000000</v>
      </c>
    </row>
    <row r="193" spans="1:12">
      <c r="A193" t="s">
        <v>17</v>
      </c>
      <c r="B193" t="s">
        <v>18</v>
      </c>
      <c r="C193" s="9">
        <f>C169+1</f>
        <v>8.5</v>
      </c>
      <c r="D193" s="9" t="s">
        <v>16</v>
      </c>
      <c r="E193" s="9">
        <v>10</v>
      </c>
      <c r="F193" s="9">
        <v>18</v>
      </c>
      <c r="G193" s="9">
        <v>18</v>
      </c>
      <c r="H193">
        <v>1.0000000000000001E-5</v>
      </c>
      <c r="I193">
        <f>LOG(1/H193)</f>
        <v>5</v>
      </c>
      <c r="J193">
        <v>10</v>
      </c>
      <c r="K193">
        <f>AVERAGE(F193,G193)</f>
        <v>18</v>
      </c>
      <c r="L193">
        <f>K193/(H193*(J193/1000))</f>
        <v>179999999.99999997</v>
      </c>
    </row>
    <row r="194" spans="1:12">
      <c r="A194" t="s">
        <v>17</v>
      </c>
      <c r="B194" t="s">
        <v>18</v>
      </c>
      <c r="C194" s="9">
        <f>C170+1</f>
        <v>9</v>
      </c>
      <c r="D194" s="9" t="s">
        <v>16</v>
      </c>
      <c r="E194" s="9" t="s">
        <v>19</v>
      </c>
      <c r="F194" s="9">
        <v>16</v>
      </c>
      <c r="G194" s="9">
        <v>10</v>
      </c>
      <c r="H194">
        <v>9.9999999999999995E-7</v>
      </c>
      <c r="I194">
        <f>LOG(1/H194)</f>
        <v>6</v>
      </c>
      <c r="J194">
        <v>10</v>
      </c>
      <c r="K194">
        <f>AVERAGE(F194,G194)</f>
        <v>13</v>
      </c>
      <c r="L194">
        <f>K194/(H194*(J194/1000))</f>
        <v>1300000000</v>
      </c>
    </row>
    <row r="195" spans="1:12">
      <c r="A195" t="s">
        <v>17</v>
      </c>
      <c r="B195" t="s">
        <v>18</v>
      </c>
      <c r="C195" s="9">
        <f>C171+1</f>
        <v>9</v>
      </c>
      <c r="D195" s="9" t="s">
        <v>16</v>
      </c>
      <c r="E195" s="9" t="s">
        <v>20</v>
      </c>
      <c r="F195" s="9">
        <v>29</v>
      </c>
      <c r="G195" s="9">
        <v>24</v>
      </c>
      <c r="H195">
        <v>9.9999999999999995E-7</v>
      </c>
      <c r="I195">
        <f>LOG(1/H195)</f>
        <v>6</v>
      </c>
      <c r="J195">
        <v>10</v>
      </c>
      <c r="K195">
        <f>AVERAGE(F195,G195)</f>
        <v>26.5</v>
      </c>
      <c r="L195">
        <f>K195/(H195*(J195/1000))</f>
        <v>2650000000</v>
      </c>
    </row>
    <row r="196" spans="1:12">
      <c r="A196" t="s">
        <v>17</v>
      </c>
      <c r="B196" t="s">
        <v>18</v>
      </c>
      <c r="C196" s="9">
        <f>C172+1</f>
        <v>9</v>
      </c>
      <c r="D196" s="9" t="s">
        <v>16</v>
      </c>
      <c r="E196" s="9" t="s">
        <v>21</v>
      </c>
      <c r="F196" s="9">
        <v>18</v>
      </c>
      <c r="G196" s="9">
        <v>26</v>
      </c>
      <c r="H196">
        <v>9.9999999999999995E-7</v>
      </c>
      <c r="I196">
        <f>LOG(1/H196)</f>
        <v>6</v>
      </c>
      <c r="J196">
        <v>10</v>
      </c>
      <c r="K196">
        <f>AVERAGE(F196,G196)</f>
        <v>22</v>
      </c>
      <c r="L196">
        <f>K196/(H196*(J196/1000))</f>
        <v>2200000000</v>
      </c>
    </row>
    <row r="197" spans="1:12">
      <c r="A197" t="s">
        <v>17</v>
      </c>
      <c r="B197" t="s">
        <v>18</v>
      </c>
      <c r="C197" s="9">
        <f>C173+1</f>
        <v>9</v>
      </c>
      <c r="D197" s="9" t="s">
        <v>16</v>
      </c>
      <c r="E197" s="9" t="s">
        <v>22</v>
      </c>
      <c r="F197" s="9">
        <v>22</v>
      </c>
      <c r="G197" s="9">
        <v>20</v>
      </c>
      <c r="H197">
        <v>9.9999999999999995E-7</v>
      </c>
      <c r="I197">
        <f>LOG(1/H197)</f>
        <v>6</v>
      </c>
      <c r="J197">
        <v>10</v>
      </c>
      <c r="K197">
        <f>AVERAGE(F197,G197)</f>
        <v>21</v>
      </c>
      <c r="L197">
        <f>K197/(H197*(J197/1000))</f>
        <v>2100000000</v>
      </c>
    </row>
    <row r="198" spans="1:12">
      <c r="A198" t="s">
        <v>17</v>
      </c>
      <c r="B198" t="s">
        <v>18</v>
      </c>
      <c r="C198" s="9">
        <f>C174+1</f>
        <v>9</v>
      </c>
      <c r="D198" s="9" t="s">
        <v>16</v>
      </c>
      <c r="E198" s="9">
        <v>1</v>
      </c>
      <c r="F198" s="9">
        <v>5</v>
      </c>
      <c r="G198" s="9">
        <v>3</v>
      </c>
      <c r="H198">
        <v>9.9999999999999995E-7</v>
      </c>
      <c r="I198">
        <f>LOG(1/H198)</f>
        <v>6</v>
      </c>
      <c r="J198">
        <v>10</v>
      </c>
      <c r="K198">
        <f>AVERAGE(F198,G198)</f>
        <v>4</v>
      </c>
      <c r="L198">
        <f>K198/(H198*(J198/1000))</f>
        <v>400000000</v>
      </c>
    </row>
    <row r="199" spans="1:12">
      <c r="A199" t="s">
        <v>17</v>
      </c>
      <c r="B199" t="s">
        <v>18</v>
      </c>
      <c r="C199" s="9">
        <f>C175+1</f>
        <v>9</v>
      </c>
      <c r="D199" s="9" t="s">
        <v>16</v>
      </c>
      <c r="E199" s="9">
        <v>2</v>
      </c>
      <c r="F199" s="9">
        <v>4</v>
      </c>
      <c r="G199" s="9">
        <v>6</v>
      </c>
      <c r="H199">
        <v>9.9999999999999995E-7</v>
      </c>
      <c r="I199">
        <f>LOG(1/H199)</f>
        <v>6</v>
      </c>
      <c r="J199">
        <v>10</v>
      </c>
      <c r="K199">
        <f>AVERAGE(F199,G199)</f>
        <v>5</v>
      </c>
      <c r="L199">
        <f>K199/(H199*(J199/1000))</f>
        <v>500000000</v>
      </c>
    </row>
    <row r="200" spans="1:12">
      <c r="A200" t="s">
        <v>17</v>
      </c>
      <c r="B200" t="s">
        <v>18</v>
      </c>
      <c r="C200" s="9">
        <f>C176+1</f>
        <v>9</v>
      </c>
      <c r="D200" s="9" t="s">
        <v>16</v>
      </c>
      <c r="E200" s="9">
        <v>3</v>
      </c>
      <c r="F200" s="9">
        <v>4</v>
      </c>
      <c r="G200" s="9">
        <v>4</v>
      </c>
      <c r="H200">
        <v>9.9999999999999995E-7</v>
      </c>
      <c r="I200">
        <f>LOG(1/H200)</f>
        <v>6</v>
      </c>
      <c r="J200">
        <v>10</v>
      </c>
      <c r="K200">
        <f>AVERAGE(F200,G200)</f>
        <v>4</v>
      </c>
      <c r="L200">
        <f>K200/(H200*(J200/1000))</f>
        <v>400000000</v>
      </c>
    </row>
    <row r="201" spans="1:12">
      <c r="A201" t="s">
        <v>17</v>
      </c>
      <c r="B201" t="s">
        <v>18</v>
      </c>
      <c r="C201" s="9">
        <f>C177+1</f>
        <v>9</v>
      </c>
      <c r="D201" s="9" t="s">
        <v>16</v>
      </c>
      <c r="E201" s="9">
        <v>4</v>
      </c>
      <c r="F201" s="9">
        <v>8</v>
      </c>
      <c r="G201" s="9">
        <v>10</v>
      </c>
      <c r="H201">
        <v>9.9999999999999995E-7</v>
      </c>
      <c r="I201">
        <f>LOG(1/H201)</f>
        <v>6</v>
      </c>
      <c r="J201">
        <v>10</v>
      </c>
      <c r="K201">
        <f>AVERAGE(F201,G201)</f>
        <v>9</v>
      </c>
      <c r="L201">
        <f>K201/(H201*(J201/1000))</f>
        <v>900000000</v>
      </c>
    </row>
    <row r="202" spans="1:12">
      <c r="A202" t="s">
        <v>17</v>
      </c>
      <c r="B202" t="s">
        <v>18</v>
      </c>
      <c r="C202" s="9">
        <f>C178+1</f>
        <v>9</v>
      </c>
      <c r="D202" s="9" t="s">
        <v>16</v>
      </c>
      <c r="E202" s="9">
        <v>5</v>
      </c>
      <c r="F202" s="9">
        <v>11</v>
      </c>
      <c r="G202" s="9">
        <v>8</v>
      </c>
      <c r="H202">
        <v>9.9999999999999995E-7</v>
      </c>
      <c r="I202">
        <f>LOG(1/H202)</f>
        <v>6</v>
      </c>
      <c r="J202">
        <v>10</v>
      </c>
      <c r="K202">
        <f>AVERAGE(F202,G202)</f>
        <v>9.5</v>
      </c>
      <c r="L202">
        <f>K202/(H202*(J202/1000))</f>
        <v>950000000</v>
      </c>
    </row>
    <row r="203" spans="1:12">
      <c r="A203" t="s">
        <v>17</v>
      </c>
      <c r="B203" t="s">
        <v>18</v>
      </c>
      <c r="C203" s="9">
        <f>C179+1</f>
        <v>9</v>
      </c>
      <c r="D203" s="9" t="s">
        <v>16</v>
      </c>
      <c r="E203" s="9">
        <v>6</v>
      </c>
      <c r="F203" s="9">
        <v>13</v>
      </c>
      <c r="G203" s="9">
        <v>4</v>
      </c>
      <c r="H203">
        <v>9.9999999999999995E-7</v>
      </c>
      <c r="I203">
        <f>LOG(1/H203)</f>
        <v>6</v>
      </c>
      <c r="J203">
        <v>10</v>
      </c>
      <c r="K203">
        <f>AVERAGE(F203,G203)</f>
        <v>8.5</v>
      </c>
      <c r="L203">
        <f>K203/(H203*(J203/1000))</f>
        <v>850000000</v>
      </c>
    </row>
    <row r="204" spans="1:12">
      <c r="A204" t="s">
        <v>17</v>
      </c>
      <c r="B204" t="s">
        <v>18</v>
      </c>
      <c r="C204" s="9">
        <f>C180+1</f>
        <v>9</v>
      </c>
      <c r="D204" s="9" t="s">
        <v>16</v>
      </c>
      <c r="E204" s="9">
        <v>7</v>
      </c>
      <c r="F204" s="9">
        <v>16</v>
      </c>
      <c r="G204" s="9">
        <v>8</v>
      </c>
      <c r="H204">
        <v>9.9999999999999995E-7</v>
      </c>
      <c r="I204">
        <f>LOG(1/H204)</f>
        <v>6</v>
      </c>
      <c r="J204">
        <v>10</v>
      </c>
      <c r="K204">
        <f>AVERAGE(F204,G204)</f>
        <v>12</v>
      </c>
      <c r="L204">
        <f>K204/(H204*(J204/1000))</f>
        <v>1200000000</v>
      </c>
    </row>
    <row r="205" spans="1:12">
      <c r="A205" t="s">
        <v>17</v>
      </c>
      <c r="B205" t="s">
        <v>18</v>
      </c>
      <c r="C205" s="9">
        <f>C181+1</f>
        <v>9</v>
      </c>
      <c r="D205" s="9" t="s">
        <v>16</v>
      </c>
      <c r="E205" s="9">
        <v>8</v>
      </c>
      <c r="F205" s="9">
        <v>12</v>
      </c>
      <c r="G205" s="9">
        <v>7</v>
      </c>
      <c r="H205">
        <v>9.9999999999999995E-7</v>
      </c>
      <c r="I205">
        <f>LOG(1/H205)</f>
        <v>6</v>
      </c>
      <c r="J205">
        <v>10</v>
      </c>
      <c r="K205">
        <f>AVERAGE(F205,G205)</f>
        <v>9.5</v>
      </c>
      <c r="L205">
        <f>K205/(H205*(J205/1000))</f>
        <v>950000000</v>
      </c>
    </row>
    <row r="206" spans="1:12">
      <c r="A206" t="s">
        <v>17</v>
      </c>
      <c r="B206" t="s">
        <v>18</v>
      </c>
      <c r="C206" s="9">
        <f>C182+1</f>
        <v>9</v>
      </c>
      <c r="D206" s="9" t="s">
        <v>16</v>
      </c>
      <c r="E206" s="9">
        <v>9</v>
      </c>
      <c r="F206" s="9">
        <v>1</v>
      </c>
      <c r="G206" s="9">
        <v>7</v>
      </c>
      <c r="H206">
        <v>9.9999999999999995E-7</v>
      </c>
      <c r="I206">
        <f>LOG(1/H206)</f>
        <v>6</v>
      </c>
      <c r="J206">
        <v>10</v>
      </c>
      <c r="K206">
        <f>AVERAGE(F206,G206)</f>
        <v>4</v>
      </c>
      <c r="L206">
        <f>K206/(H206*(J206/1000))</f>
        <v>400000000</v>
      </c>
    </row>
    <row r="207" spans="1:12">
      <c r="A207" t="s">
        <v>17</v>
      </c>
      <c r="B207" t="s">
        <v>18</v>
      </c>
      <c r="C207" s="9">
        <f>C183+1</f>
        <v>9</v>
      </c>
      <c r="D207" s="9" t="s">
        <v>16</v>
      </c>
      <c r="E207" s="9">
        <v>10</v>
      </c>
      <c r="F207" s="9">
        <v>9</v>
      </c>
      <c r="G207" s="9">
        <v>7</v>
      </c>
      <c r="H207">
        <v>9.9999999999999995E-7</v>
      </c>
      <c r="I207">
        <f>LOG(1/H207)</f>
        <v>6</v>
      </c>
      <c r="J207">
        <v>10</v>
      </c>
      <c r="K207">
        <f>AVERAGE(F207,G207)</f>
        <v>8</v>
      </c>
      <c r="L207">
        <f>K207/(H207*(J207/1000))</f>
        <v>800000000</v>
      </c>
    </row>
    <row r="208" spans="1:12">
      <c r="A208" t="s">
        <v>17</v>
      </c>
      <c r="B208" t="s">
        <v>18</v>
      </c>
      <c r="C208" s="9">
        <f>C184+1</f>
        <v>9.5</v>
      </c>
      <c r="D208" s="9" t="s">
        <v>16</v>
      </c>
      <c r="E208" s="9">
        <v>1</v>
      </c>
      <c r="F208" s="9">
        <v>5</v>
      </c>
      <c r="G208" s="9">
        <v>7</v>
      </c>
      <c r="H208">
        <v>1.0000000000000001E-5</v>
      </c>
      <c r="I208">
        <f>LOG(1/H208)</f>
        <v>5</v>
      </c>
      <c r="J208">
        <v>10</v>
      </c>
      <c r="K208">
        <f>AVERAGE(F208,G208)</f>
        <v>6</v>
      </c>
      <c r="L208">
        <f>K208/(H208*(J208/1000))</f>
        <v>59999999.999999993</v>
      </c>
    </row>
    <row r="209" spans="1:12">
      <c r="A209" t="s">
        <v>17</v>
      </c>
      <c r="B209" t="s">
        <v>18</v>
      </c>
      <c r="C209" s="9">
        <f>C185+1</f>
        <v>9.5</v>
      </c>
      <c r="D209" s="9" t="s">
        <v>16</v>
      </c>
      <c r="E209" s="9">
        <v>2</v>
      </c>
      <c r="F209" s="9">
        <v>8</v>
      </c>
      <c r="G209" s="9">
        <v>11</v>
      </c>
      <c r="H209">
        <v>1.0000000000000001E-5</v>
      </c>
      <c r="I209">
        <f>LOG(1/H209)</f>
        <v>5</v>
      </c>
      <c r="J209">
        <v>10</v>
      </c>
      <c r="K209">
        <f>AVERAGE(F209,G209)</f>
        <v>9.5</v>
      </c>
      <c r="L209">
        <f>K209/(H209*(J209/1000))</f>
        <v>94999999.999999985</v>
      </c>
    </row>
    <row r="210" spans="1:12">
      <c r="A210" t="s">
        <v>17</v>
      </c>
      <c r="B210" t="s">
        <v>18</v>
      </c>
      <c r="C210" s="9">
        <f>C186+1</f>
        <v>9.5</v>
      </c>
      <c r="D210" s="9" t="s">
        <v>16</v>
      </c>
      <c r="E210" s="9">
        <v>3</v>
      </c>
      <c r="F210" s="9">
        <v>11</v>
      </c>
      <c r="G210" s="9">
        <v>10</v>
      </c>
      <c r="H210">
        <v>1.0000000000000001E-5</v>
      </c>
      <c r="I210">
        <f>LOG(1/H210)</f>
        <v>5</v>
      </c>
      <c r="J210">
        <v>10</v>
      </c>
      <c r="K210">
        <f>AVERAGE(F210,G210)</f>
        <v>10.5</v>
      </c>
      <c r="L210">
        <f>K210/(H210*(J210/1000))</f>
        <v>104999999.99999999</v>
      </c>
    </row>
    <row r="211" spans="1:12">
      <c r="A211" t="s">
        <v>17</v>
      </c>
      <c r="B211" t="s">
        <v>18</v>
      </c>
      <c r="C211" s="9">
        <f>C187+1</f>
        <v>9.5</v>
      </c>
      <c r="D211" s="9" t="s">
        <v>16</v>
      </c>
      <c r="E211" s="9">
        <v>4</v>
      </c>
      <c r="F211" s="9">
        <v>21</v>
      </c>
      <c r="G211" s="9">
        <v>13</v>
      </c>
      <c r="H211">
        <v>1.0000000000000001E-5</v>
      </c>
      <c r="I211">
        <f>LOG(1/H211)</f>
        <v>5</v>
      </c>
      <c r="J211">
        <v>10</v>
      </c>
      <c r="K211">
        <f>AVERAGE(F211,G211)</f>
        <v>17</v>
      </c>
      <c r="L211">
        <f>K211/(H211*(J211/1000))</f>
        <v>170000000</v>
      </c>
    </row>
    <row r="212" spans="1:12">
      <c r="A212" t="s">
        <v>17</v>
      </c>
      <c r="B212" t="s">
        <v>18</v>
      </c>
      <c r="C212" s="9">
        <f>C188+1</f>
        <v>9.5</v>
      </c>
      <c r="D212" s="9" t="s">
        <v>16</v>
      </c>
      <c r="E212" s="9">
        <v>5</v>
      </c>
      <c r="F212" s="9">
        <v>25</v>
      </c>
      <c r="G212" s="9">
        <v>31</v>
      </c>
      <c r="H212">
        <v>1.0000000000000001E-5</v>
      </c>
      <c r="I212">
        <f>LOG(1/H212)</f>
        <v>5</v>
      </c>
      <c r="J212">
        <v>10</v>
      </c>
      <c r="K212">
        <f>AVERAGE(F212,G212)</f>
        <v>28</v>
      </c>
      <c r="L212">
        <f>K212/(H212*(J212/1000))</f>
        <v>280000000</v>
      </c>
    </row>
    <row r="213" spans="1:12">
      <c r="A213" t="s">
        <v>17</v>
      </c>
      <c r="B213" t="s">
        <v>18</v>
      </c>
      <c r="C213" s="9">
        <f>C189+1</f>
        <v>9.5</v>
      </c>
      <c r="D213" s="9" t="s">
        <v>16</v>
      </c>
      <c r="E213" s="9">
        <v>6</v>
      </c>
      <c r="F213" s="9">
        <v>12</v>
      </c>
      <c r="G213" s="9">
        <v>8</v>
      </c>
      <c r="H213">
        <v>1.0000000000000001E-5</v>
      </c>
      <c r="I213">
        <f>LOG(1/H213)</f>
        <v>5</v>
      </c>
      <c r="J213">
        <v>10</v>
      </c>
      <c r="K213">
        <f>AVERAGE(F213,G213)</f>
        <v>10</v>
      </c>
      <c r="L213">
        <f>K213/(H213*(J213/1000))</f>
        <v>99999999.999999985</v>
      </c>
    </row>
    <row r="214" spans="1:12">
      <c r="A214" t="s">
        <v>17</v>
      </c>
      <c r="B214" t="s">
        <v>18</v>
      </c>
      <c r="C214" s="9">
        <f>C190+1</f>
        <v>9.5</v>
      </c>
      <c r="D214" s="9" t="s">
        <v>16</v>
      </c>
      <c r="E214" s="9">
        <v>7</v>
      </c>
      <c r="F214" s="9">
        <v>8</v>
      </c>
      <c r="G214" s="9">
        <v>9</v>
      </c>
      <c r="H214">
        <v>9.9999999999999995E-7</v>
      </c>
      <c r="I214">
        <f>LOG(1/H214)</f>
        <v>6</v>
      </c>
      <c r="J214">
        <v>10</v>
      </c>
      <c r="K214">
        <f>AVERAGE(F214,G214)</f>
        <v>8.5</v>
      </c>
      <c r="L214">
        <f>K214/(H214*(J214/1000))</f>
        <v>850000000</v>
      </c>
    </row>
    <row r="215" spans="1:12">
      <c r="A215" t="s">
        <v>17</v>
      </c>
      <c r="B215" t="s">
        <v>18</v>
      </c>
      <c r="C215" s="9">
        <f>C191+1</f>
        <v>9.5</v>
      </c>
      <c r="D215" s="9" t="s">
        <v>16</v>
      </c>
      <c r="E215" s="9">
        <v>8</v>
      </c>
      <c r="F215" s="9">
        <v>17</v>
      </c>
      <c r="G215" s="9">
        <v>19</v>
      </c>
      <c r="H215">
        <v>1.0000000000000001E-5</v>
      </c>
      <c r="I215">
        <f>LOG(1/H215)</f>
        <v>5</v>
      </c>
      <c r="J215">
        <v>10</v>
      </c>
      <c r="K215">
        <f>AVERAGE(F215,G215)</f>
        <v>18</v>
      </c>
      <c r="L215">
        <f>K215/(H215*(J215/1000))</f>
        <v>179999999.99999997</v>
      </c>
    </row>
    <row r="216" spans="1:12">
      <c r="A216" t="s">
        <v>17</v>
      </c>
      <c r="B216" t="s">
        <v>18</v>
      </c>
      <c r="C216" s="9">
        <f>C192+1</f>
        <v>9.5</v>
      </c>
      <c r="D216" s="9" t="s">
        <v>16</v>
      </c>
      <c r="E216" s="9">
        <v>9</v>
      </c>
      <c r="F216" s="9">
        <v>6</v>
      </c>
      <c r="G216" s="9">
        <v>5</v>
      </c>
      <c r="H216">
        <v>1.0000000000000001E-5</v>
      </c>
      <c r="I216">
        <f>LOG(1/H216)</f>
        <v>5</v>
      </c>
      <c r="J216">
        <v>10</v>
      </c>
      <c r="K216">
        <f>AVERAGE(F216,G216)</f>
        <v>5.5</v>
      </c>
      <c r="L216">
        <f>K216/(H216*(J216/1000))</f>
        <v>54999999.999999993</v>
      </c>
    </row>
    <row r="217" spans="1:12">
      <c r="A217" t="s">
        <v>17</v>
      </c>
      <c r="B217" t="s">
        <v>18</v>
      </c>
      <c r="C217" s="9">
        <f>C193+1</f>
        <v>9.5</v>
      </c>
      <c r="D217" s="9" t="s">
        <v>16</v>
      </c>
      <c r="E217" s="9">
        <v>10</v>
      </c>
      <c r="F217" s="9">
        <v>4</v>
      </c>
      <c r="G217" s="9">
        <v>8</v>
      </c>
      <c r="H217">
        <v>9.9999999999999995E-7</v>
      </c>
      <c r="I217">
        <f>LOG(1/H217)</f>
        <v>6</v>
      </c>
      <c r="J217">
        <v>10</v>
      </c>
      <c r="K217">
        <f>AVERAGE(F217,G217)</f>
        <v>6</v>
      </c>
      <c r="L217">
        <f>K217/(H217*(J217/1000))</f>
        <v>600000000</v>
      </c>
    </row>
    <row r="218" spans="1:12">
      <c r="A218" t="s">
        <v>17</v>
      </c>
      <c r="B218" t="s">
        <v>18</v>
      </c>
      <c r="C218" s="9">
        <f>C194+1</f>
        <v>10</v>
      </c>
      <c r="D218" s="9" t="s">
        <v>16</v>
      </c>
      <c r="E218" s="9" t="s">
        <v>19</v>
      </c>
      <c r="F218" s="9">
        <v>9</v>
      </c>
      <c r="G218" s="9">
        <v>3</v>
      </c>
      <c r="H218">
        <v>9.9999999999999995E-7</v>
      </c>
      <c r="I218">
        <f>LOG(1/H218)</f>
        <v>6</v>
      </c>
      <c r="J218">
        <v>10</v>
      </c>
      <c r="K218">
        <f>AVERAGE(F218,G218)</f>
        <v>6</v>
      </c>
      <c r="L218">
        <f>K218/(H218*(J218/1000))</f>
        <v>600000000</v>
      </c>
    </row>
    <row r="219" spans="1:12">
      <c r="A219" t="s">
        <v>17</v>
      </c>
      <c r="B219" t="s">
        <v>18</v>
      </c>
      <c r="C219" s="9">
        <f>C195+1</f>
        <v>10</v>
      </c>
      <c r="D219" s="9" t="s">
        <v>16</v>
      </c>
      <c r="E219" s="9" t="s">
        <v>20</v>
      </c>
      <c r="F219" s="9">
        <v>11</v>
      </c>
      <c r="G219" s="9">
        <v>9</v>
      </c>
      <c r="H219">
        <v>9.9999999999999995E-7</v>
      </c>
      <c r="I219">
        <f>LOG(1/H219)</f>
        <v>6</v>
      </c>
      <c r="J219">
        <v>10</v>
      </c>
      <c r="K219">
        <f>AVERAGE(F219,G219)</f>
        <v>10</v>
      </c>
      <c r="L219">
        <f>K219/(H219*(J219/1000))</f>
        <v>1000000000</v>
      </c>
    </row>
    <row r="220" spans="1:12">
      <c r="A220" t="s">
        <v>17</v>
      </c>
      <c r="B220" t="s">
        <v>18</v>
      </c>
      <c r="C220" s="9">
        <f>C196+1</f>
        <v>10</v>
      </c>
      <c r="D220" s="9" t="s">
        <v>16</v>
      </c>
      <c r="E220" s="9" t="s">
        <v>21</v>
      </c>
      <c r="F220" s="9">
        <v>4</v>
      </c>
      <c r="G220" s="9">
        <v>10</v>
      </c>
      <c r="H220">
        <v>9.9999999999999995E-7</v>
      </c>
      <c r="I220">
        <f>LOG(1/H220)</f>
        <v>6</v>
      </c>
      <c r="J220">
        <v>10</v>
      </c>
      <c r="K220">
        <f>AVERAGE(F220,G220)</f>
        <v>7</v>
      </c>
      <c r="L220">
        <f>K220/(H220*(J220/1000))</f>
        <v>700000000</v>
      </c>
    </row>
    <row r="221" spans="1:12">
      <c r="A221" t="s">
        <v>17</v>
      </c>
      <c r="B221" t="s">
        <v>18</v>
      </c>
      <c r="C221" s="9">
        <f>C197+1</f>
        <v>10</v>
      </c>
      <c r="D221" s="9" t="s">
        <v>16</v>
      </c>
      <c r="E221" s="9" t="s">
        <v>22</v>
      </c>
      <c r="F221" s="9">
        <v>9</v>
      </c>
      <c r="G221" s="9">
        <v>13</v>
      </c>
      <c r="H221">
        <v>9.9999999999999995E-7</v>
      </c>
      <c r="I221">
        <f>LOG(1/H221)</f>
        <v>6</v>
      </c>
      <c r="J221">
        <v>10</v>
      </c>
      <c r="K221">
        <f>AVERAGE(F221,G221)</f>
        <v>11</v>
      </c>
      <c r="L221">
        <f>K221/(H221*(J221/1000))</f>
        <v>1100000000</v>
      </c>
    </row>
    <row r="222" spans="1:12">
      <c r="A222" t="s">
        <v>17</v>
      </c>
      <c r="B222" t="s">
        <v>18</v>
      </c>
      <c r="C222" s="9">
        <f>C198+1</f>
        <v>10</v>
      </c>
      <c r="D222" s="9" t="s">
        <v>16</v>
      </c>
      <c r="E222" s="9">
        <v>1</v>
      </c>
      <c r="F222" s="9">
        <v>1</v>
      </c>
      <c r="G222" s="9">
        <v>5</v>
      </c>
      <c r="H222">
        <v>9.9999999999999995E-7</v>
      </c>
      <c r="I222">
        <f>LOG(1/H222)</f>
        <v>6</v>
      </c>
      <c r="J222">
        <v>10</v>
      </c>
      <c r="K222">
        <f>AVERAGE(F222,G222)</f>
        <v>3</v>
      </c>
      <c r="L222">
        <f>K222/(H222*(J222/1000))</f>
        <v>300000000</v>
      </c>
    </row>
    <row r="223" spans="1:12">
      <c r="A223" t="s">
        <v>17</v>
      </c>
      <c r="B223" t="s">
        <v>18</v>
      </c>
      <c r="C223" s="9">
        <f>C199+1</f>
        <v>10</v>
      </c>
      <c r="D223" s="9" t="s">
        <v>16</v>
      </c>
      <c r="E223" s="9">
        <v>2</v>
      </c>
      <c r="F223" s="9">
        <v>3</v>
      </c>
      <c r="G223" s="9">
        <v>4</v>
      </c>
      <c r="H223">
        <v>9.9999999999999995E-7</v>
      </c>
      <c r="I223">
        <f>LOG(1/H223)</f>
        <v>6</v>
      </c>
      <c r="J223">
        <v>10</v>
      </c>
      <c r="K223">
        <f>AVERAGE(F223,G223)</f>
        <v>3.5</v>
      </c>
      <c r="L223">
        <f>K223/(H223*(J223/1000))</f>
        <v>350000000</v>
      </c>
    </row>
    <row r="224" spans="1:12">
      <c r="A224" t="s">
        <v>17</v>
      </c>
      <c r="B224" t="s">
        <v>18</v>
      </c>
      <c r="C224" s="9">
        <f>C200+1</f>
        <v>10</v>
      </c>
      <c r="D224" s="9" t="s">
        <v>16</v>
      </c>
      <c r="E224" s="9">
        <v>3</v>
      </c>
      <c r="F224" s="9">
        <v>3</v>
      </c>
      <c r="G224" s="9">
        <v>8</v>
      </c>
      <c r="H224">
        <v>9.9999999999999995E-7</v>
      </c>
      <c r="I224">
        <f>LOG(1/H224)</f>
        <v>6</v>
      </c>
      <c r="J224">
        <v>10</v>
      </c>
      <c r="K224">
        <f>AVERAGE(F224,G224)</f>
        <v>5.5</v>
      </c>
      <c r="L224">
        <f>K224/(H224*(J224/1000))</f>
        <v>550000000</v>
      </c>
    </row>
    <row r="225" spans="1:12">
      <c r="A225" t="s">
        <v>17</v>
      </c>
      <c r="B225" t="s">
        <v>18</v>
      </c>
      <c r="C225" s="9">
        <f>C201+1</f>
        <v>10</v>
      </c>
      <c r="D225" s="9" t="s">
        <v>16</v>
      </c>
      <c r="E225" s="9">
        <v>4</v>
      </c>
      <c r="F225" s="9">
        <v>5</v>
      </c>
      <c r="G225" s="9">
        <v>6</v>
      </c>
      <c r="H225">
        <v>9.9999999999999995E-7</v>
      </c>
      <c r="I225">
        <f>LOG(1/H225)</f>
        <v>6</v>
      </c>
      <c r="J225">
        <v>10</v>
      </c>
      <c r="K225">
        <f>AVERAGE(F225,G225)</f>
        <v>5.5</v>
      </c>
      <c r="L225">
        <f>K225/(H225*(J225/1000))</f>
        <v>550000000</v>
      </c>
    </row>
    <row r="226" spans="1:12">
      <c r="A226" t="s">
        <v>17</v>
      </c>
      <c r="B226" t="s">
        <v>18</v>
      </c>
      <c r="C226" s="9">
        <f>C202+1</f>
        <v>10</v>
      </c>
      <c r="D226" s="9" t="s">
        <v>16</v>
      </c>
      <c r="E226" s="9">
        <v>5</v>
      </c>
      <c r="F226" s="9">
        <v>4</v>
      </c>
      <c r="G226" s="9">
        <v>5</v>
      </c>
      <c r="H226">
        <v>9.9999999999999995E-7</v>
      </c>
      <c r="I226">
        <f>LOG(1/H226)</f>
        <v>6</v>
      </c>
      <c r="J226">
        <v>10</v>
      </c>
      <c r="K226">
        <f>AVERAGE(F226,G226)</f>
        <v>4.5</v>
      </c>
      <c r="L226">
        <f>K226/(H226*(J226/1000))</f>
        <v>450000000</v>
      </c>
    </row>
    <row r="227" spans="1:12">
      <c r="A227" t="s">
        <v>17</v>
      </c>
      <c r="B227" t="s">
        <v>18</v>
      </c>
      <c r="C227" s="9">
        <f>C203+1</f>
        <v>10</v>
      </c>
      <c r="D227" s="9" t="s">
        <v>16</v>
      </c>
      <c r="E227" s="9">
        <v>6</v>
      </c>
      <c r="F227" s="9">
        <v>1</v>
      </c>
      <c r="G227" s="9">
        <v>5</v>
      </c>
      <c r="H227">
        <v>9.9999999999999995E-7</v>
      </c>
      <c r="I227">
        <f>LOG(1/H227)</f>
        <v>6</v>
      </c>
      <c r="J227">
        <v>10</v>
      </c>
      <c r="K227">
        <f>AVERAGE(F227,G227)</f>
        <v>3</v>
      </c>
      <c r="L227">
        <f>K227/(H227*(J227/1000))</f>
        <v>300000000</v>
      </c>
    </row>
    <row r="228" spans="1:12">
      <c r="A228" t="s">
        <v>17</v>
      </c>
      <c r="B228" t="s">
        <v>18</v>
      </c>
      <c r="C228" s="9">
        <f>C204+1</f>
        <v>10</v>
      </c>
      <c r="D228" s="9" t="s">
        <v>16</v>
      </c>
      <c r="E228" s="9">
        <v>7</v>
      </c>
      <c r="F228" s="9">
        <v>12</v>
      </c>
      <c r="G228" s="9">
        <v>12</v>
      </c>
      <c r="H228">
        <v>9.9999999999999995E-7</v>
      </c>
      <c r="I228">
        <f>LOG(1/H228)</f>
        <v>6</v>
      </c>
      <c r="J228">
        <v>10</v>
      </c>
      <c r="K228">
        <f>AVERAGE(F228,G228)</f>
        <v>12</v>
      </c>
      <c r="L228">
        <f>K228/(H228*(J228/1000))</f>
        <v>1200000000</v>
      </c>
    </row>
    <row r="229" spans="1:12">
      <c r="A229" t="s">
        <v>17</v>
      </c>
      <c r="B229" t="s">
        <v>18</v>
      </c>
      <c r="C229" s="9">
        <f>C205+1</f>
        <v>10</v>
      </c>
      <c r="D229" s="9" t="s">
        <v>16</v>
      </c>
      <c r="E229" s="9">
        <v>8</v>
      </c>
      <c r="F229" s="9">
        <v>5</v>
      </c>
      <c r="G229" s="9">
        <v>5</v>
      </c>
      <c r="H229">
        <v>9.9999999999999995E-7</v>
      </c>
      <c r="I229">
        <f>LOG(1/H229)</f>
        <v>6</v>
      </c>
      <c r="J229">
        <v>10</v>
      </c>
      <c r="K229">
        <f>AVERAGE(F229,G229)</f>
        <v>5</v>
      </c>
      <c r="L229">
        <f>K229/(H229*(J229/1000))</f>
        <v>500000000</v>
      </c>
    </row>
    <row r="230" spans="1:12">
      <c r="A230" t="s">
        <v>17</v>
      </c>
      <c r="B230" t="s">
        <v>18</v>
      </c>
      <c r="C230" s="9">
        <f>C206+1</f>
        <v>10</v>
      </c>
      <c r="D230" s="9" t="s">
        <v>16</v>
      </c>
      <c r="E230" s="9">
        <v>9</v>
      </c>
      <c r="F230" s="9">
        <v>3</v>
      </c>
      <c r="G230" s="9">
        <v>2</v>
      </c>
      <c r="H230">
        <v>9.9999999999999995E-7</v>
      </c>
      <c r="I230">
        <f>LOG(1/H230)</f>
        <v>6</v>
      </c>
      <c r="J230">
        <v>10</v>
      </c>
      <c r="K230">
        <f>AVERAGE(F230,G230)</f>
        <v>2.5</v>
      </c>
      <c r="L230">
        <f>K230/(H230*(J230/1000))</f>
        <v>250000000</v>
      </c>
    </row>
    <row r="231" spans="1:12">
      <c r="A231" t="s">
        <v>17</v>
      </c>
      <c r="B231" t="s">
        <v>18</v>
      </c>
      <c r="C231" s="9">
        <f>C207+1</f>
        <v>10</v>
      </c>
      <c r="D231" s="9" t="s">
        <v>16</v>
      </c>
      <c r="E231" s="9">
        <v>10</v>
      </c>
      <c r="F231" s="9">
        <v>7</v>
      </c>
      <c r="G231" s="9">
        <v>8</v>
      </c>
      <c r="H231">
        <v>9.9999999999999995E-7</v>
      </c>
      <c r="I231">
        <f>LOG(1/H231)</f>
        <v>6</v>
      </c>
      <c r="J231">
        <v>10</v>
      </c>
      <c r="K231">
        <f>AVERAGE(F231,G231)</f>
        <v>7.5</v>
      </c>
      <c r="L231">
        <f>K231/(H231*(J231/1000))</f>
        <v>750000000</v>
      </c>
    </row>
    <row r="232" spans="1:12">
      <c r="A232" t="s">
        <v>17</v>
      </c>
      <c r="B232" t="s">
        <v>18</v>
      </c>
      <c r="C232" s="9">
        <f>C208+1</f>
        <v>10.5</v>
      </c>
      <c r="D232" s="9" t="s">
        <v>16</v>
      </c>
      <c r="E232" s="9">
        <v>1</v>
      </c>
      <c r="F232" s="9">
        <v>10</v>
      </c>
      <c r="G232" s="9">
        <v>10</v>
      </c>
      <c r="H232">
        <v>1.0000000000000001E-5</v>
      </c>
      <c r="I232">
        <f>LOG(1/H232)</f>
        <v>5</v>
      </c>
      <c r="J232">
        <v>10</v>
      </c>
      <c r="K232">
        <f>AVERAGE(F232,G232)</f>
        <v>10</v>
      </c>
      <c r="L232">
        <f>K232/(H232*(J232/1000))</f>
        <v>99999999.999999985</v>
      </c>
    </row>
    <row r="233" spans="1:12">
      <c r="A233" t="s">
        <v>17</v>
      </c>
      <c r="B233" t="s">
        <v>18</v>
      </c>
      <c r="C233" s="9">
        <f>C209+1</f>
        <v>10.5</v>
      </c>
      <c r="D233" s="9" t="s">
        <v>16</v>
      </c>
      <c r="E233" s="9">
        <v>2</v>
      </c>
      <c r="F233" s="9">
        <v>7</v>
      </c>
      <c r="G233" s="9">
        <v>6</v>
      </c>
      <c r="H233">
        <v>1.0000000000000001E-5</v>
      </c>
      <c r="I233">
        <f>LOG(1/H233)</f>
        <v>5</v>
      </c>
      <c r="J233">
        <v>10</v>
      </c>
      <c r="K233">
        <f>AVERAGE(F233,G233)</f>
        <v>6.5</v>
      </c>
      <c r="L233">
        <f>K233/(H233*(J233/1000))</f>
        <v>64999999.999999993</v>
      </c>
    </row>
    <row r="234" spans="1:12">
      <c r="A234" t="s">
        <v>17</v>
      </c>
      <c r="B234" t="s">
        <v>18</v>
      </c>
      <c r="C234" s="9">
        <f>C210+1</f>
        <v>10.5</v>
      </c>
      <c r="D234" s="9" t="s">
        <v>16</v>
      </c>
      <c r="E234" s="9">
        <v>3</v>
      </c>
      <c r="F234" s="9">
        <v>4</v>
      </c>
      <c r="G234" s="9">
        <v>7</v>
      </c>
      <c r="H234">
        <v>1.0000000000000001E-5</v>
      </c>
      <c r="I234">
        <f>LOG(1/H234)</f>
        <v>5</v>
      </c>
      <c r="J234">
        <v>10</v>
      </c>
      <c r="K234">
        <f>AVERAGE(F234,G234)</f>
        <v>5.5</v>
      </c>
      <c r="L234">
        <f>K234/(H234*(J234/1000))</f>
        <v>54999999.999999993</v>
      </c>
    </row>
    <row r="235" spans="1:12">
      <c r="A235" t="s">
        <v>17</v>
      </c>
      <c r="B235" t="s">
        <v>18</v>
      </c>
      <c r="C235" s="9">
        <f>C211+1</f>
        <v>10.5</v>
      </c>
      <c r="D235" s="9" t="s">
        <v>16</v>
      </c>
      <c r="E235" s="9">
        <v>4</v>
      </c>
      <c r="F235" s="9">
        <v>7</v>
      </c>
      <c r="G235" s="9">
        <v>5</v>
      </c>
      <c r="H235">
        <v>1.0000000000000001E-5</v>
      </c>
      <c r="I235">
        <f>LOG(1/H235)</f>
        <v>5</v>
      </c>
      <c r="J235">
        <v>10</v>
      </c>
      <c r="K235">
        <f>AVERAGE(F235,G235)</f>
        <v>6</v>
      </c>
      <c r="L235">
        <f>K235/(H235*(J235/1000))</f>
        <v>59999999.999999993</v>
      </c>
    </row>
    <row r="236" spans="1:12">
      <c r="A236" t="s">
        <v>17</v>
      </c>
      <c r="B236" t="s">
        <v>18</v>
      </c>
      <c r="C236" s="9">
        <f>C212+1</f>
        <v>10.5</v>
      </c>
      <c r="D236" s="9" t="s">
        <v>16</v>
      </c>
      <c r="E236" s="9">
        <v>5</v>
      </c>
      <c r="F236" s="9">
        <v>5</v>
      </c>
      <c r="G236" s="9">
        <v>12</v>
      </c>
      <c r="H236">
        <v>1.0000000000000001E-5</v>
      </c>
      <c r="I236">
        <f>LOG(1/H236)</f>
        <v>5</v>
      </c>
      <c r="J236">
        <v>10</v>
      </c>
      <c r="K236">
        <f>AVERAGE(F236,G236)</f>
        <v>8.5</v>
      </c>
      <c r="L236">
        <f>K236/(H236*(J236/1000))</f>
        <v>85000000</v>
      </c>
    </row>
    <row r="237" spans="1:12">
      <c r="A237" t="s">
        <v>17</v>
      </c>
      <c r="B237" t="s">
        <v>18</v>
      </c>
      <c r="C237" s="9">
        <f>C213+1</f>
        <v>10.5</v>
      </c>
      <c r="D237" s="9" t="s">
        <v>16</v>
      </c>
      <c r="E237" s="9">
        <v>6</v>
      </c>
      <c r="F237" s="9">
        <v>27</v>
      </c>
      <c r="G237" s="10">
        <v>50</v>
      </c>
      <c r="H237">
        <v>1E-4</v>
      </c>
      <c r="I237">
        <f>LOG(1/H237)</f>
        <v>4</v>
      </c>
      <c r="J237">
        <v>10</v>
      </c>
      <c r="K237">
        <f>AVERAGE(F237,G237)</f>
        <v>38.5</v>
      </c>
      <c r="L237">
        <f>K237/(H237*(J237/1000))</f>
        <v>38499999.999999993</v>
      </c>
    </row>
    <row r="238" spans="1:12">
      <c r="A238" t="s">
        <v>17</v>
      </c>
      <c r="B238" t="s">
        <v>18</v>
      </c>
      <c r="C238" s="9">
        <f>C214+1</f>
        <v>10.5</v>
      </c>
      <c r="D238" s="9" t="s">
        <v>16</v>
      </c>
      <c r="E238" s="9">
        <v>7</v>
      </c>
      <c r="F238" s="10">
        <v>30</v>
      </c>
      <c r="G238" s="9">
        <v>21</v>
      </c>
      <c r="H238">
        <v>1.0000000000000001E-5</v>
      </c>
      <c r="I238">
        <f>LOG(1/H238)</f>
        <v>5</v>
      </c>
      <c r="J238">
        <v>10</v>
      </c>
      <c r="K238">
        <f>AVERAGE(F238,G238)</f>
        <v>25.5</v>
      </c>
      <c r="L238">
        <f>K238/(H238*(J238/1000))</f>
        <v>254999999.99999997</v>
      </c>
    </row>
    <row r="239" spans="1:12">
      <c r="A239" t="s">
        <v>17</v>
      </c>
      <c r="B239" t="s">
        <v>18</v>
      </c>
      <c r="C239" s="9">
        <f>C215+1</f>
        <v>10.5</v>
      </c>
      <c r="D239" s="9" t="s">
        <v>16</v>
      </c>
      <c r="E239" s="9">
        <v>8</v>
      </c>
      <c r="F239" s="9">
        <v>7</v>
      </c>
      <c r="G239" s="9">
        <v>4</v>
      </c>
      <c r="H239">
        <v>1.0000000000000001E-5</v>
      </c>
      <c r="I239">
        <f>LOG(1/H239)</f>
        <v>5</v>
      </c>
      <c r="J239">
        <v>10</v>
      </c>
      <c r="K239">
        <f>AVERAGE(F239,G239)</f>
        <v>5.5</v>
      </c>
      <c r="L239">
        <f>K239/(H239*(J239/1000))</f>
        <v>54999999.999999993</v>
      </c>
    </row>
    <row r="240" spans="1:12">
      <c r="A240" t="s">
        <v>17</v>
      </c>
      <c r="B240" t="s">
        <v>18</v>
      </c>
      <c r="C240" s="9">
        <f>C216+1</f>
        <v>10.5</v>
      </c>
      <c r="D240" s="9" t="s">
        <v>16</v>
      </c>
      <c r="E240" s="9">
        <v>9</v>
      </c>
      <c r="F240" s="9">
        <v>5</v>
      </c>
      <c r="G240" s="9">
        <v>11</v>
      </c>
      <c r="H240">
        <v>1.0000000000000001E-5</v>
      </c>
      <c r="I240">
        <f>LOG(1/H240)</f>
        <v>5</v>
      </c>
      <c r="J240">
        <v>10</v>
      </c>
      <c r="K240">
        <f>AVERAGE(F240,G240)</f>
        <v>8</v>
      </c>
      <c r="L240">
        <f>K240/(H240*(J240/1000))</f>
        <v>80000000</v>
      </c>
    </row>
    <row r="241" spans="1:12">
      <c r="A241" t="s">
        <v>17</v>
      </c>
      <c r="B241" t="s">
        <v>18</v>
      </c>
      <c r="C241" s="9">
        <f>C217+1</f>
        <v>10.5</v>
      </c>
      <c r="D241" s="9" t="s">
        <v>16</v>
      </c>
      <c r="E241" s="9">
        <v>10</v>
      </c>
      <c r="F241" s="9">
        <v>13</v>
      </c>
      <c r="G241" s="9">
        <v>18</v>
      </c>
      <c r="H241">
        <v>1.0000000000000001E-5</v>
      </c>
      <c r="I241">
        <f>LOG(1/H241)</f>
        <v>5</v>
      </c>
      <c r="J241">
        <v>10</v>
      </c>
      <c r="K241">
        <f>AVERAGE(F241,G241)</f>
        <v>15.5</v>
      </c>
      <c r="L241">
        <f>K241/(H241*(J241/1000))</f>
        <v>155000000</v>
      </c>
    </row>
    <row r="242" spans="1:12">
      <c r="A242" t="s">
        <v>17</v>
      </c>
      <c r="B242" t="s">
        <v>18</v>
      </c>
      <c r="C242" s="9">
        <f>C218+1</f>
        <v>11</v>
      </c>
      <c r="D242" s="9" t="s">
        <v>16</v>
      </c>
      <c r="E242" s="9" t="s">
        <v>19</v>
      </c>
      <c r="F242" s="9">
        <v>7</v>
      </c>
      <c r="G242" s="9">
        <v>9</v>
      </c>
      <c r="H242">
        <v>9.9999999999999995E-7</v>
      </c>
      <c r="I242">
        <f>LOG(1/H242)</f>
        <v>6</v>
      </c>
      <c r="J242">
        <v>10</v>
      </c>
      <c r="K242">
        <f>AVERAGE(F242,G242)</f>
        <v>8</v>
      </c>
      <c r="L242">
        <f>K242/(H242*(J242/1000))</f>
        <v>800000000</v>
      </c>
    </row>
    <row r="243" spans="1:12">
      <c r="A243" t="s">
        <v>17</v>
      </c>
      <c r="B243" t="s">
        <v>18</v>
      </c>
      <c r="C243" s="9">
        <f>C219+1</f>
        <v>11</v>
      </c>
      <c r="D243" s="9" t="s">
        <v>16</v>
      </c>
      <c r="E243" s="9" t="s">
        <v>20</v>
      </c>
      <c r="F243" s="9">
        <v>10</v>
      </c>
      <c r="G243" s="9">
        <v>5</v>
      </c>
      <c r="H243">
        <v>9.9999999999999995E-7</v>
      </c>
      <c r="I243">
        <f>LOG(1/H243)</f>
        <v>6</v>
      </c>
      <c r="J243">
        <v>10</v>
      </c>
      <c r="K243">
        <f>AVERAGE(F243,G243)</f>
        <v>7.5</v>
      </c>
      <c r="L243">
        <f>K243/(H243*(J243/1000))</f>
        <v>750000000</v>
      </c>
    </row>
    <row r="244" spans="1:12">
      <c r="A244" t="s">
        <v>17</v>
      </c>
      <c r="B244" t="s">
        <v>18</v>
      </c>
      <c r="C244" s="9">
        <f>C220+1</f>
        <v>11</v>
      </c>
      <c r="D244" s="9" t="s">
        <v>16</v>
      </c>
      <c r="E244" s="9" t="s">
        <v>21</v>
      </c>
      <c r="F244" s="9">
        <v>9</v>
      </c>
      <c r="G244" s="9">
        <v>8</v>
      </c>
      <c r="H244">
        <v>9.9999999999999995E-7</v>
      </c>
      <c r="I244">
        <f>LOG(1/H244)</f>
        <v>6</v>
      </c>
      <c r="J244">
        <v>10</v>
      </c>
      <c r="K244">
        <f>AVERAGE(F244,G244)</f>
        <v>8.5</v>
      </c>
      <c r="L244">
        <f>K244/(H244*(J244/1000))</f>
        <v>850000000</v>
      </c>
    </row>
    <row r="245" spans="1:12">
      <c r="A245" t="s">
        <v>17</v>
      </c>
      <c r="B245" t="s">
        <v>18</v>
      </c>
      <c r="C245" s="9">
        <f>C221+1</f>
        <v>11</v>
      </c>
      <c r="D245" s="9" t="s">
        <v>16</v>
      </c>
      <c r="E245" s="9" t="s">
        <v>22</v>
      </c>
      <c r="F245" s="9">
        <v>10</v>
      </c>
      <c r="G245" s="9">
        <v>7</v>
      </c>
      <c r="H245">
        <v>9.9999999999999995E-7</v>
      </c>
      <c r="I245">
        <f>LOG(1/H245)</f>
        <v>6</v>
      </c>
      <c r="J245">
        <v>10</v>
      </c>
      <c r="K245">
        <f>AVERAGE(F245,G245)</f>
        <v>8.5</v>
      </c>
      <c r="L245">
        <f>K245/(H245*(J245/1000))</f>
        <v>850000000</v>
      </c>
    </row>
    <row r="246" spans="1:12">
      <c r="A246" t="s">
        <v>17</v>
      </c>
      <c r="B246" t="s">
        <v>18</v>
      </c>
      <c r="C246" s="9">
        <f>C222+1</f>
        <v>11</v>
      </c>
      <c r="D246" s="9" t="s">
        <v>16</v>
      </c>
      <c r="E246" s="9">
        <v>1</v>
      </c>
      <c r="F246" s="9">
        <v>4</v>
      </c>
      <c r="G246" s="9">
        <v>2</v>
      </c>
      <c r="H246">
        <v>9.9999999999999995E-7</v>
      </c>
      <c r="I246">
        <f>LOG(1/H246)</f>
        <v>6</v>
      </c>
      <c r="J246">
        <v>10</v>
      </c>
      <c r="K246">
        <f>AVERAGE(F246,G246)</f>
        <v>3</v>
      </c>
      <c r="L246">
        <f>K246/(H246*(J246/1000))</f>
        <v>300000000</v>
      </c>
    </row>
    <row r="247" spans="1:12">
      <c r="A247" t="s">
        <v>17</v>
      </c>
      <c r="B247" t="s">
        <v>18</v>
      </c>
      <c r="C247" s="9">
        <f>C223+1</f>
        <v>11</v>
      </c>
      <c r="D247" s="9" t="s">
        <v>16</v>
      </c>
      <c r="E247" s="9">
        <v>2</v>
      </c>
      <c r="F247" s="9">
        <v>3</v>
      </c>
      <c r="G247" s="9">
        <v>4</v>
      </c>
      <c r="H247">
        <v>9.9999999999999995E-7</v>
      </c>
      <c r="I247">
        <f>LOG(1/H247)</f>
        <v>6</v>
      </c>
      <c r="J247">
        <v>10</v>
      </c>
      <c r="K247">
        <f>AVERAGE(F247,G247)</f>
        <v>3.5</v>
      </c>
      <c r="L247">
        <f>K247/(H247*(J247/1000))</f>
        <v>350000000</v>
      </c>
    </row>
    <row r="248" spans="1:12">
      <c r="A248" t="s">
        <v>17</v>
      </c>
      <c r="B248" t="s">
        <v>18</v>
      </c>
      <c r="C248" s="9">
        <f>C224+1</f>
        <v>11</v>
      </c>
      <c r="D248" s="9" t="s">
        <v>16</v>
      </c>
      <c r="E248" s="9">
        <v>3</v>
      </c>
      <c r="F248" s="9">
        <v>7</v>
      </c>
      <c r="G248" s="9">
        <v>4</v>
      </c>
      <c r="H248">
        <v>9.9999999999999995E-7</v>
      </c>
      <c r="I248">
        <f>LOG(1/H248)</f>
        <v>6</v>
      </c>
      <c r="J248">
        <v>10</v>
      </c>
      <c r="K248">
        <f>AVERAGE(F248,G248)</f>
        <v>5.5</v>
      </c>
      <c r="L248">
        <f>K248/(H248*(J248/1000))</f>
        <v>550000000</v>
      </c>
    </row>
    <row r="249" spans="1:12">
      <c r="A249" t="s">
        <v>17</v>
      </c>
      <c r="B249" t="s">
        <v>18</v>
      </c>
      <c r="C249" s="9">
        <f>C225+1</f>
        <v>11</v>
      </c>
      <c r="D249" s="9" t="s">
        <v>16</v>
      </c>
      <c r="E249" s="9">
        <v>4</v>
      </c>
      <c r="F249" s="9">
        <v>2</v>
      </c>
      <c r="G249" s="9">
        <v>5</v>
      </c>
      <c r="H249">
        <v>9.9999999999999995E-7</v>
      </c>
      <c r="I249">
        <f>LOG(1/H249)</f>
        <v>6</v>
      </c>
      <c r="J249">
        <v>10</v>
      </c>
      <c r="K249">
        <f>AVERAGE(F249,G249)</f>
        <v>3.5</v>
      </c>
      <c r="L249">
        <f>K249/(H249*(J249/1000))</f>
        <v>350000000</v>
      </c>
    </row>
    <row r="250" spans="1:12">
      <c r="A250" t="s">
        <v>17</v>
      </c>
      <c r="B250" t="s">
        <v>18</v>
      </c>
      <c r="C250" s="9">
        <f>C226+1</f>
        <v>11</v>
      </c>
      <c r="D250" s="9" t="s">
        <v>16</v>
      </c>
      <c r="E250" s="9">
        <v>5</v>
      </c>
      <c r="F250" s="9">
        <v>7</v>
      </c>
      <c r="G250" s="9">
        <v>7</v>
      </c>
      <c r="H250">
        <v>9.9999999999999995E-7</v>
      </c>
      <c r="I250">
        <f>LOG(1/H250)</f>
        <v>6</v>
      </c>
      <c r="J250">
        <v>10</v>
      </c>
      <c r="K250">
        <f>AVERAGE(F250,G250)</f>
        <v>7</v>
      </c>
      <c r="L250">
        <f>K250/(H250*(J250/1000))</f>
        <v>700000000</v>
      </c>
    </row>
    <row r="251" spans="1:12">
      <c r="A251" t="s">
        <v>17</v>
      </c>
      <c r="B251" t="s">
        <v>18</v>
      </c>
      <c r="C251" s="9">
        <f>C227+1</f>
        <v>11</v>
      </c>
      <c r="D251" s="9" t="s">
        <v>16</v>
      </c>
      <c r="E251" s="9">
        <v>6</v>
      </c>
      <c r="F251" s="10">
        <v>40</v>
      </c>
      <c r="G251" s="9">
        <v>30</v>
      </c>
      <c r="H251">
        <v>1.0000000000000001E-5</v>
      </c>
      <c r="I251">
        <f>LOG(1/H251)</f>
        <v>5</v>
      </c>
      <c r="J251">
        <v>10</v>
      </c>
      <c r="K251">
        <f>AVERAGE(F251,G251)</f>
        <v>35</v>
      </c>
      <c r="L251">
        <f>K251/(H251*(J251/1000))</f>
        <v>349999999.99999994</v>
      </c>
    </row>
    <row r="252" spans="1:12">
      <c r="A252" t="s">
        <v>17</v>
      </c>
      <c r="B252" t="s">
        <v>18</v>
      </c>
      <c r="C252" s="9">
        <f>C228+1</f>
        <v>11</v>
      </c>
      <c r="D252" s="9" t="s">
        <v>16</v>
      </c>
      <c r="E252" s="9">
        <v>7</v>
      </c>
      <c r="F252" s="9">
        <v>3</v>
      </c>
      <c r="G252" s="9">
        <v>6</v>
      </c>
      <c r="H252">
        <v>9.9999999999999995E-7</v>
      </c>
      <c r="I252">
        <f>LOG(1/H252)</f>
        <v>6</v>
      </c>
      <c r="J252">
        <v>10</v>
      </c>
      <c r="K252">
        <f>AVERAGE(F252,G252)</f>
        <v>4.5</v>
      </c>
      <c r="L252">
        <f>K252/(H252*(J252/1000))</f>
        <v>450000000</v>
      </c>
    </row>
    <row r="253" spans="1:12">
      <c r="A253" t="s">
        <v>17</v>
      </c>
      <c r="B253" t="s">
        <v>18</v>
      </c>
      <c r="C253" s="9">
        <f>C229+1</f>
        <v>11</v>
      </c>
      <c r="D253" s="9" t="s">
        <v>16</v>
      </c>
      <c r="E253" s="9">
        <v>8</v>
      </c>
      <c r="F253" s="9">
        <v>3</v>
      </c>
      <c r="G253" s="9">
        <v>7</v>
      </c>
      <c r="H253">
        <v>9.9999999999999995E-7</v>
      </c>
      <c r="I253">
        <f>LOG(1/H253)</f>
        <v>6</v>
      </c>
      <c r="J253">
        <v>10</v>
      </c>
      <c r="K253">
        <f>AVERAGE(F253,G253)</f>
        <v>5</v>
      </c>
      <c r="L253">
        <f>K253/(H253*(J253/1000))</f>
        <v>500000000</v>
      </c>
    </row>
    <row r="254" spans="1:12">
      <c r="A254" t="s">
        <v>17</v>
      </c>
      <c r="B254" t="s">
        <v>18</v>
      </c>
      <c r="C254" s="9">
        <f>C230+1</f>
        <v>11</v>
      </c>
      <c r="D254" s="9" t="s">
        <v>16</v>
      </c>
      <c r="E254" s="9">
        <v>9</v>
      </c>
      <c r="F254" s="9">
        <v>3</v>
      </c>
      <c r="G254" s="9">
        <v>2</v>
      </c>
      <c r="H254">
        <v>9.9999999999999995E-7</v>
      </c>
      <c r="I254">
        <f>LOG(1/H254)</f>
        <v>6</v>
      </c>
      <c r="J254">
        <v>10</v>
      </c>
      <c r="K254">
        <f>AVERAGE(F254,G254)</f>
        <v>2.5</v>
      </c>
      <c r="L254">
        <f>K254/(H254*(J254/1000))</f>
        <v>250000000</v>
      </c>
    </row>
    <row r="255" spans="1:12">
      <c r="A255" t="s">
        <v>17</v>
      </c>
      <c r="B255" t="s">
        <v>18</v>
      </c>
      <c r="C255" s="9">
        <f>C231+1</f>
        <v>11</v>
      </c>
      <c r="D255" s="9" t="s">
        <v>16</v>
      </c>
      <c r="E255" s="9">
        <v>10</v>
      </c>
      <c r="F255" s="9">
        <v>4</v>
      </c>
      <c r="G255" s="9">
        <v>3</v>
      </c>
      <c r="H255">
        <v>9.9999999999999995E-7</v>
      </c>
      <c r="I255">
        <f>LOG(1/H255)</f>
        <v>6</v>
      </c>
      <c r="J255">
        <v>10</v>
      </c>
      <c r="K255">
        <f>AVERAGE(F255,G255)</f>
        <v>3.5</v>
      </c>
      <c r="L255">
        <f>K255/(H255*(J255/1000))</f>
        <v>350000000</v>
      </c>
    </row>
    <row r="256" spans="1:12">
      <c r="A256" t="s">
        <v>17</v>
      </c>
      <c r="B256" t="s">
        <v>18</v>
      </c>
      <c r="C256" s="9">
        <f>C232+1</f>
        <v>11.5</v>
      </c>
      <c r="D256" s="9" t="s">
        <v>16</v>
      </c>
      <c r="E256" s="9">
        <v>1</v>
      </c>
      <c r="F256" s="9">
        <v>21</v>
      </c>
      <c r="G256" s="9">
        <v>20</v>
      </c>
      <c r="H256">
        <v>1.0000000000000001E-5</v>
      </c>
      <c r="I256">
        <f>LOG(1/H256)</f>
        <v>5</v>
      </c>
      <c r="J256">
        <v>10</v>
      </c>
      <c r="K256">
        <f>AVERAGE(F256,G256)</f>
        <v>20.5</v>
      </c>
      <c r="L256">
        <f>K256/(H256*(J256/1000))</f>
        <v>204999999.99999997</v>
      </c>
    </row>
    <row r="257" spans="1:12">
      <c r="A257" t="s">
        <v>17</v>
      </c>
      <c r="B257" t="s">
        <v>18</v>
      </c>
      <c r="C257" s="9">
        <f>C233+1</f>
        <v>11.5</v>
      </c>
      <c r="D257" s="9" t="s">
        <v>16</v>
      </c>
      <c r="E257" s="9">
        <v>2</v>
      </c>
      <c r="F257" s="9">
        <v>5</v>
      </c>
      <c r="G257" s="9">
        <v>5</v>
      </c>
      <c r="H257">
        <v>1.0000000000000001E-5</v>
      </c>
      <c r="I257">
        <f>LOG(1/H257)</f>
        <v>5</v>
      </c>
      <c r="J257">
        <v>10</v>
      </c>
      <c r="K257">
        <f>AVERAGE(F257,G257)</f>
        <v>5</v>
      </c>
      <c r="L257">
        <f>K257/(H257*(J257/1000))</f>
        <v>49999999.999999993</v>
      </c>
    </row>
    <row r="258" spans="1:12">
      <c r="A258" t="s">
        <v>17</v>
      </c>
      <c r="B258" t="s">
        <v>18</v>
      </c>
      <c r="C258" s="9">
        <f>C234+1</f>
        <v>11.5</v>
      </c>
      <c r="D258" s="9" t="s">
        <v>16</v>
      </c>
      <c r="E258" s="9">
        <v>3</v>
      </c>
      <c r="F258" s="9">
        <v>5</v>
      </c>
      <c r="G258" s="9">
        <v>5</v>
      </c>
      <c r="H258">
        <v>1.0000000000000001E-5</v>
      </c>
      <c r="I258">
        <f>LOG(1/H258)</f>
        <v>5</v>
      </c>
      <c r="J258">
        <v>10</v>
      </c>
      <c r="K258">
        <f>AVERAGE(F258,G258)</f>
        <v>5</v>
      </c>
      <c r="L258">
        <f>K258/(H258*(J258/1000))</f>
        <v>49999999.999999993</v>
      </c>
    </row>
    <row r="259" spans="1:12">
      <c r="A259" t="s">
        <v>17</v>
      </c>
      <c r="B259" t="s">
        <v>18</v>
      </c>
      <c r="C259" s="9">
        <f>C235+1</f>
        <v>11.5</v>
      </c>
      <c r="D259" s="9" t="s">
        <v>16</v>
      </c>
      <c r="E259" s="9">
        <v>4</v>
      </c>
      <c r="F259" s="9">
        <v>7</v>
      </c>
      <c r="G259" s="9">
        <v>12</v>
      </c>
      <c r="H259">
        <v>1.0000000000000001E-5</v>
      </c>
      <c r="I259">
        <f>LOG(1/H259)</f>
        <v>5</v>
      </c>
      <c r="J259">
        <v>10</v>
      </c>
      <c r="K259">
        <f>AVERAGE(F259,G259)</f>
        <v>9.5</v>
      </c>
      <c r="L259">
        <f>K259/(H259*(J259/1000))</f>
        <v>94999999.999999985</v>
      </c>
    </row>
    <row r="260" spans="1:12">
      <c r="A260" t="s">
        <v>17</v>
      </c>
      <c r="B260" t="s">
        <v>18</v>
      </c>
      <c r="C260" s="9">
        <f>C236+1</f>
        <v>11.5</v>
      </c>
      <c r="D260" s="9" t="s">
        <v>16</v>
      </c>
      <c r="E260" s="9">
        <v>5</v>
      </c>
      <c r="F260" s="9">
        <v>9</v>
      </c>
      <c r="G260" s="9">
        <v>13</v>
      </c>
      <c r="H260">
        <v>1.0000000000000001E-5</v>
      </c>
      <c r="I260">
        <f>LOG(1/H260)</f>
        <v>5</v>
      </c>
      <c r="J260">
        <v>10</v>
      </c>
      <c r="K260">
        <f>AVERAGE(F260,G260)</f>
        <v>11</v>
      </c>
      <c r="L260">
        <f>K260/(H260*(J260/1000))</f>
        <v>109999999.99999999</v>
      </c>
    </row>
    <row r="261" spans="1:12">
      <c r="A261" t="s">
        <v>17</v>
      </c>
      <c r="B261" t="s">
        <v>18</v>
      </c>
      <c r="C261" s="9">
        <f>C237+1</f>
        <v>11.5</v>
      </c>
      <c r="D261" s="9" t="s">
        <v>16</v>
      </c>
      <c r="E261" s="9">
        <v>6</v>
      </c>
      <c r="F261" s="9">
        <v>7</v>
      </c>
      <c r="G261" s="9">
        <v>5</v>
      </c>
      <c r="H261">
        <v>1.0000000000000001E-5</v>
      </c>
      <c r="I261">
        <f>LOG(1/H261)</f>
        <v>5</v>
      </c>
      <c r="J261">
        <v>10</v>
      </c>
      <c r="K261">
        <f>AVERAGE(F261,G261)</f>
        <v>6</v>
      </c>
      <c r="L261">
        <f>K261/(H261*(J261/1000))</f>
        <v>59999999.999999993</v>
      </c>
    </row>
    <row r="262" spans="1:12">
      <c r="A262" t="s">
        <v>17</v>
      </c>
      <c r="B262" t="s">
        <v>18</v>
      </c>
      <c r="C262" s="9">
        <f>C238+1</f>
        <v>11.5</v>
      </c>
      <c r="D262" s="9" t="s">
        <v>16</v>
      </c>
      <c r="E262" s="9">
        <v>7</v>
      </c>
      <c r="F262" s="9">
        <v>7</v>
      </c>
      <c r="G262" s="9">
        <v>8</v>
      </c>
      <c r="H262">
        <v>1.0000000000000001E-5</v>
      </c>
      <c r="I262">
        <f>LOG(1/H262)</f>
        <v>5</v>
      </c>
      <c r="J262">
        <v>10</v>
      </c>
      <c r="K262">
        <f>AVERAGE(F262,G262)</f>
        <v>7.5</v>
      </c>
      <c r="L262">
        <f>K262/(H262*(J262/1000))</f>
        <v>75000000</v>
      </c>
    </row>
    <row r="263" spans="1:12">
      <c r="A263" t="s">
        <v>17</v>
      </c>
      <c r="B263" t="s">
        <v>18</v>
      </c>
      <c r="C263" s="9">
        <f>C239+1</f>
        <v>11.5</v>
      </c>
      <c r="D263" s="9" t="s">
        <v>16</v>
      </c>
      <c r="E263" s="9">
        <v>8</v>
      </c>
      <c r="F263" s="9">
        <v>7</v>
      </c>
      <c r="G263" s="9">
        <v>7</v>
      </c>
      <c r="H263">
        <v>1.0000000000000001E-5</v>
      </c>
      <c r="I263">
        <f>LOG(1/H263)</f>
        <v>5</v>
      </c>
      <c r="J263">
        <v>10</v>
      </c>
      <c r="K263">
        <f>AVERAGE(F263,G263)</f>
        <v>7</v>
      </c>
      <c r="L263">
        <f>K263/(H263*(J263/1000))</f>
        <v>70000000</v>
      </c>
    </row>
    <row r="264" spans="1:12">
      <c r="A264" t="s">
        <v>17</v>
      </c>
      <c r="B264" t="s">
        <v>18</v>
      </c>
      <c r="C264" s="9">
        <f>C240+1</f>
        <v>11.5</v>
      </c>
      <c r="D264" s="9" t="s">
        <v>16</v>
      </c>
      <c r="E264" s="9">
        <v>9</v>
      </c>
      <c r="F264" s="9">
        <v>9</v>
      </c>
      <c r="G264" s="9">
        <v>7</v>
      </c>
      <c r="H264">
        <v>1.0000000000000001E-5</v>
      </c>
      <c r="I264">
        <f>LOG(1/H264)</f>
        <v>5</v>
      </c>
      <c r="J264">
        <v>10</v>
      </c>
      <c r="K264">
        <f>AVERAGE(F264,G264)</f>
        <v>8</v>
      </c>
      <c r="L264">
        <f>K264/(H264*(J264/1000))</f>
        <v>80000000</v>
      </c>
    </row>
    <row r="265" spans="1:12">
      <c r="A265" t="s">
        <v>17</v>
      </c>
      <c r="B265" t="s">
        <v>18</v>
      </c>
      <c r="C265" s="9">
        <f>C241+1</f>
        <v>11.5</v>
      </c>
      <c r="D265" s="9" t="s">
        <v>16</v>
      </c>
      <c r="E265" s="9">
        <v>10</v>
      </c>
      <c r="F265" s="9">
        <v>4</v>
      </c>
      <c r="G265" s="9">
        <v>9</v>
      </c>
      <c r="H265">
        <v>1.0000000000000001E-5</v>
      </c>
      <c r="I265">
        <f>LOG(1/H265)</f>
        <v>5</v>
      </c>
      <c r="J265">
        <v>10</v>
      </c>
      <c r="K265">
        <f>AVERAGE(F265,G265)</f>
        <v>6.5</v>
      </c>
      <c r="L265">
        <f>K265/(H265*(J265/1000))</f>
        <v>64999999.999999993</v>
      </c>
    </row>
    <row r="266" spans="1:12">
      <c r="A266" t="s">
        <v>17</v>
      </c>
      <c r="B266" t="s">
        <v>18</v>
      </c>
      <c r="C266" s="9">
        <f>C242+1</f>
        <v>12</v>
      </c>
      <c r="D266" s="9" t="s">
        <v>16</v>
      </c>
      <c r="E266" s="9" t="s">
        <v>19</v>
      </c>
      <c r="F266" s="9">
        <v>11</v>
      </c>
      <c r="G266" s="9">
        <v>4</v>
      </c>
      <c r="H266">
        <v>9.9999999999999995E-7</v>
      </c>
      <c r="I266">
        <f>LOG(1/H266)</f>
        <v>6</v>
      </c>
      <c r="J266">
        <v>10</v>
      </c>
      <c r="K266">
        <f>AVERAGE(F266,G266)</f>
        <v>7.5</v>
      </c>
      <c r="L266">
        <f>K266/(H266*(J266/1000))</f>
        <v>750000000</v>
      </c>
    </row>
    <row r="267" spans="1:12">
      <c r="A267" t="s">
        <v>17</v>
      </c>
      <c r="B267" t="s">
        <v>18</v>
      </c>
      <c r="C267" s="9">
        <f>C243+1</f>
        <v>12</v>
      </c>
      <c r="D267" s="9" t="s">
        <v>16</v>
      </c>
      <c r="E267" s="9" t="s">
        <v>20</v>
      </c>
      <c r="F267" s="9">
        <v>11</v>
      </c>
      <c r="G267" s="9">
        <v>5</v>
      </c>
      <c r="H267">
        <v>9.9999999999999995E-7</v>
      </c>
      <c r="I267">
        <f>LOG(1/H267)</f>
        <v>6</v>
      </c>
      <c r="J267">
        <v>10</v>
      </c>
      <c r="K267">
        <f>AVERAGE(F267,G267)</f>
        <v>8</v>
      </c>
      <c r="L267">
        <f>K267/(H267*(J267/1000))</f>
        <v>800000000</v>
      </c>
    </row>
    <row r="268" spans="1:12">
      <c r="A268" t="s">
        <v>17</v>
      </c>
      <c r="B268" t="s">
        <v>18</v>
      </c>
      <c r="C268" s="9">
        <f>C244+1</f>
        <v>12</v>
      </c>
      <c r="D268" s="9" t="s">
        <v>16</v>
      </c>
      <c r="E268" s="9" t="s">
        <v>21</v>
      </c>
      <c r="F268" s="9">
        <v>9</v>
      </c>
      <c r="G268" s="9">
        <v>6</v>
      </c>
      <c r="H268">
        <v>9.9999999999999995E-7</v>
      </c>
      <c r="I268">
        <f>LOG(1/H268)</f>
        <v>6</v>
      </c>
      <c r="J268">
        <v>10</v>
      </c>
      <c r="K268">
        <f>AVERAGE(F268,G268)</f>
        <v>7.5</v>
      </c>
      <c r="L268">
        <f>K268/(H268*(J268/1000))</f>
        <v>750000000</v>
      </c>
    </row>
    <row r="269" spans="1:12">
      <c r="A269" t="s">
        <v>17</v>
      </c>
      <c r="B269" t="s">
        <v>18</v>
      </c>
      <c r="C269" s="9">
        <f>C245+1</f>
        <v>12</v>
      </c>
      <c r="D269" s="9" t="s">
        <v>16</v>
      </c>
      <c r="E269" s="9" t="s">
        <v>22</v>
      </c>
      <c r="F269" s="9">
        <v>9</v>
      </c>
      <c r="G269" s="9">
        <v>12</v>
      </c>
      <c r="H269">
        <v>9.9999999999999995E-7</v>
      </c>
      <c r="I269">
        <f>LOG(1/H269)</f>
        <v>6</v>
      </c>
      <c r="J269">
        <v>10</v>
      </c>
      <c r="K269">
        <f>AVERAGE(F269,G269)</f>
        <v>10.5</v>
      </c>
      <c r="L269">
        <f>K269/(H269*(J269/1000))</f>
        <v>1050000000</v>
      </c>
    </row>
    <row r="270" spans="1:12">
      <c r="A270" t="s">
        <v>17</v>
      </c>
      <c r="B270" t="s">
        <v>18</v>
      </c>
      <c r="C270" s="9">
        <f>C246+1</f>
        <v>12</v>
      </c>
      <c r="D270" s="9" t="s">
        <v>16</v>
      </c>
      <c r="E270" s="9">
        <v>1</v>
      </c>
      <c r="F270" s="9">
        <v>11</v>
      </c>
      <c r="G270" s="9">
        <v>16</v>
      </c>
      <c r="H270">
        <v>1.0000000000000001E-5</v>
      </c>
      <c r="I270">
        <f>LOG(1/H270)</f>
        <v>5</v>
      </c>
      <c r="J270">
        <v>10</v>
      </c>
      <c r="K270">
        <f>AVERAGE(F270,G270)</f>
        <v>13.5</v>
      </c>
      <c r="L270">
        <f>K270/(H270*(J270/1000))</f>
        <v>135000000</v>
      </c>
    </row>
    <row r="271" spans="1:12">
      <c r="A271" t="s">
        <v>17</v>
      </c>
      <c r="B271" t="s">
        <v>18</v>
      </c>
      <c r="C271" s="9">
        <f>C247+1</f>
        <v>12</v>
      </c>
      <c r="D271" s="9" t="s">
        <v>16</v>
      </c>
      <c r="E271" s="9">
        <v>2</v>
      </c>
      <c r="F271" s="9">
        <v>21</v>
      </c>
      <c r="G271" s="9">
        <v>14</v>
      </c>
      <c r="H271">
        <v>1.0000000000000001E-5</v>
      </c>
      <c r="I271">
        <f>LOG(1/H271)</f>
        <v>5</v>
      </c>
      <c r="J271">
        <v>10</v>
      </c>
      <c r="K271">
        <f>AVERAGE(F271,G271)</f>
        <v>17.5</v>
      </c>
      <c r="L271">
        <f>K271/(H271*(J271/1000))</f>
        <v>174999999.99999997</v>
      </c>
    </row>
    <row r="272" spans="1:12">
      <c r="A272" t="s">
        <v>17</v>
      </c>
      <c r="B272" t="s">
        <v>18</v>
      </c>
      <c r="C272" s="9">
        <f>C248+1</f>
        <v>12</v>
      </c>
      <c r="D272" s="9" t="s">
        <v>16</v>
      </c>
      <c r="E272" s="9">
        <v>3</v>
      </c>
      <c r="F272" s="9">
        <v>10</v>
      </c>
      <c r="G272" s="9">
        <v>15</v>
      </c>
      <c r="H272">
        <v>1.0000000000000001E-5</v>
      </c>
      <c r="I272">
        <f>LOG(1/H272)</f>
        <v>5</v>
      </c>
      <c r="J272">
        <v>10</v>
      </c>
      <c r="K272">
        <f>AVERAGE(F272,G272)</f>
        <v>12.5</v>
      </c>
      <c r="L272">
        <f>K272/(H272*(J272/1000))</f>
        <v>124999999.99999999</v>
      </c>
    </row>
    <row r="273" spans="1:12">
      <c r="A273" t="s">
        <v>17</v>
      </c>
      <c r="B273" t="s">
        <v>18</v>
      </c>
      <c r="C273" s="9">
        <f>C249+1</f>
        <v>12</v>
      </c>
      <c r="D273" s="9" t="s">
        <v>16</v>
      </c>
      <c r="E273" s="9">
        <v>4</v>
      </c>
      <c r="F273" s="9">
        <v>10</v>
      </c>
      <c r="G273" s="9">
        <v>18</v>
      </c>
      <c r="H273">
        <v>1.0000000000000001E-5</v>
      </c>
      <c r="I273">
        <f>LOG(1/H273)</f>
        <v>5</v>
      </c>
      <c r="J273">
        <v>10</v>
      </c>
      <c r="K273">
        <f>AVERAGE(F273,G273)</f>
        <v>14</v>
      </c>
      <c r="L273">
        <f>K273/(H273*(J273/1000))</f>
        <v>140000000</v>
      </c>
    </row>
    <row r="274" spans="1:12">
      <c r="A274" t="s">
        <v>17</v>
      </c>
      <c r="B274" t="s">
        <v>18</v>
      </c>
      <c r="C274" s="9">
        <f>C250+1</f>
        <v>12</v>
      </c>
      <c r="D274" s="9" t="s">
        <v>16</v>
      </c>
      <c r="E274" s="9">
        <v>5</v>
      </c>
      <c r="F274" s="9">
        <v>24</v>
      </c>
      <c r="G274" s="9">
        <v>18</v>
      </c>
      <c r="H274">
        <v>1.0000000000000001E-5</v>
      </c>
      <c r="I274">
        <f>LOG(1/H274)</f>
        <v>5</v>
      </c>
      <c r="J274">
        <v>10</v>
      </c>
      <c r="K274">
        <f>AVERAGE(F274,G274)</f>
        <v>21</v>
      </c>
      <c r="L274">
        <f>K274/(H274*(J274/1000))</f>
        <v>209999999.99999997</v>
      </c>
    </row>
    <row r="275" spans="1:12">
      <c r="A275" t="s">
        <v>17</v>
      </c>
      <c r="B275" t="s">
        <v>18</v>
      </c>
      <c r="C275" s="9">
        <f>C251+1</f>
        <v>12</v>
      </c>
      <c r="D275" s="9" t="s">
        <v>16</v>
      </c>
      <c r="E275" s="9">
        <v>6</v>
      </c>
      <c r="F275" s="9">
        <v>18</v>
      </c>
      <c r="G275" s="9">
        <v>19</v>
      </c>
      <c r="H275">
        <v>1.0000000000000001E-5</v>
      </c>
      <c r="I275">
        <f>LOG(1/H275)</f>
        <v>5</v>
      </c>
      <c r="J275">
        <v>10</v>
      </c>
      <c r="K275">
        <f>AVERAGE(F275,G275)</f>
        <v>18.5</v>
      </c>
      <c r="L275">
        <f>K275/(H275*(J275/1000))</f>
        <v>184999999.99999997</v>
      </c>
    </row>
    <row r="276" spans="1:12">
      <c r="A276" t="s">
        <v>17</v>
      </c>
      <c r="B276" t="s">
        <v>18</v>
      </c>
      <c r="C276" s="9">
        <f>C252+1</f>
        <v>12</v>
      </c>
      <c r="D276" s="9" t="s">
        <v>16</v>
      </c>
      <c r="E276" s="9">
        <v>7</v>
      </c>
      <c r="F276" s="9">
        <v>3</v>
      </c>
      <c r="G276" s="9">
        <v>6</v>
      </c>
      <c r="H276">
        <v>9.9999999999999995E-7</v>
      </c>
      <c r="I276">
        <f>LOG(1/H276)</f>
        <v>6</v>
      </c>
      <c r="J276">
        <v>10</v>
      </c>
      <c r="K276">
        <f>AVERAGE(F276,G276)</f>
        <v>4.5</v>
      </c>
      <c r="L276">
        <f>K276/(H276*(J276/1000))</f>
        <v>450000000</v>
      </c>
    </row>
    <row r="277" spans="1:12">
      <c r="A277" t="s">
        <v>17</v>
      </c>
      <c r="B277" t="s">
        <v>18</v>
      </c>
      <c r="C277" s="9">
        <f>C253+1</f>
        <v>12</v>
      </c>
      <c r="D277" s="9" t="s">
        <v>16</v>
      </c>
      <c r="E277" s="9">
        <v>8</v>
      </c>
      <c r="F277" s="9">
        <v>14</v>
      </c>
      <c r="G277" s="9">
        <v>16</v>
      </c>
      <c r="H277">
        <v>1.0000000000000001E-5</v>
      </c>
      <c r="I277">
        <f>LOG(1/H277)</f>
        <v>5</v>
      </c>
      <c r="J277">
        <v>10</v>
      </c>
      <c r="K277">
        <f>AVERAGE(F277,G277)</f>
        <v>15</v>
      </c>
      <c r="L277">
        <f>K277/(H277*(J277/1000))</f>
        <v>150000000</v>
      </c>
    </row>
    <row r="278" spans="1:12">
      <c r="A278" t="s">
        <v>17</v>
      </c>
      <c r="B278" t="s">
        <v>18</v>
      </c>
      <c r="C278" s="9">
        <f>C254+1</f>
        <v>12</v>
      </c>
      <c r="D278" s="9" t="s">
        <v>16</v>
      </c>
      <c r="E278" s="9">
        <v>9</v>
      </c>
      <c r="F278" s="9">
        <v>18</v>
      </c>
      <c r="G278" s="9">
        <v>15</v>
      </c>
      <c r="H278">
        <v>1.0000000000000001E-5</v>
      </c>
      <c r="I278">
        <f>LOG(1/H278)</f>
        <v>5</v>
      </c>
      <c r="J278">
        <v>10</v>
      </c>
      <c r="K278">
        <f>AVERAGE(F278,G278)</f>
        <v>16.5</v>
      </c>
      <c r="L278">
        <f>K278/(H278*(J278/1000))</f>
        <v>165000000</v>
      </c>
    </row>
    <row r="279" spans="1:12">
      <c r="A279" t="s">
        <v>17</v>
      </c>
      <c r="B279" t="s">
        <v>18</v>
      </c>
      <c r="C279" s="9">
        <f>C255+1</f>
        <v>12</v>
      </c>
      <c r="D279" s="9" t="s">
        <v>16</v>
      </c>
      <c r="E279" s="9">
        <v>10</v>
      </c>
      <c r="F279" s="9">
        <v>13</v>
      </c>
      <c r="G279" s="9">
        <v>15</v>
      </c>
      <c r="H279">
        <v>1.0000000000000001E-5</v>
      </c>
      <c r="I279">
        <f>LOG(1/H279)</f>
        <v>5</v>
      </c>
      <c r="J279">
        <v>10</v>
      </c>
      <c r="K279">
        <f>AVERAGE(F279,G279)</f>
        <v>14</v>
      </c>
      <c r="L279">
        <f>K279/(H279*(J279/1000))</f>
        <v>140000000</v>
      </c>
    </row>
    <row r="280" spans="1:12">
      <c r="A280" t="s">
        <v>17</v>
      </c>
      <c r="B280" t="s">
        <v>18</v>
      </c>
      <c r="C280" s="9">
        <f>C256+1</f>
        <v>12.5</v>
      </c>
      <c r="D280" s="9" t="s">
        <v>16</v>
      </c>
      <c r="E280" s="9">
        <v>1</v>
      </c>
      <c r="F280" s="9">
        <v>10</v>
      </c>
      <c r="G280" s="9">
        <v>18</v>
      </c>
      <c r="H280">
        <v>1.0000000000000001E-5</v>
      </c>
      <c r="I280">
        <f>LOG(1/H280)</f>
        <v>5</v>
      </c>
      <c r="J280">
        <v>10</v>
      </c>
      <c r="K280">
        <f>AVERAGE(F280,G280)</f>
        <v>14</v>
      </c>
      <c r="L280">
        <f>K280/(H280*(J280/1000))</f>
        <v>140000000</v>
      </c>
    </row>
    <row r="281" spans="1:12">
      <c r="A281" t="s">
        <v>17</v>
      </c>
      <c r="B281" t="s">
        <v>18</v>
      </c>
      <c r="C281" s="9">
        <f>C257+1</f>
        <v>12.5</v>
      </c>
      <c r="D281" s="9" t="s">
        <v>16</v>
      </c>
      <c r="E281" s="9">
        <v>2</v>
      </c>
      <c r="F281" s="9">
        <v>4</v>
      </c>
      <c r="G281" s="9">
        <v>4</v>
      </c>
      <c r="H281">
        <v>1.0000000000000001E-5</v>
      </c>
      <c r="I281">
        <f>LOG(1/H281)</f>
        <v>5</v>
      </c>
      <c r="J281">
        <v>10</v>
      </c>
      <c r="K281">
        <f>AVERAGE(F281,G281)</f>
        <v>4</v>
      </c>
      <c r="L281">
        <f>K281/(H281*(J281/1000))</f>
        <v>40000000</v>
      </c>
    </row>
    <row r="282" spans="1:12">
      <c r="A282" t="s">
        <v>17</v>
      </c>
      <c r="B282" t="s">
        <v>18</v>
      </c>
      <c r="C282" s="9">
        <f>C258+1</f>
        <v>12.5</v>
      </c>
      <c r="D282" s="9" t="s">
        <v>16</v>
      </c>
      <c r="E282" s="9">
        <v>3</v>
      </c>
      <c r="F282" s="14">
        <v>30</v>
      </c>
      <c r="G282" s="9">
        <v>21</v>
      </c>
      <c r="H282">
        <v>1E-4</v>
      </c>
      <c r="I282">
        <f>LOG(1/H282)</f>
        <v>4</v>
      </c>
      <c r="J282">
        <v>10</v>
      </c>
      <c r="K282">
        <f>AVERAGE(F282,G282)</f>
        <v>25.5</v>
      </c>
      <c r="L282">
        <f>K282/(H282*(J282/1000))</f>
        <v>25499999.999999996</v>
      </c>
    </row>
    <row r="283" spans="1:12">
      <c r="A283" t="s">
        <v>17</v>
      </c>
      <c r="B283" t="s">
        <v>18</v>
      </c>
      <c r="C283" s="9">
        <f>C259+1</f>
        <v>12.5</v>
      </c>
      <c r="D283" s="9" t="s">
        <v>16</v>
      </c>
      <c r="E283" s="9">
        <v>4</v>
      </c>
      <c r="F283" s="9">
        <v>4</v>
      </c>
      <c r="G283" s="9">
        <v>4</v>
      </c>
      <c r="H283">
        <v>1.0000000000000001E-5</v>
      </c>
      <c r="I283">
        <f>LOG(1/H283)</f>
        <v>5</v>
      </c>
      <c r="J283">
        <v>10</v>
      </c>
      <c r="K283">
        <f>AVERAGE(F283,G283)</f>
        <v>4</v>
      </c>
      <c r="L283">
        <f>K283/(H283*(J283/1000))</f>
        <v>40000000</v>
      </c>
    </row>
    <row r="284" spans="1:12">
      <c r="A284" t="s">
        <v>17</v>
      </c>
      <c r="B284" t="s">
        <v>18</v>
      </c>
      <c r="C284" s="9">
        <f>C260+1</f>
        <v>12.5</v>
      </c>
      <c r="D284" s="9" t="s">
        <v>16</v>
      </c>
      <c r="E284" s="9">
        <v>5</v>
      </c>
      <c r="F284" s="9">
        <v>3</v>
      </c>
      <c r="G284" s="9">
        <v>4</v>
      </c>
      <c r="H284">
        <v>1.0000000000000001E-5</v>
      </c>
      <c r="I284">
        <f>LOG(1/H284)</f>
        <v>5</v>
      </c>
      <c r="J284">
        <v>10</v>
      </c>
      <c r="K284">
        <f>AVERAGE(F284,G284)</f>
        <v>3.5</v>
      </c>
      <c r="L284">
        <f>K284/(H284*(J284/1000))</f>
        <v>35000000</v>
      </c>
    </row>
    <row r="285" spans="1:12">
      <c r="A285" t="s">
        <v>17</v>
      </c>
      <c r="B285" t="s">
        <v>18</v>
      </c>
      <c r="C285" s="9">
        <f>C261+1</f>
        <v>12.5</v>
      </c>
      <c r="D285" s="9" t="s">
        <v>16</v>
      </c>
      <c r="E285" s="9">
        <v>6</v>
      </c>
      <c r="F285" s="9">
        <v>10</v>
      </c>
      <c r="G285" s="9">
        <v>12</v>
      </c>
      <c r="H285">
        <v>1.0000000000000001E-5</v>
      </c>
      <c r="I285">
        <f>LOG(1/H285)</f>
        <v>5</v>
      </c>
      <c r="J285">
        <v>10</v>
      </c>
      <c r="K285">
        <f>AVERAGE(F285,G285)</f>
        <v>11</v>
      </c>
      <c r="L285">
        <f>K285/(H285*(J285/1000))</f>
        <v>109999999.99999999</v>
      </c>
    </row>
    <row r="286" spans="1:12">
      <c r="A286" t="s">
        <v>17</v>
      </c>
      <c r="B286" t="s">
        <v>18</v>
      </c>
      <c r="C286" s="9">
        <f>C262+1</f>
        <v>12.5</v>
      </c>
      <c r="D286" s="9" t="s">
        <v>16</v>
      </c>
      <c r="E286" s="9">
        <v>7</v>
      </c>
      <c r="F286" s="9">
        <v>6</v>
      </c>
      <c r="G286" s="9">
        <v>7</v>
      </c>
      <c r="H286">
        <v>1.0000000000000001E-5</v>
      </c>
      <c r="I286">
        <f>LOG(1/H286)</f>
        <v>5</v>
      </c>
      <c r="J286">
        <v>10</v>
      </c>
      <c r="K286">
        <f>AVERAGE(F286,G286)</f>
        <v>6.5</v>
      </c>
      <c r="L286">
        <f>K286/(H286*(J286/1000))</f>
        <v>64999999.999999993</v>
      </c>
    </row>
    <row r="287" spans="1:12">
      <c r="A287" t="s">
        <v>17</v>
      </c>
      <c r="B287" t="s">
        <v>18</v>
      </c>
      <c r="C287" s="9">
        <f>C263+1</f>
        <v>12.5</v>
      </c>
      <c r="D287" s="9" t="s">
        <v>16</v>
      </c>
      <c r="E287" s="9">
        <v>8</v>
      </c>
      <c r="F287" s="9">
        <v>11</v>
      </c>
      <c r="G287" s="9">
        <v>10</v>
      </c>
      <c r="H287">
        <v>1E-4</v>
      </c>
      <c r="I287">
        <f>LOG(1/H287)</f>
        <v>4</v>
      </c>
      <c r="J287">
        <v>10</v>
      </c>
      <c r="K287">
        <f>AVERAGE(F287,G287)</f>
        <v>10.5</v>
      </c>
      <c r="L287">
        <f>K287/(H287*(J287/1000))</f>
        <v>10499999.999999998</v>
      </c>
    </row>
    <row r="288" spans="1:12">
      <c r="A288" t="s">
        <v>17</v>
      </c>
      <c r="B288" t="s">
        <v>18</v>
      </c>
      <c r="C288" s="9">
        <f>C264+1</f>
        <v>12.5</v>
      </c>
      <c r="D288" s="9" t="s">
        <v>16</v>
      </c>
      <c r="E288" s="9">
        <v>9</v>
      </c>
      <c r="F288" s="9">
        <v>6</v>
      </c>
      <c r="G288" s="9">
        <v>13</v>
      </c>
      <c r="H288">
        <v>1.0000000000000001E-5</v>
      </c>
      <c r="I288">
        <f>LOG(1/H288)</f>
        <v>5</v>
      </c>
      <c r="J288">
        <v>10</v>
      </c>
      <c r="K288">
        <f>AVERAGE(F288,G288)</f>
        <v>9.5</v>
      </c>
      <c r="L288">
        <f>K288/(H288*(J288/1000))</f>
        <v>94999999.999999985</v>
      </c>
    </row>
    <row r="289" spans="1:12">
      <c r="A289" t="s">
        <v>17</v>
      </c>
      <c r="B289" t="s">
        <v>18</v>
      </c>
      <c r="C289" s="9">
        <f>C265+1</f>
        <v>12.5</v>
      </c>
      <c r="D289" s="9" t="s">
        <v>16</v>
      </c>
      <c r="E289" s="9">
        <v>10</v>
      </c>
      <c r="F289" s="9">
        <v>9</v>
      </c>
      <c r="G289" s="9">
        <v>7</v>
      </c>
      <c r="H289">
        <v>1.0000000000000001E-5</v>
      </c>
      <c r="I289">
        <f>LOG(1/H289)</f>
        <v>5</v>
      </c>
      <c r="J289">
        <v>10</v>
      </c>
      <c r="K289">
        <f>AVERAGE(F289,G289)</f>
        <v>8</v>
      </c>
      <c r="L289">
        <f>K289/(H289*(J289/1000))</f>
        <v>80000000</v>
      </c>
    </row>
    <row r="290" spans="1:12">
      <c r="A290" t="s">
        <v>17</v>
      </c>
      <c r="B290" t="s">
        <v>18</v>
      </c>
      <c r="C290" s="9">
        <f>C266+1</f>
        <v>13</v>
      </c>
      <c r="D290" s="9" t="s">
        <v>16</v>
      </c>
      <c r="E290" s="9" t="s">
        <v>19</v>
      </c>
      <c r="F290" s="9">
        <v>13</v>
      </c>
      <c r="G290" s="9">
        <v>6</v>
      </c>
      <c r="H290">
        <v>9.9999999999999995E-7</v>
      </c>
      <c r="I290">
        <f>LOG(1/H290)</f>
        <v>6</v>
      </c>
      <c r="J290">
        <v>10</v>
      </c>
      <c r="K290">
        <f>AVERAGE(F290,G290)</f>
        <v>9.5</v>
      </c>
      <c r="L290">
        <f>K290/(H290*(J290/1000))</f>
        <v>950000000</v>
      </c>
    </row>
    <row r="291" spans="1:12">
      <c r="A291" t="s">
        <v>17</v>
      </c>
      <c r="B291" t="s">
        <v>18</v>
      </c>
      <c r="C291" s="9">
        <f>C267+1</f>
        <v>13</v>
      </c>
      <c r="D291" s="9" t="s">
        <v>16</v>
      </c>
      <c r="E291" s="9" t="s">
        <v>20</v>
      </c>
      <c r="F291" s="9">
        <v>9</v>
      </c>
      <c r="G291" s="9">
        <v>8</v>
      </c>
      <c r="H291">
        <v>9.9999999999999995E-7</v>
      </c>
      <c r="I291">
        <f>LOG(1/H291)</f>
        <v>6</v>
      </c>
      <c r="J291">
        <v>10</v>
      </c>
      <c r="K291">
        <f>AVERAGE(F291,G291)</f>
        <v>8.5</v>
      </c>
      <c r="L291">
        <f>K291/(H291*(J291/1000))</f>
        <v>850000000</v>
      </c>
    </row>
    <row r="292" spans="1:12">
      <c r="A292" t="s">
        <v>17</v>
      </c>
      <c r="B292" t="s">
        <v>18</v>
      </c>
      <c r="C292" s="9">
        <f>C268+1</f>
        <v>13</v>
      </c>
      <c r="D292" s="9" t="s">
        <v>16</v>
      </c>
      <c r="E292" s="9" t="s">
        <v>21</v>
      </c>
      <c r="F292" s="9">
        <v>6</v>
      </c>
      <c r="G292" s="9">
        <v>10</v>
      </c>
      <c r="H292">
        <v>9.9999999999999995E-7</v>
      </c>
      <c r="I292">
        <f>LOG(1/H292)</f>
        <v>6</v>
      </c>
      <c r="J292">
        <v>10</v>
      </c>
      <c r="K292">
        <f>AVERAGE(F292,G292)</f>
        <v>8</v>
      </c>
      <c r="L292">
        <f>K292/(H292*(J292/1000))</f>
        <v>800000000</v>
      </c>
    </row>
    <row r="293" spans="1:12">
      <c r="A293" t="s">
        <v>17</v>
      </c>
      <c r="B293" t="s">
        <v>18</v>
      </c>
      <c r="C293" s="9">
        <f>C269+1</f>
        <v>13</v>
      </c>
      <c r="D293" s="9" t="s">
        <v>16</v>
      </c>
      <c r="E293" s="9" t="s">
        <v>22</v>
      </c>
      <c r="F293" s="9">
        <v>9</v>
      </c>
      <c r="G293" s="9">
        <v>9</v>
      </c>
      <c r="H293">
        <v>9.9999999999999995E-7</v>
      </c>
      <c r="I293">
        <f>LOG(1/H293)</f>
        <v>6</v>
      </c>
      <c r="J293">
        <v>10</v>
      </c>
      <c r="K293">
        <f>AVERAGE(F293,G293)</f>
        <v>9</v>
      </c>
      <c r="L293">
        <f>K293/(H293*(J293/1000))</f>
        <v>900000000</v>
      </c>
    </row>
    <row r="294" spans="1:12">
      <c r="A294" t="s">
        <v>17</v>
      </c>
      <c r="B294" t="s">
        <v>18</v>
      </c>
      <c r="C294" s="9">
        <f>C270+1</f>
        <v>13</v>
      </c>
      <c r="D294" s="9" t="s">
        <v>16</v>
      </c>
      <c r="E294" s="9">
        <v>1</v>
      </c>
      <c r="F294" s="9">
        <v>3</v>
      </c>
      <c r="G294" s="9">
        <v>6</v>
      </c>
      <c r="H294">
        <v>9.9999999999999995E-7</v>
      </c>
      <c r="I294">
        <f>LOG(1/H294)</f>
        <v>6</v>
      </c>
      <c r="J294">
        <v>10</v>
      </c>
      <c r="K294">
        <f>AVERAGE(F294,G294)</f>
        <v>4.5</v>
      </c>
      <c r="L294">
        <f>K294/(H294*(J294/1000))</f>
        <v>450000000</v>
      </c>
    </row>
    <row r="295" spans="1:12">
      <c r="A295" t="s">
        <v>17</v>
      </c>
      <c r="B295" t="s">
        <v>18</v>
      </c>
      <c r="C295" s="9">
        <f>C271+1</f>
        <v>13</v>
      </c>
      <c r="D295" s="9" t="s">
        <v>16</v>
      </c>
      <c r="E295" s="9">
        <v>2</v>
      </c>
      <c r="F295" s="9">
        <v>2</v>
      </c>
      <c r="G295" s="9">
        <v>4</v>
      </c>
      <c r="H295">
        <v>9.9999999999999995E-7</v>
      </c>
      <c r="I295">
        <f>LOG(1/H295)</f>
        <v>6</v>
      </c>
      <c r="J295">
        <v>10</v>
      </c>
      <c r="K295">
        <f>AVERAGE(F295,G295)</f>
        <v>3</v>
      </c>
      <c r="L295">
        <f>K295/(H295*(J295/1000))</f>
        <v>300000000</v>
      </c>
    </row>
    <row r="296" spans="1:12">
      <c r="A296" t="s">
        <v>17</v>
      </c>
      <c r="B296" t="s">
        <v>18</v>
      </c>
      <c r="C296" s="9">
        <f>C272+1</f>
        <v>13</v>
      </c>
      <c r="D296" s="9" t="s">
        <v>16</v>
      </c>
      <c r="E296" s="9">
        <v>3</v>
      </c>
      <c r="F296" s="9">
        <v>2</v>
      </c>
      <c r="G296" s="9">
        <v>7</v>
      </c>
      <c r="H296">
        <v>9.9999999999999995E-7</v>
      </c>
      <c r="I296">
        <f>LOG(1/H296)</f>
        <v>6</v>
      </c>
      <c r="J296">
        <v>10</v>
      </c>
      <c r="K296">
        <f>AVERAGE(F296,G296)</f>
        <v>4.5</v>
      </c>
      <c r="L296">
        <f>K296/(H296*(J296/1000))</f>
        <v>450000000</v>
      </c>
    </row>
    <row r="297" spans="1:12">
      <c r="A297" t="s">
        <v>17</v>
      </c>
      <c r="B297" t="s">
        <v>18</v>
      </c>
      <c r="C297" s="9">
        <f>C273+1</f>
        <v>13</v>
      </c>
      <c r="D297" s="9" t="s">
        <v>16</v>
      </c>
      <c r="E297" s="9">
        <v>4</v>
      </c>
      <c r="F297" s="9">
        <v>6</v>
      </c>
      <c r="G297" s="9">
        <v>6</v>
      </c>
      <c r="H297">
        <v>9.9999999999999995E-7</v>
      </c>
      <c r="I297">
        <f>LOG(1/H297)</f>
        <v>6</v>
      </c>
      <c r="J297">
        <v>10</v>
      </c>
      <c r="K297">
        <f>AVERAGE(F297,G297)</f>
        <v>6</v>
      </c>
      <c r="L297">
        <f>K297/(H297*(J297/1000))</f>
        <v>600000000</v>
      </c>
    </row>
    <row r="298" spans="1:12">
      <c r="A298" t="s">
        <v>17</v>
      </c>
      <c r="B298" t="s">
        <v>18</v>
      </c>
      <c r="C298" s="9">
        <f>C274+1</f>
        <v>13</v>
      </c>
      <c r="D298" s="9" t="s">
        <v>16</v>
      </c>
      <c r="E298" s="9">
        <v>5</v>
      </c>
      <c r="F298" s="9">
        <v>8</v>
      </c>
      <c r="G298" s="9">
        <v>8</v>
      </c>
      <c r="H298">
        <v>9.9999999999999995E-7</v>
      </c>
      <c r="I298">
        <f>LOG(1/H298)</f>
        <v>6</v>
      </c>
      <c r="J298">
        <v>10</v>
      </c>
      <c r="K298">
        <f>AVERAGE(F298,G298)</f>
        <v>8</v>
      </c>
      <c r="L298">
        <f>K298/(H298*(J298/1000))</f>
        <v>800000000</v>
      </c>
    </row>
    <row r="299" spans="1:12">
      <c r="A299" t="s">
        <v>17</v>
      </c>
      <c r="B299" t="s">
        <v>18</v>
      </c>
      <c r="C299" s="9">
        <f>C275+1</f>
        <v>13</v>
      </c>
      <c r="D299" s="9" t="s">
        <v>16</v>
      </c>
      <c r="E299" s="9">
        <v>6</v>
      </c>
      <c r="F299" s="9">
        <v>2</v>
      </c>
      <c r="G299" s="9">
        <v>3</v>
      </c>
      <c r="H299">
        <v>9.9999999999999995E-7</v>
      </c>
      <c r="I299">
        <f>LOG(1/H299)</f>
        <v>6</v>
      </c>
      <c r="J299">
        <v>10</v>
      </c>
      <c r="K299">
        <f>AVERAGE(F299,G299)</f>
        <v>2.5</v>
      </c>
      <c r="L299">
        <f>K299/(H299*(J299/1000))</f>
        <v>250000000</v>
      </c>
    </row>
    <row r="300" spans="1:12">
      <c r="A300" t="s">
        <v>17</v>
      </c>
      <c r="B300" t="s">
        <v>18</v>
      </c>
      <c r="C300" s="9">
        <f>C276+1</f>
        <v>13</v>
      </c>
      <c r="D300" s="9" t="s">
        <v>16</v>
      </c>
      <c r="E300" s="9">
        <v>7</v>
      </c>
      <c r="F300" s="9">
        <v>11</v>
      </c>
      <c r="G300" s="9">
        <v>14</v>
      </c>
      <c r="H300">
        <v>9.9999999999999995E-7</v>
      </c>
      <c r="I300">
        <f>LOG(1/H300)</f>
        <v>6</v>
      </c>
      <c r="J300">
        <v>10</v>
      </c>
      <c r="K300">
        <f>AVERAGE(F300,G300)</f>
        <v>12.5</v>
      </c>
      <c r="L300">
        <f>K300/(H300*(J300/1000))</f>
        <v>1250000000</v>
      </c>
    </row>
    <row r="301" spans="1:12">
      <c r="A301" t="s">
        <v>17</v>
      </c>
      <c r="B301" t="s">
        <v>18</v>
      </c>
      <c r="C301" s="9">
        <f>C277+1</f>
        <v>13</v>
      </c>
      <c r="D301" s="9" t="s">
        <v>16</v>
      </c>
      <c r="E301" s="9">
        <v>8</v>
      </c>
      <c r="F301" s="9">
        <v>5</v>
      </c>
      <c r="G301" s="9">
        <v>9</v>
      </c>
      <c r="H301">
        <v>9.9999999999999995E-7</v>
      </c>
      <c r="I301">
        <f>LOG(1/H301)</f>
        <v>6</v>
      </c>
      <c r="J301">
        <v>10</v>
      </c>
      <c r="K301">
        <f>AVERAGE(F301,G301)</f>
        <v>7</v>
      </c>
      <c r="L301">
        <f>K301/(H301*(J301/1000))</f>
        <v>700000000</v>
      </c>
    </row>
    <row r="302" spans="1:12">
      <c r="A302" t="s">
        <v>17</v>
      </c>
      <c r="B302" t="s">
        <v>18</v>
      </c>
      <c r="C302" s="9">
        <f>C278+1</f>
        <v>13</v>
      </c>
      <c r="D302" s="9" t="s">
        <v>16</v>
      </c>
      <c r="E302" s="9">
        <v>9</v>
      </c>
      <c r="F302" s="9">
        <v>4</v>
      </c>
      <c r="G302" s="9">
        <v>4</v>
      </c>
      <c r="H302">
        <v>9.9999999999999995E-7</v>
      </c>
      <c r="I302">
        <f>LOG(1/H302)</f>
        <v>6</v>
      </c>
      <c r="J302">
        <v>10</v>
      </c>
      <c r="K302">
        <f>AVERAGE(F302,G302)</f>
        <v>4</v>
      </c>
      <c r="L302">
        <f>K302/(H302*(J302/1000))</f>
        <v>400000000</v>
      </c>
    </row>
    <row r="303" spans="1:12">
      <c r="A303" t="s">
        <v>17</v>
      </c>
      <c r="B303" t="s">
        <v>18</v>
      </c>
      <c r="C303" s="9">
        <f>C279+1</f>
        <v>13</v>
      </c>
      <c r="D303" s="9" t="s">
        <v>16</v>
      </c>
      <c r="E303" s="9">
        <v>10</v>
      </c>
      <c r="F303" s="9">
        <v>6</v>
      </c>
      <c r="G303" s="9">
        <v>3</v>
      </c>
      <c r="H303">
        <v>9.9999999999999995E-7</v>
      </c>
      <c r="I303">
        <f>LOG(1/H303)</f>
        <v>6</v>
      </c>
      <c r="J303">
        <v>10</v>
      </c>
      <c r="K303">
        <f>AVERAGE(F303,G303)</f>
        <v>4.5</v>
      </c>
      <c r="L303">
        <f>K303/(H303*(J303/1000))</f>
        <v>450000000</v>
      </c>
    </row>
    <row r="304" spans="1:12">
      <c r="A304" t="s">
        <v>17</v>
      </c>
      <c r="B304" t="s">
        <v>18</v>
      </c>
      <c r="C304" s="9">
        <f>C280+1</f>
        <v>13.5</v>
      </c>
      <c r="D304" s="9" t="s">
        <v>16</v>
      </c>
      <c r="E304" s="9">
        <v>1</v>
      </c>
      <c r="F304" s="9">
        <v>3</v>
      </c>
      <c r="G304" s="9">
        <v>3</v>
      </c>
      <c r="H304">
        <v>9.9999999999999995E-7</v>
      </c>
      <c r="I304">
        <f>LOG(1/H304)</f>
        <v>6</v>
      </c>
      <c r="J304">
        <v>10</v>
      </c>
      <c r="K304">
        <f>AVERAGE(F304,G304)</f>
        <v>3</v>
      </c>
      <c r="L304">
        <f>K304/(H304*(J304/1000))</f>
        <v>300000000</v>
      </c>
    </row>
    <row r="305" spans="1:12">
      <c r="A305" t="s">
        <v>17</v>
      </c>
      <c r="B305" t="s">
        <v>18</v>
      </c>
      <c r="C305" s="9">
        <f>C281+1</f>
        <v>13.5</v>
      </c>
      <c r="D305" s="9" t="s">
        <v>16</v>
      </c>
      <c r="E305" s="9">
        <v>2</v>
      </c>
      <c r="F305" s="9">
        <v>11</v>
      </c>
      <c r="G305" s="9">
        <v>11</v>
      </c>
      <c r="H305">
        <v>1.0000000000000001E-5</v>
      </c>
      <c r="I305">
        <f>LOG(1/H305)</f>
        <v>5</v>
      </c>
      <c r="J305">
        <v>10</v>
      </c>
      <c r="K305">
        <f>AVERAGE(F305,G305)</f>
        <v>11</v>
      </c>
      <c r="L305">
        <f>K305/(H305*(J305/1000))</f>
        <v>109999999.99999999</v>
      </c>
    </row>
    <row r="306" spans="1:12">
      <c r="A306" t="s">
        <v>17</v>
      </c>
      <c r="B306" t="s">
        <v>18</v>
      </c>
      <c r="C306" s="9">
        <f>C282+1</f>
        <v>13.5</v>
      </c>
      <c r="D306" s="9" t="s">
        <v>16</v>
      </c>
      <c r="E306" s="9">
        <v>3</v>
      </c>
      <c r="F306" s="9">
        <v>14</v>
      </c>
      <c r="G306" s="9">
        <v>15</v>
      </c>
      <c r="H306">
        <v>1.0000000000000001E-5</v>
      </c>
      <c r="I306">
        <f>LOG(1/H306)</f>
        <v>5</v>
      </c>
      <c r="J306">
        <v>10</v>
      </c>
      <c r="K306">
        <f>AVERAGE(F306,G306)</f>
        <v>14.5</v>
      </c>
      <c r="L306">
        <f>K306/(H306*(J306/1000))</f>
        <v>145000000</v>
      </c>
    </row>
    <row r="307" spans="1:12">
      <c r="A307" t="s">
        <v>17</v>
      </c>
      <c r="B307" t="s">
        <v>18</v>
      </c>
      <c r="C307" s="9">
        <f>C283+1</f>
        <v>13.5</v>
      </c>
      <c r="D307" s="9" t="s">
        <v>16</v>
      </c>
      <c r="E307" s="9">
        <v>4</v>
      </c>
      <c r="F307" s="9">
        <v>27</v>
      </c>
      <c r="G307" s="9">
        <v>27</v>
      </c>
      <c r="H307">
        <v>1.0000000000000001E-5</v>
      </c>
      <c r="I307">
        <f>LOG(1/H307)</f>
        <v>5</v>
      </c>
      <c r="J307">
        <v>10</v>
      </c>
      <c r="K307">
        <f>AVERAGE(F307,G307)</f>
        <v>27</v>
      </c>
      <c r="L307">
        <f>K307/(H307*(J307/1000))</f>
        <v>270000000</v>
      </c>
    </row>
    <row r="308" spans="1:12">
      <c r="A308" t="s">
        <v>17</v>
      </c>
      <c r="B308" t="s">
        <v>18</v>
      </c>
      <c r="C308" s="9">
        <f>C284+1</f>
        <v>13.5</v>
      </c>
      <c r="D308" s="9" t="s">
        <v>16</v>
      </c>
      <c r="E308" s="9">
        <v>5</v>
      </c>
      <c r="F308" s="9">
        <v>12</v>
      </c>
      <c r="G308" s="9">
        <v>8</v>
      </c>
      <c r="H308">
        <v>1.0000000000000001E-5</v>
      </c>
      <c r="I308">
        <f>LOG(1/H308)</f>
        <v>5</v>
      </c>
      <c r="J308">
        <v>10</v>
      </c>
      <c r="K308">
        <f>AVERAGE(F308,G308)</f>
        <v>10</v>
      </c>
      <c r="L308">
        <f>K308/(H308*(J308/1000))</f>
        <v>99999999.999999985</v>
      </c>
    </row>
    <row r="309" spans="1:12">
      <c r="A309" t="s">
        <v>17</v>
      </c>
      <c r="B309" t="s">
        <v>18</v>
      </c>
      <c r="C309" s="9">
        <f>C285+1</f>
        <v>13.5</v>
      </c>
      <c r="D309" s="9" t="s">
        <v>16</v>
      </c>
      <c r="E309" s="9">
        <v>6</v>
      </c>
      <c r="F309" s="9">
        <v>26</v>
      </c>
      <c r="G309" s="9">
        <v>25</v>
      </c>
      <c r="H309">
        <v>1.0000000000000001E-5</v>
      </c>
      <c r="I309">
        <f>LOG(1/H309)</f>
        <v>5</v>
      </c>
      <c r="J309">
        <v>10</v>
      </c>
      <c r="K309">
        <f>AVERAGE(F309,G309)</f>
        <v>25.5</v>
      </c>
      <c r="L309">
        <f>K309/(H309*(J309/1000))</f>
        <v>254999999.99999997</v>
      </c>
    </row>
    <row r="310" spans="1:12">
      <c r="A310" t="s">
        <v>17</v>
      </c>
      <c r="B310" t="s">
        <v>18</v>
      </c>
      <c r="C310" s="9">
        <f>C286+1</f>
        <v>13.5</v>
      </c>
      <c r="D310" s="9" t="s">
        <v>16</v>
      </c>
      <c r="E310" s="9">
        <v>7</v>
      </c>
      <c r="F310" s="9">
        <v>10</v>
      </c>
      <c r="G310" s="9">
        <v>8</v>
      </c>
      <c r="H310">
        <v>1.0000000000000001E-5</v>
      </c>
      <c r="I310">
        <f>LOG(1/H310)</f>
        <v>5</v>
      </c>
      <c r="J310">
        <v>10</v>
      </c>
      <c r="K310">
        <f>AVERAGE(F310,G310)</f>
        <v>9</v>
      </c>
      <c r="L310">
        <f>K310/(H310*(J310/1000))</f>
        <v>89999999.999999985</v>
      </c>
    </row>
    <row r="311" spans="1:12">
      <c r="A311" t="s">
        <v>17</v>
      </c>
      <c r="B311" t="s">
        <v>18</v>
      </c>
      <c r="C311" s="9">
        <f>C287+1</f>
        <v>13.5</v>
      </c>
      <c r="D311" s="9" t="s">
        <v>16</v>
      </c>
      <c r="E311" s="9">
        <v>8</v>
      </c>
      <c r="F311" s="9">
        <v>21</v>
      </c>
      <c r="G311" s="9">
        <v>25</v>
      </c>
      <c r="H311">
        <v>1.0000000000000001E-5</v>
      </c>
      <c r="I311">
        <f>LOG(1/H311)</f>
        <v>5</v>
      </c>
      <c r="J311">
        <v>10</v>
      </c>
      <c r="K311">
        <f>AVERAGE(F311,G311)</f>
        <v>23</v>
      </c>
      <c r="L311">
        <f>K311/(H311*(J311/1000))</f>
        <v>229999999.99999997</v>
      </c>
    </row>
    <row r="312" spans="1:12">
      <c r="A312" t="s">
        <v>17</v>
      </c>
      <c r="B312" t="s">
        <v>18</v>
      </c>
      <c r="C312" s="9">
        <f>C288+1</f>
        <v>13.5</v>
      </c>
      <c r="D312" s="9" t="s">
        <v>16</v>
      </c>
      <c r="E312" s="9">
        <v>9</v>
      </c>
      <c r="F312" s="9">
        <v>21</v>
      </c>
      <c r="G312" s="9">
        <v>20</v>
      </c>
      <c r="H312">
        <v>1.0000000000000001E-5</v>
      </c>
      <c r="I312">
        <f>LOG(1/H312)</f>
        <v>5</v>
      </c>
      <c r="J312">
        <v>10</v>
      </c>
      <c r="K312">
        <f>AVERAGE(F312,G312)</f>
        <v>20.5</v>
      </c>
      <c r="L312">
        <f>K312/(H312*(J312/1000))</f>
        <v>204999999.99999997</v>
      </c>
    </row>
    <row r="313" spans="1:12">
      <c r="A313" t="s">
        <v>17</v>
      </c>
      <c r="B313" t="s">
        <v>18</v>
      </c>
      <c r="C313" s="9">
        <f>C289+1</f>
        <v>13.5</v>
      </c>
      <c r="D313" s="9" t="s">
        <v>16</v>
      </c>
      <c r="E313" s="9">
        <v>10</v>
      </c>
      <c r="F313" s="9">
        <v>31</v>
      </c>
      <c r="G313" s="9">
        <v>25</v>
      </c>
      <c r="H313">
        <v>1.0000000000000001E-5</v>
      </c>
      <c r="I313">
        <f>LOG(1/H313)</f>
        <v>5</v>
      </c>
      <c r="J313">
        <v>10</v>
      </c>
      <c r="K313">
        <f>AVERAGE(F313,G313)</f>
        <v>28</v>
      </c>
      <c r="L313">
        <f>K313/(H313*(J313/1000))</f>
        <v>280000000</v>
      </c>
    </row>
    <row r="314" spans="1:12">
      <c r="A314" t="s">
        <v>17</v>
      </c>
      <c r="B314" t="s">
        <v>18</v>
      </c>
      <c r="C314" s="9">
        <f>C290+1</f>
        <v>14</v>
      </c>
      <c r="D314" s="9" t="s">
        <v>16</v>
      </c>
      <c r="E314" s="9" t="s">
        <v>19</v>
      </c>
      <c r="F314" s="9">
        <v>14</v>
      </c>
      <c r="G314" s="9">
        <v>20</v>
      </c>
      <c r="H314">
        <v>1.0000000000000001E-5</v>
      </c>
      <c r="I314">
        <f>LOG(1/H314)</f>
        <v>5</v>
      </c>
      <c r="J314">
        <v>10</v>
      </c>
      <c r="K314">
        <f>AVERAGE(F314,G314)</f>
        <v>17</v>
      </c>
      <c r="L314">
        <f>K314/(H314*(J314/1000))</f>
        <v>170000000</v>
      </c>
    </row>
    <row r="315" spans="1:12">
      <c r="A315" t="s">
        <v>17</v>
      </c>
      <c r="B315" t="s">
        <v>18</v>
      </c>
      <c r="C315" s="9">
        <f>C291+1</f>
        <v>14</v>
      </c>
      <c r="D315" s="9" t="s">
        <v>16</v>
      </c>
      <c r="E315" s="9" t="s">
        <v>20</v>
      </c>
      <c r="F315" s="9">
        <v>24</v>
      </c>
      <c r="G315" s="9">
        <v>17</v>
      </c>
      <c r="H315">
        <v>1.0000000000000001E-5</v>
      </c>
      <c r="I315">
        <f>LOG(1/H315)</f>
        <v>5</v>
      </c>
      <c r="J315">
        <v>10</v>
      </c>
      <c r="K315">
        <f>AVERAGE(F315,G315)</f>
        <v>20.5</v>
      </c>
      <c r="L315">
        <f>K315/(H315*(J315/1000))</f>
        <v>204999999.99999997</v>
      </c>
    </row>
    <row r="316" spans="1:12">
      <c r="A316" t="s">
        <v>17</v>
      </c>
      <c r="B316" t="s">
        <v>18</v>
      </c>
      <c r="C316" s="9">
        <f>C292+1</f>
        <v>14</v>
      </c>
      <c r="D316" s="9" t="s">
        <v>16</v>
      </c>
      <c r="E316" s="9" t="s">
        <v>21</v>
      </c>
      <c r="F316" s="9">
        <v>23</v>
      </c>
      <c r="G316" s="9">
        <v>20</v>
      </c>
      <c r="H316">
        <v>9.9999999999999995E-7</v>
      </c>
      <c r="I316">
        <f>LOG(1/H316)</f>
        <v>6</v>
      </c>
      <c r="J316">
        <v>10</v>
      </c>
      <c r="K316">
        <f>AVERAGE(F316,G316)</f>
        <v>21.5</v>
      </c>
      <c r="L316">
        <f>K316/(H316*(J316/1000))</f>
        <v>2150000000</v>
      </c>
    </row>
    <row r="317" spans="1:12">
      <c r="A317" t="s">
        <v>17</v>
      </c>
      <c r="B317" t="s">
        <v>18</v>
      </c>
      <c r="C317" s="9">
        <f>C293+1</f>
        <v>14</v>
      </c>
      <c r="D317" s="9" t="s">
        <v>16</v>
      </c>
      <c r="E317" s="9" t="s">
        <v>22</v>
      </c>
      <c r="F317" s="9">
        <v>2</v>
      </c>
      <c r="G317" s="9">
        <v>1</v>
      </c>
      <c r="H317">
        <v>9.9999999999999995E-7</v>
      </c>
      <c r="I317">
        <f>LOG(1/H317)</f>
        <v>6</v>
      </c>
      <c r="J317">
        <v>10</v>
      </c>
      <c r="K317">
        <f>AVERAGE(F317,G317)</f>
        <v>1.5</v>
      </c>
      <c r="L317">
        <f>K317/(H317*(J317/1000))</f>
        <v>150000000</v>
      </c>
    </row>
    <row r="318" spans="1:12">
      <c r="A318" t="s">
        <v>17</v>
      </c>
      <c r="B318" t="s">
        <v>18</v>
      </c>
      <c r="C318" s="9">
        <f>C294+1</f>
        <v>14</v>
      </c>
      <c r="D318" s="9" t="s">
        <v>16</v>
      </c>
      <c r="E318" s="9">
        <v>1</v>
      </c>
      <c r="F318" s="9">
        <v>18</v>
      </c>
      <c r="G318" s="9">
        <v>10</v>
      </c>
      <c r="H318">
        <v>1.0000000000000001E-5</v>
      </c>
      <c r="I318">
        <f>LOG(1/H318)</f>
        <v>5</v>
      </c>
      <c r="J318">
        <v>10</v>
      </c>
      <c r="K318">
        <f>AVERAGE(F318,G318)</f>
        <v>14</v>
      </c>
      <c r="L318">
        <f>K318/(H318*(J318/1000))</f>
        <v>140000000</v>
      </c>
    </row>
    <row r="319" spans="1:12">
      <c r="A319" t="s">
        <v>17</v>
      </c>
      <c r="B319" t="s">
        <v>18</v>
      </c>
      <c r="C319" s="9">
        <f>C295+1</f>
        <v>14</v>
      </c>
      <c r="D319" s="9" t="s">
        <v>16</v>
      </c>
      <c r="E319" s="9">
        <v>2</v>
      </c>
      <c r="F319" s="9">
        <v>21</v>
      </c>
      <c r="G319" s="9">
        <v>24</v>
      </c>
      <c r="H319">
        <v>1.0000000000000001E-5</v>
      </c>
      <c r="I319">
        <f>LOG(1/H319)</f>
        <v>5</v>
      </c>
      <c r="J319">
        <v>10</v>
      </c>
      <c r="K319">
        <f>AVERAGE(F319,G319)</f>
        <v>22.5</v>
      </c>
      <c r="L319">
        <f>K319/(H319*(J319/1000))</f>
        <v>224999999.99999997</v>
      </c>
    </row>
    <row r="320" spans="1:12">
      <c r="A320" t="s">
        <v>17</v>
      </c>
      <c r="B320" t="s">
        <v>18</v>
      </c>
      <c r="C320" s="9">
        <f>C296+1</f>
        <v>14</v>
      </c>
      <c r="D320" s="9" t="s">
        <v>16</v>
      </c>
      <c r="E320" s="9">
        <v>3</v>
      </c>
      <c r="F320" s="9">
        <v>23</v>
      </c>
      <c r="G320" s="9">
        <v>21</v>
      </c>
      <c r="H320">
        <v>1.0000000000000001E-5</v>
      </c>
      <c r="I320">
        <f>LOG(1/H320)</f>
        <v>5</v>
      </c>
      <c r="J320">
        <v>10</v>
      </c>
      <c r="K320">
        <f>AVERAGE(F320,G320)</f>
        <v>22</v>
      </c>
      <c r="L320">
        <f>K320/(H320*(J320/1000))</f>
        <v>219999999.99999997</v>
      </c>
    </row>
    <row r="321" spans="1:12">
      <c r="A321" t="s">
        <v>17</v>
      </c>
      <c r="B321" t="s">
        <v>18</v>
      </c>
      <c r="C321" s="9">
        <f>C297+1</f>
        <v>14</v>
      </c>
      <c r="D321" s="9" t="s">
        <v>16</v>
      </c>
      <c r="E321" s="9">
        <v>4</v>
      </c>
      <c r="F321" s="9">
        <v>3</v>
      </c>
      <c r="G321" s="9">
        <v>2</v>
      </c>
      <c r="H321">
        <v>9.9999999999999995E-7</v>
      </c>
      <c r="I321">
        <f>LOG(1/H321)</f>
        <v>6</v>
      </c>
      <c r="J321">
        <v>10</v>
      </c>
      <c r="K321">
        <f>AVERAGE(F321,G321)</f>
        <v>2.5</v>
      </c>
      <c r="L321">
        <f>K321/(H321*(J321/1000))</f>
        <v>250000000</v>
      </c>
    </row>
    <row r="322" spans="1:12">
      <c r="A322" t="s">
        <v>17</v>
      </c>
      <c r="B322" t="s">
        <v>18</v>
      </c>
      <c r="C322" s="9">
        <f>C298+1</f>
        <v>14</v>
      </c>
      <c r="D322" s="9" t="s">
        <v>16</v>
      </c>
      <c r="E322" s="9">
        <v>5</v>
      </c>
      <c r="F322" s="9">
        <v>34</v>
      </c>
      <c r="G322" s="9">
        <v>21</v>
      </c>
      <c r="H322">
        <v>1.0000000000000001E-5</v>
      </c>
      <c r="I322">
        <f>LOG(1/H322)</f>
        <v>5</v>
      </c>
      <c r="J322">
        <v>10</v>
      </c>
      <c r="K322">
        <f>AVERAGE(F322,G322)</f>
        <v>27.5</v>
      </c>
      <c r="L322">
        <f>K322/(H322*(J322/1000))</f>
        <v>275000000</v>
      </c>
    </row>
    <row r="323" spans="1:12">
      <c r="A323" t="s">
        <v>17</v>
      </c>
      <c r="B323" t="s">
        <v>18</v>
      </c>
      <c r="C323" s="9">
        <f>C299+1</f>
        <v>14</v>
      </c>
      <c r="D323" s="9" t="s">
        <v>16</v>
      </c>
      <c r="E323" s="9">
        <v>6</v>
      </c>
      <c r="F323" s="9">
        <v>18</v>
      </c>
      <c r="G323" s="9">
        <v>4</v>
      </c>
      <c r="H323">
        <v>1.0000000000000001E-5</v>
      </c>
      <c r="I323">
        <f>LOG(1/H323)</f>
        <v>5</v>
      </c>
      <c r="J323">
        <v>10</v>
      </c>
      <c r="K323">
        <f>AVERAGE(F323,G323)</f>
        <v>11</v>
      </c>
      <c r="L323">
        <f>K323/(H323*(J323/1000))</f>
        <v>109999999.99999999</v>
      </c>
    </row>
    <row r="324" spans="1:12">
      <c r="A324" t="s">
        <v>17</v>
      </c>
      <c r="B324" t="s">
        <v>18</v>
      </c>
      <c r="C324" s="9">
        <f>C300+1</f>
        <v>14</v>
      </c>
      <c r="D324" s="9" t="s">
        <v>16</v>
      </c>
      <c r="E324" s="9">
        <v>7</v>
      </c>
      <c r="F324" s="9">
        <v>38</v>
      </c>
      <c r="G324" s="9">
        <v>30</v>
      </c>
      <c r="H324">
        <v>1.0000000000000001E-5</v>
      </c>
      <c r="I324">
        <f>LOG(1/H324)</f>
        <v>5</v>
      </c>
      <c r="J324">
        <v>10</v>
      </c>
      <c r="K324">
        <f>AVERAGE(F324,G324)</f>
        <v>34</v>
      </c>
      <c r="L324">
        <f>K324/(H324*(J324/1000))</f>
        <v>340000000</v>
      </c>
    </row>
    <row r="325" spans="1:12">
      <c r="A325" t="s">
        <v>17</v>
      </c>
      <c r="B325" t="s">
        <v>18</v>
      </c>
      <c r="C325" s="9">
        <f>C301+1</f>
        <v>14</v>
      </c>
      <c r="D325" s="9" t="s">
        <v>16</v>
      </c>
      <c r="E325" s="9">
        <v>8</v>
      </c>
      <c r="F325" s="9">
        <v>22</v>
      </c>
      <c r="G325" s="9">
        <v>35</v>
      </c>
      <c r="H325">
        <v>1.0000000000000001E-5</v>
      </c>
      <c r="I325">
        <f>LOG(1/H325)</f>
        <v>5</v>
      </c>
      <c r="J325">
        <v>10</v>
      </c>
      <c r="K325">
        <f>AVERAGE(F325,G325)</f>
        <v>28.5</v>
      </c>
      <c r="L325">
        <f>K325/(H325*(J325/1000))</f>
        <v>285000000</v>
      </c>
    </row>
    <row r="326" spans="1:12">
      <c r="A326" t="s">
        <v>17</v>
      </c>
      <c r="B326" t="s">
        <v>18</v>
      </c>
      <c r="C326" s="9">
        <f>C302+1</f>
        <v>14</v>
      </c>
      <c r="D326" s="9" t="s">
        <v>16</v>
      </c>
      <c r="E326" s="9">
        <v>9</v>
      </c>
      <c r="F326" s="9">
        <v>24</v>
      </c>
      <c r="G326" s="9">
        <v>27</v>
      </c>
      <c r="H326">
        <v>1.0000000000000001E-5</v>
      </c>
      <c r="I326">
        <f>LOG(1/H326)</f>
        <v>5</v>
      </c>
      <c r="J326">
        <v>10</v>
      </c>
      <c r="K326">
        <f>AVERAGE(F326,G326)</f>
        <v>25.5</v>
      </c>
      <c r="L326">
        <f>K326/(H326*(J326/1000))</f>
        <v>254999999.99999997</v>
      </c>
    </row>
    <row r="327" spans="1:12">
      <c r="A327" t="s">
        <v>17</v>
      </c>
      <c r="B327" t="s">
        <v>18</v>
      </c>
      <c r="C327" s="9">
        <f>C303+1</f>
        <v>14</v>
      </c>
      <c r="D327" s="9" t="s">
        <v>16</v>
      </c>
      <c r="E327" s="9">
        <v>10</v>
      </c>
      <c r="F327" s="9">
        <v>25</v>
      </c>
      <c r="G327" s="9">
        <v>26</v>
      </c>
      <c r="H327">
        <v>1.0000000000000001E-5</v>
      </c>
      <c r="I327">
        <f>LOG(1/H327)</f>
        <v>5</v>
      </c>
      <c r="J327">
        <v>10</v>
      </c>
      <c r="K327">
        <f>AVERAGE(F327,G327)</f>
        <v>25.5</v>
      </c>
      <c r="L327">
        <f>K327/(H327*(J327/1000))</f>
        <v>254999999.99999997</v>
      </c>
    </row>
    <row r="328" spans="1:12">
      <c r="A328" t="s">
        <v>17</v>
      </c>
      <c r="B328" t="s">
        <v>18</v>
      </c>
      <c r="C328" s="9">
        <f>C304+1</f>
        <v>14.5</v>
      </c>
      <c r="D328" s="9" t="s">
        <v>16</v>
      </c>
      <c r="E328" s="9">
        <v>1</v>
      </c>
      <c r="F328" s="9">
        <v>13</v>
      </c>
      <c r="G328" s="9">
        <v>10</v>
      </c>
      <c r="H328">
        <v>1.0000000000000001E-5</v>
      </c>
      <c r="I328">
        <f>LOG(1/H328)</f>
        <v>5</v>
      </c>
      <c r="J328">
        <v>10</v>
      </c>
      <c r="K328">
        <f>AVERAGE(F328,G328)</f>
        <v>11.5</v>
      </c>
      <c r="L328">
        <f>K328/(H328*(J328/1000))</f>
        <v>114999999.99999999</v>
      </c>
    </row>
    <row r="329" spans="1:12">
      <c r="A329" t="s">
        <v>17</v>
      </c>
      <c r="B329" t="s">
        <v>18</v>
      </c>
      <c r="C329" s="9">
        <f>C305+1</f>
        <v>14.5</v>
      </c>
      <c r="D329" s="9" t="s">
        <v>16</v>
      </c>
      <c r="E329" s="9">
        <v>2</v>
      </c>
      <c r="F329" s="9">
        <v>7</v>
      </c>
      <c r="G329" s="9">
        <v>12</v>
      </c>
      <c r="H329">
        <v>1.0000000000000001E-5</v>
      </c>
      <c r="I329">
        <f>LOG(1/H329)</f>
        <v>5</v>
      </c>
      <c r="J329">
        <v>10</v>
      </c>
      <c r="K329">
        <f>AVERAGE(F329,G329)</f>
        <v>9.5</v>
      </c>
      <c r="L329">
        <f>K329/(H329*(J329/1000))</f>
        <v>94999999.999999985</v>
      </c>
    </row>
    <row r="330" spans="1:12">
      <c r="A330" t="s">
        <v>17</v>
      </c>
      <c r="B330" t="s">
        <v>18</v>
      </c>
      <c r="C330" s="9">
        <f>C306+1</f>
        <v>14.5</v>
      </c>
      <c r="D330" s="9" t="s">
        <v>16</v>
      </c>
      <c r="E330" s="9">
        <v>3</v>
      </c>
      <c r="F330" s="9">
        <v>14</v>
      </c>
      <c r="G330" s="9">
        <v>20</v>
      </c>
      <c r="H330">
        <v>1.0000000000000001E-5</v>
      </c>
      <c r="I330">
        <f>LOG(1/H330)</f>
        <v>5</v>
      </c>
      <c r="J330">
        <v>10</v>
      </c>
      <c r="K330">
        <f>AVERAGE(F330,G330)</f>
        <v>17</v>
      </c>
      <c r="L330">
        <f>K330/(H330*(J330/1000))</f>
        <v>170000000</v>
      </c>
    </row>
    <row r="331" spans="1:12">
      <c r="A331" t="s">
        <v>17</v>
      </c>
      <c r="B331" t="s">
        <v>18</v>
      </c>
      <c r="C331" s="9">
        <f>C307+1</f>
        <v>14.5</v>
      </c>
      <c r="D331" s="9" t="s">
        <v>16</v>
      </c>
      <c r="E331" s="9">
        <v>4</v>
      </c>
      <c r="F331" s="9">
        <v>27</v>
      </c>
      <c r="G331" s="9">
        <v>18</v>
      </c>
      <c r="H331">
        <v>1.0000000000000001E-5</v>
      </c>
      <c r="I331">
        <f>LOG(1/H331)</f>
        <v>5</v>
      </c>
      <c r="J331">
        <v>10</v>
      </c>
      <c r="K331">
        <f>AVERAGE(F331,G331)</f>
        <v>22.5</v>
      </c>
      <c r="L331">
        <f>K331/(H331*(J331/1000))</f>
        <v>224999999.99999997</v>
      </c>
    </row>
    <row r="332" spans="1:12">
      <c r="A332" t="s">
        <v>17</v>
      </c>
      <c r="B332" t="s">
        <v>18</v>
      </c>
      <c r="C332" s="9">
        <f>C308+1</f>
        <v>14.5</v>
      </c>
      <c r="D332" s="9" t="s">
        <v>16</v>
      </c>
      <c r="E332" s="9">
        <v>5</v>
      </c>
      <c r="F332" s="9">
        <v>5</v>
      </c>
      <c r="G332" s="9">
        <v>3</v>
      </c>
      <c r="H332">
        <v>1.0000000000000001E-5</v>
      </c>
      <c r="I332">
        <f>LOG(1/H332)</f>
        <v>5</v>
      </c>
      <c r="J332">
        <v>10</v>
      </c>
      <c r="K332">
        <f>AVERAGE(F332,G332)</f>
        <v>4</v>
      </c>
      <c r="L332">
        <f>K332/(H332*(J332/1000))</f>
        <v>40000000</v>
      </c>
    </row>
    <row r="333" spans="1:12">
      <c r="A333" t="s">
        <v>17</v>
      </c>
      <c r="B333" t="s">
        <v>18</v>
      </c>
      <c r="C333" s="9">
        <f>C309+1</f>
        <v>14.5</v>
      </c>
      <c r="D333" s="9" t="s">
        <v>16</v>
      </c>
      <c r="E333" s="9">
        <v>6</v>
      </c>
      <c r="F333" s="9">
        <v>15</v>
      </c>
      <c r="G333" s="9">
        <v>13</v>
      </c>
      <c r="H333">
        <v>1.0000000000000001E-5</v>
      </c>
      <c r="I333">
        <f>LOG(1/H333)</f>
        <v>5</v>
      </c>
      <c r="J333">
        <v>10</v>
      </c>
      <c r="K333">
        <f>AVERAGE(F333,G333)</f>
        <v>14</v>
      </c>
      <c r="L333">
        <f>K333/(H333*(J333/1000))</f>
        <v>140000000</v>
      </c>
    </row>
    <row r="334" spans="1:12">
      <c r="A334" t="s">
        <v>17</v>
      </c>
      <c r="B334" t="s">
        <v>18</v>
      </c>
      <c r="C334" s="9">
        <f>C310+1</f>
        <v>14.5</v>
      </c>
      <c r="D334" s="9" t="s">
        <v>16</v>
      </c>
      <c r="E334" s="9">
        <v>7</v>
      </c>
      <c r="F334" s="9">
        <v>9</v>
      </c>
      <c r="G334" s="9">
        <v>23</v>
      </c>
      <c r="H334">
        <v>1E-4</v>
      </c>
      <c r="I334">
        <f>LOG(1/H334)</f>
        <v>4</v>
      </c>
      <c r="J334">
        <v>10</v>
      </c>
      <c r="K334">
        <f>AVERAGE(F334,G334)</f>
        <v>16</v>
      </c>
      <c r="L334">
        <f>K334/(H334*(J334/1000))</f>
        <v>15999999.999999998</v>
      </c>
    </row>
    <row r="335" spans="1:12">
      <c r="A335" t="s">
        <v>17</v>
      </c>
      <c r="B335" t="s">
        <v>18</v>
      </c>
      <c r="C335" s="9">
        <f>C311+1</f>
        <v>14.5</v>
      </c>
      <c r="D335" s="9" t="s">
        <v>16</v>
      </c>
      <c r="E335" s="9">
        <v>8</v>
      </c>
      <c r="F335" s="9">
        <v>13</v>
      </c>
      <c r="G335" s="9">
        <v>16</v>
      </c>
      <c r="H335">
        <v>1.0000000000000001E-5</v>
      </c>
      <c r="I335">
        <f>LOG(1/H335)</f>
        <v>5</v>
      </c>
      <c r="J335">
        <v>10</v>
      </c>
      <c r="K335">
        <f>AVERAGE(F335,G335)</f>
        <v>14.5</v>
      </c>
      <c r="L335">
        <f>K335/(H335*(J335/1000))</f>
        <v>145000000</v>
      </c>
    </row>
    <row r="336" spans="1:12">
      <c r="A336" t="s">
        <v>17</v>
      </c>
      <c r="B336" t="s">
        <v>18</v>
      </c>
      <c r="C336" s="9">
        <f>C312+1</f>
        <v>14.5</v>
      </c>
      <c r="D336" s="9" t="s">
        <v>16</v>
      </c>
      <c r="E336" s="9">
        <v>9</v>
      </c>
      <c r="F336" s="9">
        <v>19</v>
      </c>
      <c r="G336" s="9">
        <v>16</v>
      </c>
      <c r="H336">
        <v>1.0000000000000001E-5</v>
      </c>
      <c r="I336">
        <f>LOG(1/H336)</f>
        <v>5</v>
      </c>
      <c r="J336">
        <v>10</v>
      </c>
      <c r="K336">
        <f>AVERAGE(F336,G336)</f>
        <v>17.5</v>
      </c>
      <c r="L336">
        <f>K336/(H336*(J336/1000))</f>
        <v>174999999.99999997</v>
      </c>
    </row>
    <row r="337" spans="1:12">
      <c r="A337" t="s">
        <v>17</v>
      </c>
      <c r="B337" t="s">
        <v>18</v>
      </c>
      <c r="C337" s="9">
        <f>C313+1</f>
        <v>14.5</v>
      </c>
      <c r="D337" s="9" t="s">
        <v>16</v>
      </c>
      <c r="E337" s="9">
        <v>10</v>
      </c>
      <c r="F337" s="9">
        <v>17</v>
      </c>
      <c r="G337" s="9">
        <v>14</v>
      </c>
      <c r="H337">
        <v>1.0000000000000001E-5</v>
      </c>
      <c r="I337">
        <f>LOG(1/H337)</f>
        <v>5</v>
      </c>
      <c r="J337">
        <v>10</v>
      </c>
      <c r="K337">
        <f>AVERAGE(F337,G337)</f>
        <v>15.5</v>
      </c>
      <c r="L337">
        <f>K337/(H337*(J337/1000))</f>
        <v>155000000</v>
      </c>
    </row>
    <row r="338" spans="1:12">
      <c r="A338" t="s">
        <v>17</v>
      </c>
      <c r="B338" t="s">
        <v>18</v>
      </c>
      <c r="C338" s="9">
        <f>C314+1</f>
        <v>15</v>
      </c>
      <c r="D338" s="9" t="s">
        <v>16</v>
      </c>
      <c r="E338" s="9" t="s">
        <v>19</v>
      </c>
      <c r="F338" s="9">
        <v>3</v>
      </c>
      <c r="G338" s="9">
        <v>8</v>
      </c>
      <c r="H338">
        <v>9.9999999999999995E-7</v>
      </c>
      <c r="I338">
        <f>LOG(1/H338)</f>
        <v>6</v>
      </c>
      <c r="J338">
        <v>10</v>
      </c>
      <c r="K338">
        <f>AVERAGE(F338,G338)</f>
        <v>5.5</v>
      </c>
      <c r="L338">
        <f>K338/(H338*(J338/1000))</f>
        <v>550000000</v>
      </c>
    </row>
    <row r="339" spans="1:12">
      <c r="A339" t="s">
        <v>17</v>
      </c>
      <c r="B339" t="s">
        <v>18</v>
      </c>
      <c r="C339" s="9">
        <f>C315+1</f>
        <v>15</v>
      </c>
      <c r="D339" s="9" t="s">
        <v>16</v>
      </c>
      <c r="E339" s="9" t="s">
        <v>20</v>
      </c>
      <c r="F339" s="9">
        <v>7</v>
      </c>
      <c r="G339" s="9">
        <v>3</v>
      </c>
      <c r="H339">
        <v>9.9999999999999995E-7</v>
      </c>
      <c r="I339">
        <f>LOG(1/H339)</f>
        <v>6</v>
      </c>
      <c r="J339">
        <v>10</v>
      </c>
      <c r="K339">
        <f>AVERAGE(F339,G339)</f>
        <v>5</v>
      </c>
      <c r="L339">
        <f>K339/(H339*(J339/1000))</f>
        <v>500000000</v>
      </c>
    </row>
    <row r="340" spans="1:12">
      <c r="A340" t="s">
        <v>17</v>
      </c>
      <c r="B340" t="s">
        <v>18</v>
      </c>
      <c r="C340" s="9">
        <f>C316+1</f>
        <v>15</v>
      </c>
      <c r="D340" s="9" t="s">
        <v>16</v>
      </c>
      <c r="E340" s="9" t="s">
        <v>21</v>
      </c>
      <c r="F340" s="9">
        <v>9</v>
      </c>
      <c r="G340" s="9">
        <v>3</v>
      </c>
      <c r="H340">
        <v>9.9999999999999995E-7</v>
      </c>
      <c r="I340">
        <f>LOG(1/H340)</f>
        <v>6</v>
      </c>
      <c r="J340">
        <v>10</v>
      </c>
      <c r="K340">
        <f>AVERAGE(F340,G340)</f>
        <v>6</v>
      </c>
      <c r="L340">
        <f>K340/(H340*(J340/1000))</f>
        <v>600000000</v>
      </c>
    </row>
    <row r="341" spans="1:12">
      <c r="A341" t="s">
        <v>17</v>
      </c>
      <c r="B341" t="s">
        <v>18</v>
      </c>
      <c r="C341" s="9">
        <f>C317+1</f>
        <v>15</v>
      </c>
      <c r="D341" s="9" t="s">
        <v>16</v>
      </c>
      <c r="E341" s="9" t="s">
        <v>22</v>
      </c>
      <c r="F341" s="9">
        <v>4</v>
      </c>
      <c r="G341" s="9">
        <v>7</v>
      </c>
      <c r="H341">
        <v>9.9999999999999995E-7</v>
      </c>
      <c r="I341">
        <f>LOG(1/H341)</f>
        <v>6</v>
      </c>
      <c r="J341">
        <v>10</v>
      </c>
      <c r="K341">
        <f>AVERAGE(F341,G341)</f>
        <v>5.5</v>
      </c>
      <c r="L341">
        <f>K341/(H341*(J341/1000))</f>
        <v>550000000</v>
      </c>
    </row>
    <row r="342" spans="1:12">
      <c r="A342" t="s">
        <v>17</v>
      </c>
      <c r="B342" t="s">
        <v>18</v>
      </c>
      <c r="C342" s="9">
        <f>C318+1</f>
        <v>15</v>
      </c>
      <c r="D342" s="9" t="s">
        <v>16</v>
      </c>
      <c r="E342" s="9">
        <v>1</v>
      </c>
      <c r="F342" s="9">
        <v>4</v>
      </c>
      <c r="G342" s="9">
        <v>1</v>
      </c>
      <c r="H342">
        <v>9.9999999999999995E-7</v>
      </c>
      <c r="I342">
        <f>LOG(1/H342)</f>
        <v>6</v>
      </c>
      <c r="J342">
        <v>10</v>
      </c>
      <c r="K342">
        <f>AVERAGE(F342,G342)</f>
        <v>2.5</v>
      </c>
      <c r="L342">
        <f>K342/(H342*(J342/1000))</f>
        <v>250000000</v>
      </c>
    </row>
    <row r="343" spans="1:12">
      <c r="A343" t="s">
        <v>17</v>
      </c>
      <c r="B343" t="s">
        <v>18</v>
      </c>
      <c r="C343" s="9">
        <f>C319+1</f>
        <v>15</v>
      </c>
      <c r="D343" s="9" t="s">
        <v>16</v>
      </c>
      <c r="E343" s="9">
        <v>2</v>
      </c>
      <c r="F343" s="9">
        <v>2</v>
      </c>
      <c r="G343" s="9">
        <v>8</v>
      </c>
      <c r="H343">
        <v>9.9999999999999995E-7</v>
      </c>
      <c r="I343">
        <f>LOG(1/H343)</f>
        <v>6</v>
      </c>
      <c r="J343">
        <v>10</v>
      </c>
      <c r="K343">
        <f>AVERAGE(F343,G343)</f>
        <v>5</v>
      </c>
      <c r="L343">
        <f>K343/(H343*(J343/1000))</f>
        <v>500000000</v>
      </c>
    </row>
    <row r="344" spans="1:12">
      <c r="A344" t="s">
        <v>17</v>
      </c>
      <c r="B344" t="s">
        <v>18</v>
      </c>
      <c r="C344" s="9">
        <f>C320+1</f>
        <v>15</v>
      </c>
      <c r="D344" s="9" t="s">
        <v>16</v>
      </c>
      <c r="E344" s="9">
        <v>3</v>
      </c>
      <c r="F344" s="9">
        <v>4</v>
      </c>
      <c r="G344" s="9">
        <v>2</v>
      </c>
      <c r="H344">
        <v>9.9999999999999995E-7</v>
      </c>
      <c r="I344">
        <f>LOG(1/H344)</f>
        <v>6</v>
      </c>
      <c r="J344">
        <v>10</v>
      </c>
      <c r="K344">
        <f>AVERAGE(F344,G344)</f>
        <v>3</v>
      </c>
      <c r="L344">
        <f>K344/(H344*(J344/1000))</f>
        <v>300000000</v>
      </c>
    </row>
    <row r="345" spans="1:12">
      <c r="A345" t="s">
        <v>17</v>
      </c>
      <c r="B345" t="s">
        <v>18</v>
      </c>
      <c r="C345" s="9">
        <f>C321+1</f>
        <v>15</v>
      </c>
      <c r="D345" s="9" t="s">
        <v>16</v>
      </c>
      <c r="E345" s="9">
        <v>4</v>
      </c>
      <c r="F345" s="9">
        <v>4</v>
      </c>
      <c r="G345" s="9">
        <v>3</v>
      </c>
      <c r="H345">
        <v>9.9999999999999995E-7</v>
      </c>
      <c r="I345">
        <f>LOG(1/H345)</f>
        <v>6</v>
      </c>
      <c r="J345">
        <v>10</v>
      </c>
      <c r="K345">
        <f>AVERAGE(F345,G345)</f>
        <v>3.5</v>
      </c>
      <c r="L345">
        <f>K345/(H345*(J345/1000))</f>
        <v>350000000</v>
      </c>
    </row>
    <row r="346" spans="1:12">
      <c r="A346" t="s">
        <v>17</v>
      </c>
      <c r="B346" t="s">
        <v>18</v>
      </c>
      <c r="C346" s="9">
        <f>C322+1</f>
        <v>15</v>
      </c>
      <c r="D346" s="9" t="s">
        <v>16</v>
      </c>
      <c r="E346" s="9">
        <v>5</v>
      </c>
      <c r="F346" s="9">
        <v>4</v>
      </c>
      <c r="G346" s="9">
        <v>6</v>
      </c>
      <c r="H346">
        <v>9.9999999999999995E-7</v>
      </c>
      <c r="I346">
        <f>LOG(1/H346)</f>
        <v>6</v>
      </c>
      <c r="J346">
        <v>10</v>
      </c>
      <c r="K346">
        <f>AVERAGE(F346,G346)</f>
        <v>5</v>
      </c>
      <c r="L346">
        <f>K346/(H346*(J346/1000))</f>
        <v>500000000</v>
      </c>
    </row>
    <row r="347" spans="1:12">
      <c r="A347" t="s">
        <v>17</v>
      </c>
      <c r="B347" t="s">
        <v>18</v>
      </c>
      <c r="C347" s="9">
        <f>C323+1</f>
        <v>15</v>
      </c>
      <c r="D347" s="9" t="s">
        <v>16</v>
      </c>
      <c r="E347" s="9">
        <v>6</v>
      </c>
      <c r="F347" s="9">
        <v>22</v>
      </c>
      <c r="G347" s="9">
        <v>24</v>
      </c>
      <c r="H347">
        <v>1.0000000000000001E-5</v>
      </c>
      <c r="I347">
        <f>LOG(1/H347)</f>
        <v>5</v>
      </c>
      <c r="J347">
        <v>10</v>
      </c>
      <c r="K347">
        <f>AVERAGE(F347,G347)</f>
        <v>23</v>
      </c>
      <c r="L347">
        <f>K347/(H347*(J347/1000))</f>
        <v>229999999.99999997</v>
      </c>
    </row>
    <row r="348" spans="1:12">
      <c r="A348" t="s">
        <v>17</v>
      </c>
      <c r="B348" t="s">
        <v>18</v>
      </c>
      <c r="C348" s="9">
        <f>C324+1</f>
        <v>15</v>
      </c>
      <c r="D348" s="9" t="s">
        <v>16</v>
      </c>
      <c r="E348" s="9">
        <v>7</v>
      </c>
      <c r="F348" s="9">
        <v>5</v>
      </c>
      <c r="G348" s="9">
        <v>13</v>
      </c>
      <c r="H348">
        <v>9.9999999999999995E-7</v>
      </c>
      <c r="I348">
        <f>LOG(1/H348)</f>
        <v>6</v>
      </c>
      <c r="J348">
        <v>10</v>
      </c>
      <c r="K348">
        <f>AVERAGE(F348,G348)</f>
        <v>9</v>
      </c>
      <c r="L348">
        <f>K348/(H348*(J348/1000))</f>
        <v>900000000</v>
      </c>
    </row>
    <row r="349" spans="1:12">
      <c r="A349" t="s">
        <v>17</v>
      </c>
      <c r="B349" t="s">
        <v>18</v>
      </c>
      <c r="C349" s="9">
        <f>C325+1</f>
        <v>15</v>
      </c>
      <c r="D349" s="9" t="s">
        <v>16</v>
      </c>
      <c r="E349" s="9">
        <v>8</v>
      </c>
      <c r="F349" s="9">
        <v>2</v>
      </c>
      <c r="G349" s="9">
        <v>7</v>
      </c>
      <c r="H349">
        <v>9.9999999999999995E-7</v>
      </c>
      <c r="I349">
        <f>LOG(1/H349)</f>
        <v>6</v>
      </c>
      <c r="J349">
        <v>10</v>
      </c>
      <c r="K349">
        <f>AVERAGE(F349,G349)</f>
        <v>4.5</v>
      </c>
      <c r="L349">
        <f>K349/(H349*(J349/1000))</f>
        <v>450000000</v>
      </c>
    </row>
    <row r="350" spans="1:12">
      <c r="A350" t="s">
        <v>17</v>
      </c>
      <c r="B350" t="s">
        <v>18</v>
      </c>
      <c r="C350" s="9">
        <f>C326+1</f>
        <v>15</v>
      </c>
      <c r="D350" s="9" t="s">
        <v>16</v>
      </c>
      <c r="E350" s="9">
        <v>9</v>
      </c>
      <c r="F350" s="9">
        <v>3</v>
      </c>
      <c r="G350" s="9">
        <v>3</v>
      </c>
      <c r="H350">
        <v>9.9999999999999995E-7</v>
      </c>
      <c r="I350">
        <f>LOG(1/H350)</f>
        <v>6</v>
      </c>
      <c r="J350">
        <v>10</v>
      </c>
      <c r="K350">
        <f>AVERAGE(F350,G350)</f>
        <v>3</v>
      </c>
      <c r="L350">
        <f>K350/(H350*(J350/1000))</f>
        <v>300000000</v>
      </c>
    </row>
    <row r="351" spans="1:12">
      <c r="A351" t="s">
        <v>17</v>
      </c>
      <c r="B351" t="s">
        <v>18</v>
      </c>
      <c r="C351" s="9">
        <f>C327+1</f>
        <v>15</v>
      </c>
      <c r="D351" s="9" t="s">
        <v>16</v>
      </c>
      <c r="E351" s="9">
        <v>10</v>
      </c>
      <c r="F351" s="9">
        <v>4</v>
      </c>
      <c r="G351" s="9">
        <v>1</v>
      </c>
      <c r="H351">
        <v>9.9999999999999995E-7</v>
      </c>
      <c r="I351">
        <f>LOG(1/H351)</f>
        <v>6</v>
      </c>
      <c r="J351">
        <v>10</v>
      </c>
      <c r="K351">
        <f>AVERAGE(F351,G351)</f>
        <v>2.5</v>
      </c>
      <c r="L351">
        <f>K351/(H351*(J351/1000))</f>
        <v>250000000</v>
      </c>
    </row>
    <row r="352" spans="1:12">
      <c r="A352" t="s">
        <v>17</v>
      </c>
      <c r="B352" t="s">
        <v>18</v>
      </c>
      <c r="C352" s="9">
        <f>C328+1</f>
        <v>15.5</v>
      </c>
      <c r="D352" s="9" t="s">
        <v>16</v>
      </c>
      <c r="E352" s="9">
        <v>1</v>
      </c>
      <c r="F352" s="9">
        <v>5</v>
      </c>
      <c r="G352" s="9">
        <v>2</v>
      </c>
      <c r="H352">
        <v>9.9999999999999995E-7</v>
      </c>
      <c r="I352">
        <f>LOG(1/H352)</f>
        <v>6</v>
      </c>
      <c r="J352">
        <v>10</v>
      </c>
      <c r="K352">
        <f>AVERAGE(F352,G352)</f>
        <v>3.5</v>
      </c>
      <c r="L352">
        <f>K352/(H352*(J352/1000))</f>
        <v>350000000</v>
      </c>
    </row>
    <row r="353" spans="1:12">
      <c r="A353" t="s">
        <v>17</v>
      </c>
      <c r="B353" t="s">
        <v>18</v>
      </c>
      <c r="C353" s="9">
        <f>C329+1</f>
        <v>15.5</v>
      </c>
      <c r="D353" s="9" t="s">
        <v>16</v>
      </c>
      <c r="E353" s="9">
        <v>2</v>
      </c>
      <c r="F353" s="10">
        <v>20</v>
      </c>
      <c r="G353" s="9">
        <v>19</v>
      </c>
      <c r="H353">
        <v>1.0000000000000001E-5</v>
      </c>
      <c r="I353">
        <f>LOG(1/H353)</f>
        <v>5</v>
      </c>
      <c r="J353">
        <v>10</v>
      </c>
      <c r="K353">
        <f>AVERAGE(F353,G353)</f>
        <v>19.5</v>
      </c>
      <c r="L353">
        <f>K353/(H353*(J353/1000))</f>
        <v>194999999.99999997</v>
      </c>
    </row>
    <row r="354" spans="1:12">
      <c r="A354" t="s">
        <v>17</v>
      </c>
      <c r="B354" t="s">
        <v>18</v>
      </c>
      <c r="C354" s="9">
        <f>C330+1</f>
        <v>15.5</v>
      </c>
      <c r="D354" s="9" t="s">
        <v>16</v>
      </c>
      <c r="E354" s="9">
        <v>3</v>
      </c>
      <c r="F354" s="9">
        <v>5</v>
      </c>
      <c r="G354" s="9">
        <v>3</v>
      </c>
      <c r="H354">
        <v>9.9999999999999995E-7</v>
      </c>
      <c r="I354">
        <f>LOG(1/H354)</f>
        <v>6</v>
      </c>
      <c r="J354">
        <v>10</v>
      </c>
      <c r="K354">
        <f>AVERAGE(F354,G354)</f>
        <v>4</v>
      </c>
      <c r="L354">
        <f>K354/(H354*(J354/1000))</f>
        <v>400000000</v>
      </c>
    </row>
    <row r="355" spans="1:12">
      <c r="A355" t="s">
        <v>17</v>
      </c>
      <c r="B355" t="s">
        <v>18</v>
      </c>
      <c r="C355" s="9">
        <f>C331+1</f>
        <v>15.5</v>
      </c>
      <c r="D355" s="9" t="s">
        <v>16</v>
      </c>
      <c r="E355" s="9">
        <v>4</v>
      </c>
      <c r="F355" s="9">
        <v>6</v>
      </c>
      <c r="G355" s="9">
        <v>5</v>
      </c>
      <c r="H355">
        <v>9.9999999999999995E-7</v>
      </c>
      <c r="I355">
        <f>LOG(1/H355)</f>
        <v>6</v>
      </c>
      <c r="J355">
        <v>10</v>
      </c>
      <c r="K355">
        <f>AVERAGE(F355,G355)</f>
        <v>5.5</v>
      </c>
      <c r="L355">
        <f>K355/(H355*(J355/1000))</f>
        <v>550000000</v>
      </c>
    </row>
    <row r="356" spans="1:12">
      <c r="A356" t="s">
        <v>17</v>
      </c>
      <c r="B356" t="s">
        <v>18</v>
      </c>
      <c r="C356" s="9">
        <f>C332+1</f>
        <v>15.5</v>
      </c>
      <c r="D356" s="9" t="s">
        <v>16</v>
      </c>
      <c r="E356" s="9">
        <v>5</v>
      </c>
      <c r="F356" s="9">
        <v>14</v>
      </c>
      <c r="G356" s="9">
        <v>18</v>
      </c>
      <c r="H356">
        <v>1.0000000000000001E-5</v>
      </c>
      <c r="I356">
        <f>LOG(1/H356)</f>
        <v>5</v>
      </c>
      <c r="J356">
        <v>10</v>
      </c>
      <c r="K356">
        <f>AVERAGE(F356,G356)</f>
        <v>16</v>
      </c>
      <c r="L356">
        <f>K356/(H356*(J356/1000))</f>
        <v>160000000</v>
      </c>
    </row>
    <row r="357" spans="1:12">
      <c r="A357" t="s">
        <v>17</v>
      </c>
      <c r="B357" t="s">
        <v>18</v>
      </c>
      <c r="C357" s="9">
        <f>C333+1</f>
        <v>15.5</v>
      </c>
      <c r="D357" s="9" t="s">
        <v>16</v>
      </c>
      <c r="E357" s="9">
        <v>6</v>
      </c>
      <c r="F357" s="9">
        <v>21</v>
      </c>
      <c r="G357" s="9">
        <v>30</v>
      </c>
      <c r="H357">
        <v>1.0000000000000001E-5</v>
      </c>
      <c r="I357">
        <f>LOG(1/H357)</f>
        <v>5</v>
      </c>
      <c r="J357">
        <v>10</v>
      </c>
      <c r="K357">
        <f>AVERAGE(F357,G357)</f>
        <v>25.5</v>
      </c>
      <c r="L357">
        <f>K357/(H357*(J357/1000))</f>
        <v>254999999.99999997</v>
      </c>
    </row>
    <row r="358" spans="1:12">
      <c r="A358" t="s">
        <v>17</v>
      </c>
      <c r="B358" t="s">
        <v>18</v>
      </c>
      <c r="C358" s="9">
        <f>C334+1</f>
        <v>15.5</v>
      </c>
      <c r="D358" s="9" t="s">
        <v>16</v>
      </c>
      <c r="E358" s="9">
        <v>7</v>
      </c>
      <c r="F358" s="9">
        <v>18</v>
      </c>
      <c r="G358" s="9">
        <v>12</v>
      </c>
      <c r="H358">
        <v>1.0000000000000001E-5</v>
      </c>
      <c r="I358">
        <f>LOG(1/H358)</f>
        <v>5</v>
      </c>
      <c r="J358">
        <v>10</v>
      </c>
      <c r="K358">
        <f>AVERAGE(F358,G358)</f>
        <v>15</v>
      </c>
      <c r="L358">
        <f>K358/(H358*(J358/1000))</f>
        <v>150000000</v>
      </c>
    </row>
    <row r="359" spans="1:12">
      <c r="A359" t="s">
        <v>17</v>
      </c>
      <c r="B359" t="s">
        <v>18</v>
      </c>
      <c r="C359" s="9">
        <f>C335+1</f>
        <v>15.5</v>
      </c>
      <c r="D359" s="9" t="s">
        <v>16</v>
      </c>
      <c r="E359" s="9">
        <v>8</v>
      </c>
      <c r="F359" s="9">
        <v>4</v>
      </c>
      <c r="G359" s="9">
        <v>3</v>
      </c>
      <c r="H359">
        <v>9.9999999999999995E-7</v>
      </c>
      <c r="I359">
        <f>LOG(1/H359)</f>
        <v>6</v>
      </c>
      <c r="J359">
        <v>10</v>
      </c>
      <c r="K359">
        <f>AVERAGE(F359,G359)</f>
        <v>3.5</v>
      </c>
      <c r="L359">
        <f>K359/(H359*(J359/1000))</f>
        <v>350000000</v>
      </c>
    </row>
    <row r="360" spans="1:12">
      <c r="A360" t="s">
        <v>17</v>
      </c>
      <c r="B360" t="s">
        <v>18</v>
      </c>
      <c r="C360" s="9">
        <f>C336+1</f>
        <v>15.5</v>
      </c>
      <c r="D360" s="9" t="s">
        <v>16</v>
      </c>
      <c r="E360" s="9">
        <v>9</v>
      </c>
      <c r="F360" s="9">
        <v>5</v>
      </c>
      <c r="G360" s="9">
        <v>5</v>
      </c>
      <c r="H360">
        <v>9.9999999999999995E-7</v>
      </c>
      <c r="I360">
        <f>LOG(1/H360)</f>
        <v>6</v>
      </c>
      <c r="J360">
        <v>10</v>
      </c>
      <c r="K360">
        <f>AVERAGE(F360,G360)</f>
        <v>5</v>
      </c>
      <c r="L360">
        <f>K360/(H360*(J360/1000))</f>
        <v>500000000</v>
      </c>
    </row>
    <row r="361" spans="1:12">
      <c r="A361" t="s">
        <v>17</v>
      </c>
      <c r="B361" t="s">
        <v>18</v>
      </c>
      <c r="C361" s="9">
        <f>C337+1</f>
        <v>15.5</v>
      </c>
      <c r="D361" s="9" t="s">
        <v>16</v>
      </c>
      <c r="E361" s="9">
        <v>10</v>
      </c>
      <c r="F361" s="10">
        <v>30</v>
      </c>
      <c r="G361" s="9">
        <v>28</v>
      </c>
      <c r="H361">
        <v>1.0000000000000001E-5</v>
      </c>
      <c r="I361">
        <f>LOG(1/H361)</f>
        <v>5</v>
      </c>
      <c r="J361">
        <v>10</v>
      </c>
      <c r="K361">
        <f>AVERAGE(F361,G361)</f>
        <v>29</v>
      </c>
      <c r="L361">
        <f>K361/(H361*(J361/1000))</f>
        <v>290000000</v>
      </c>
    </row>
    <row r="362" spans="1:12">
      <c r="A362" t="s">
        <v>17</v>
      </c>
      <c r="B362" t="s">
        <v>18</v>
      </c>
      <c r="C362" s="9">
        <f>C338+1</f>
        <v>16</v>
      </c>
      <c r="D362" s="9" t="s">
        <v>16</v>
      </c>
      <c r="E362" s="9" t="s">
        <v>19</v>
      </c>
      <c r="F362" s="9">
        <v>5</v>
      </c>
      <c r="G362" s="9">
        <v>8</v>
      </c>
      <c r="H362">
        <v>9.9999999999999995E-7</v>
      </c>
      <c r="I362">
        <f>LOG(1/H362)</f>
        <v>6</v>
      </c>
      <c r="J362">
        <v>10</v>
      </c>
      <c r="K362">
        <f>AVERAGE(F362,G362)</f>
        <v>6.5</v>
      </c>
      <c r="L362">
        <f>K362/(H362*(J362/1000))</f>
        <v>650000000</v>
      </c>
    </row>
    <row r="363" spans="1:12">
      <c r="A363" t="s">
        <v>17</v>
      </c>
      <c r="B363" t="s">
        <v>18</v>
      </c>
      <c r="C363" s="9">
        <f>C339+1</f>
        <v>16</v>
      </c>
      <c r="D363" s="9" t="s">
        <v>16</v>
      </c>
      <c r="E363" s="9" t="s">
        <v>20</v>
      </c>
      <c r="F363" s="9">
        <v>2</v>
      </c>
      <c r="G363" s="9">
        <v>6</v>
      </c>
      <c r="H363">
        <v>9.9999999999999995E-7</v>
      </c>
      <c r="I363">
        <f>LOG(1/H363)</f>
        <v>6</v>
      </c>
      <c r="J363">
        <v>10</v>
      </c>
      <c r="K363">
        <f>AVERAGE(F363,G363)</f>
        <v>4</v>
      </c>
      <c r="L363">
        <f>K363/(H363*(J363/1000))</f>
        <v>400000000</v>
      </c>
    </row>
    <row r="364" spans="1:12">
      <c r="A364" t="s">
        <v>17</v>
      </c>
      <c r="B364" t="s">
        <v>18</v>
      </c>
      <c r="C364" s="9">
        <f>C340+1</f>
        <v>16</v>
      </c>
      <c r="D364" s="9" t="s">
        <v>16</v>
      </c>
      <c r="E364" s="9" t="s">
        <v>21</v>
      </c>
      <c r="F364" s="9">
        <v>6</v>
      </c>
      <c r="G364" s="9">
        <v>6</v>
      </c>
      <c r="H364">
        <v>9.9999999999999995E-7</v>
      </c>
      <c r="I364">
        <f>LOG(1/H364)</f>
        <v>6</v>
      </c>
      <c r="J364">
        <v>10</v>
      </c>
      <c r="K364">
        <f>AVERAGE(F364,G364)</f>
        <v>6</v>
      </c>
      <c r="L364">
        <f>K364/(H364*(J364/1000))</f>
        <v>600000000</v>
      </c>
    </row>
    <row r="365" spans="1:12">
      <c r="A365" t="s">
        <v>17</v>
      </c>
      <c r="B365" t="s">
        <v>18</v>
      </c>
      <c r="C365" s="9">
        <f>C341+1</f>
        <v>16</v>
      </c>
      <c r="D365" s="9" t="s">
        <v>16</v>
      </c>
      <c r="E365" s="9" t="s">
        <v>22</v>
      </c>
      <c r="F365" s="9">
        <v>5</v>
      </c>
      <c r="G365" s="9">
        <v>7</v>
      </c>
      <c r="H365">
        <v>9.9999999999999995E-7</v>
      </c>
      <c r="I365">
        <f>LOG(1/H365)</f>
        <v>6</v>
      </c>
      <c r="J365">
        <v>10</v>
      </c>
      <c r="K365">
        <f>AVERAGE(F365,G365)</f>
        <v>6</v>
      </c>
      <c r="L365">
        <f>K365/(H365*(J365/1000))</f>
        <v>600000000</v>
      </c>
    </row>
    <row r="366" spans="1:12">
      <c r="A366" t="s">
        <v>17</v>
      </c>
      <c r="B366" t="s">
        <v>18</v>
      </c>
      <c r="C366" s="9">
        <f>C342+1</f>
        <v>16</v>
      </c>
      <c r="D366" s="9" t="s">
        <v>16</v>
      </c>
      <c r="E366" s="9">
        <v>1</v>
      </c>
      <c r="F366" s="9">
        <v>2</v>
      </c>
      <c r="G366" s="9">
        <v>1</v>
      </c>
      <c r="H366">
        <v>9.9999999999999995E-7</v>
      </c>
      <c r="I366">
        <f>LOG(1/H366)</f>
        <v>6</v>
      </c>
      <c r="J366">
        <v>10</v>
      </c>
      <c r="K366">
        <f>AVERAGE(F366,G366)</f>
        <v>1.5</v>
      </c>
      <c r="L366">
        <f>K366/(H366*(J366/1000))</f>
        <v>150000000</v>
      </c>
    </row>
    <row r="367" spans="1:12">
      <c r="A367" t="s">
        <v>17</v>
      </c>
      <c r="B367" t="s">
        <v>18</v>
      </c>
      <c r="C367" s="9">
        <f>C343+1</f>
        <v>16</v>
      </c>
      <c r="D367" s="9" t="s">
        <v>16</v>
      </c>
      <c r="E367" s="9">
        <v>2</v>
      </c>
      <c r="F367" s="9">
        <v>2</v>
      </c>
      <c r="G367" s="9">
        <v>3</v>
      </c>
      <c r="H367">
        <v>9.9999999999999995E-7</v>
      </c>
      <c r="I367">
        <f>LOG(1/H367)</f>
        <v>6</v>
      </c>
      <c r="J367">
        <v>10</v>
      </c>
      <c r="K367">
        <f>AVERAGE(F367,G367)</f>
        <v>2.5</v>
      </c>
      <c r="L367">
        <f>K367/(H367*(J367/1000))</f>
        <v>250000000</v>
      </c>
    </row>
    <row r="368" spans="1:12">
      <c r="A368" t="s">
        <v>17</v>
      </c>
      <c r="B368" t="s">
        <v>18</v>
      </c>
      <c r="C368" s="9">
        <f>C344+1</f>
        <v>16</v>
      </c>
      <c r="D368" s="9" t="s">
        <v>16</v>
      </c>
      <c r="E368" s="9">
        <v>3</v>
      </c>
      <c r="F368" s="9">
        <v>5</v>
      </c>
      <c r="G368" s="9">
        <v>7</v>
      </c>
      <c r="H368">
        <v>9.9999999999999995E-7</v>
      </c>
      <c r="I368">
        <f>LOG(1/H368)</f>
        <v>6</v>
      </c>
      <c r="J368">
        <v>10</v>
      </c>
      <c r="K368">
        <f>AVERAGE(F368,G368)</f>
        <v>6</v>
      </c>
      <c r="L368">
        <f>K368/(H368*(J368/1000))</f>
        <v>600000000</v>
      </c>
    </row>
    <row r="369" spans="1:12">
      <c r="A369" t="s">
        <v>17</v>
      </c>
      <c r="B369" t="s">
        <v>18</v>
      </c>
      <c r="C369" s="9">
        <f>C345+1</f>
        <v>16</v>
      </c>
      <c r="D369" s="9" t="s">
        <v>16</v>
      </c>
      <c r="E369" s="9">
        <v>4</v>
      </c>
      <c r="F369" s="9">
        <v>8</v>
      </c>
      <c r="G369" s="9">
        <v>2</v>
      </c>
      <c r="H369">
        <v>9.9999999999999995E-7</v>
      </c>
      <c r="I369">
        <f>LOG(1/H369)</f>
        <v>6</v>
      </c>
      <c r="J369">
        <v>10</v>
      </c>
      <c r="K369">
        <f>AVERAGE(F369,G369)</f>
        <v>5</v>
      </c>
      <c r="L369">
        <f>K369/(H369*(J369/1000))</f>
        <v>500000000</v>
      </c>
    </row>
    <row r="370" spans="1:12">
      <c r="A370" t="s">
        <v>17</v>
      </c>
      <c r="B370" t="s">
        <v>18</v>
      </c>
      <c r="C370" s="9">
        <f>C346+1</f>
        <v>16</v>
      </c>
      <c r="D370" s="9" t="s">
        <v>16</v>
      </c>
      <c r="E370" s="9">
        <v>5</v>
      </c>
      <c r="F370" s="9">
        <v>4</v>
      </c>
      <c r="G370" s="9">
        <v>6</v>
      </c>
      <c r="H370">
        <v>9.9999999999999995E-7</v>
      </c>
      <c r="I370">
        <f>LOG(1/H370)</f>
        <v>6</v>
      </c>
      <c r="J370">
        <v>10</v>
      </c>
      <c r="K370">
        <f>AVERAGE(F370,G370)</f>
        <v>5</v>
      </c>
      <c r="L370">
        <f>K370/(H370*(J370/1000))</f>
        <v>500000000</v>
      </c>
    </row>
    <row r="371" spans="1:12">
      <c r="A371" t="s">
        <v>17</v>
      </c>
      <c r="B371" t="s">
        <v>18</v>
      </c>
      <c r="C371" s="9">
        <f>C347+1</f>
        <v>16</v>
      </c>
      <c r="D371" s="9" t="s">
        <v>16</v>
      </c>
      <c r="E371" s="9">
        <v>6</v>
      </c>
      <c r="F371" s="9">
        <v>18</v>
      </c>
      <c r="G371" s="9">
        <v>12</v>
      </c>
      <c r="H371">
        <v>1.0000000000000001E-5</v>
      </c>
      <c r="I371">
        <f>LOG(1/H371)</f>
        <v>5</v>
      </c>
      <c r="J371">
        <v>10</v>
      </c>
      <c r="K371">
        <f>AVERAGE(F371,G371)</f>
        <v>15</v>
      </c>
      <c r="L371">
        <f>K371/(H371*(J371/1000))</f>
        <v>150000000</v>
      </c>
    </row>
    <row r="372" spans="1:12">
      <c r="A372" t="s">
        <v>17</v>
      </c>
      <c r="B372" t="s">
        <v>18</v>
      </c>
      <c r="C372" s="9">
        <f>C348+1</f>
        <v>16</v>
      </c>
      <c r="D372" s="9" t="s">
        <v>16</v>
      </c>
      <c r="E372" s="9">
        <v>7</v>
      </c>
      <c r="F372" s="9">
        <v>9</v>
      </c>
      <c r="G372" s="9">
        <v>10</v>
      </c>
      <c r="H372">
        <v>9.9999999999999995E-7</v>
      </c>
      <c r="I372">
        <f>LOG(1/H372)</f>
        <v>6</v>
      </c>
      <c r="J372">
        <v>10</v>
      </c>
      <c r="K372">
        <f>AVERAGE(F372,G372)</f>
        <v>9.5</v>
      </c>
      <c r="L372">
        <f>K372/(H372*(J372/1000))</f>
        <v>950000000</v>
      </c>
    </row>
    <row r="373" spans="1:12">
      <c r="A373" t="s">
        <v>17</v>
      </c>
      <c r="B373" t="s">
        <v>18</v>
      </c>
      <c r="C373" s="9">
        <f>C349+1</f>
        <v>16</v>
      </c>
      <c r="D373" s="9" t="s">
        <v>16</v>
      </c>
      <c r="E373" s="9">
        <v>8</v>
      </c>
      <c r="F373" s="9">
        <v>7</v>
      </c>
      <c r="G373" s="9">
        <v>11</v>
      </c>
      <c r="H373">
        <v>9.9999999999999995E-7</v>
      </c>
      <c r="I373">
        <f>LOG(1/H373)</f>
        <v>6</v>
      </c>
      <c r="J373">
        <v>10</v>
      </c>
      <c r="K373">
        <f>AVERAGE(F373,G373)</f>
        <v>9</v>
      </c>
      <c r="L373">
        <f>K373/(H373*(J373/1000))</f>
        <v>900000000</v>
      </c>
    </row>
    <row r="374" spans="1:12">
      <c r="A374" t="s">
        <v>17</v>
      </c>
      <c r="B374" t="s">
        <v>18</v>
      </c>
      <c r="C374" s="9">
        <f>C350+1</f>
        <v>16</v>
      </c>
      <c r="D374" s="9" t="s">
        <v>16</v>
      </c>
      <c r="E374" s="9">
        <v>9</v>
      </c>
      <c r="F374" s="9">
        <v>4</v>
      </c>
      <c r="G374" s="9">
        <v>6</v>
      </c>
      <c r="H374">
        <v>9.9999999999999995E-7</v>
      </c>
      <c r="I374">
        <f>LOG(1/H374)</f>
        <v>6</v>
      </c>
      <c r="J374">
        <v>10</v>
      </c>
      <c r="K374">
        <f>AVERAGE(F374,G374)</f>
        <v>5</v>
      </c>
      <c r="L374">
        <f>K374/(H374*(J374/1000))</f>
        <v>500000000</v>
      </c>
    </row>
    <row r="375" spans="1:12">
      <c r="A375" t="s">
        <v>17</v>
      </c>
      <c r="B375" t="s">
        <v>18</v>
      </c>
      <c r="C375" s="9">
        <f>C351+1</f>
        <v>16</v>
      </c>
      <c r="D375" s="9" t="s">
        <v>16</v>
      </c>
      <c r="E375" s="9">
        <v>10</v>
      </c>
      <c r="F375" s="9">
        <v>1</v>
      </c>
      <c r="G375" s="9">
        <v>3</v>
      </c>
      <c r="H375">
        <v>9.9999999999999995E-7</v>
      </c>
      <c r="I375">
        <f>LOG(1/H375)</f>
        <v>6</v>
      </c>
      <c r="J375">
        <v>10</v>
      </c>
      <c r="K375">
        <f>AVERAGE(F375,G375)</f>
        <v>2</v>
      </c>
      <c r="L375">
        <f>K375/(H375*(J375/1000))</f>
        <v>200000000</v>
      </c>
    </row>
    <row r="376" spans="1:12">
      <c r="A376" t="s">
        <v>17</v>
      </c>
      <c r="B376" t="s">
        <v>18</v>
      </c>
      <c r="C376" s="9">
        <f>C352+1</f>
        <v>16.5</v>
      </c>
      <c r="D376" s="9" t="s">
        <v>16</v>
      </c>
      <c r="E376" s="9">
        <v>1</v>
      </c>
      <c r="F376" s="9">
        <v>3</v>
      </c>
      <c r="G376" s="9">
        <v>2</v>
      </c>
      <c r="H376">
        <v>9.9999999999999995E-7</v>
      </c>
      <c r="I376">
        <f>LOG(1/H376)</f>
        <v>6</v>
      </c>
      <c r="J376">
        <v>10</v>
      </c>
      <c r="K376">
        <f>AVERAGE(F376,G376)</f>
        <v>2.5</v>
      </c>
      <c r="L376">
        <f>K376/(H376*(J376/1000))</f>
        <v>250000000</v>
      </c>
    </row>
    <row r="377" spans="1:12">
      <c r="A377" t="s">
        <v>17</v>
      </c>
      <c r="B377" t="s">
        <v>18</v>
      </c>
      <c r="C377" s="9">
        <f>C353+1</f>
        <v>16.5</v>
      </c>
      <c r="D377" s="9" t="s">
        <v>16</v>
      </c>
      <c r="E377" s="9">
        <v>2</v>
      </c>
      <c r="F377" s="9">
        <v>25</v>
      </c>
      <c r="G377" s="9">
        <v>24</v>
      </c>
      <c r="H377">
        <v>1.0000000000000001E-5</v>
      </c>
      <c r="I377">
        <f>LOG(1/H377)</f>
        <v>5</v>
      </c>
      <c r="J377">
        <v>10</v>
      </c>
      <c r="K377">
        <f>AVERAGE(F377,G377)</f>
        <v>24.5</v>
      </c>
      <c r="L377">
        <f>K377/(H377*(J377/1000))</f>
        <v>244999999.99999997</v>
      </c>
    </row>
    <row r="378" spans="1:12">
      <c r="A378" t="s">
        <v>17</v>
      </c>
      <c r="B378" t="s">
        <v>18</v>
      </c>
      <c r="C378" s="9">
        <f>C354+1</f>
        <v>16.5</v>
      </c>
      <c r="D378" s="9" t="s">
        <v>16</v>
      </c>
      <c r="E378" s="9">
        <v>3</v>
      </c>
      <c r="F378" s="9">
        <v>7</v>
      </c>
      <c r="G378" s="9">
        <v>6</v>
      </c>
      <c r="H378">
        <v>9.9999999999999995E-7</v>
      </c>
      <c r="I378">
        <f>LOG(1/H378)</f>
        <v>6</v>
      </c>
      <c r="J378">
        <v>10</v>
      </c>
      <c r="K378">
        <f>AVERAGE(F378,G378)</f>
        <v>6.5</v>
      </c>
      <c r="L378">
        <f>K378/(H378*(J378/1000))</f>
        <v>650000000</v>
      </c>
    </row>
    <row r="379" spans="1:12">
      <c r="A379" t="s">
        <v>17</v>
      </c>
      <c r="B379" t="s">
        <v>18</v>
      </c>
      <c r="C379" s="9">
        <f>C355+1</f>
        <v>16.5</v>
      </c>
      <c r="D379" s="9" t="s">
        <v>16</v>
      </c>
      <c r="E379" s="9">
        <v>4</v>
      </c>
      <c r="F379" s="9">
        <v>9</v>
      </c>
      <c r="G379" s="9">
        <v>8</v>
      </c>
      <c r="H379">
        <v>9.9999999999999995E-7</v>
      </c>
      <c r="I379">
        <f>LOG(1/H379)</f>
        <v>6</v>
      </c>
      <c r="J379">
        <v>10</v>
      </c>
      <c r="K379">
        <f>AVERAGE(F379,G379)</f>
        <v>8.5</v>
      </c>
      <c r="L379">
        <f>K379/(H379*(J379/1000))</f>
        <v>850000000</v>
      </c>
    </row>
    <row r="380" spans="1:12">
      <c r="A380" t="s">
        <v>17</v>
      </c>
      <c r="B380" t="s">
        <v>18</v>
      </c>
      <c r="C380" s="9">
        <f>C356+1</f>
        <v>16.5</v>
      </c>
      <c r="D380" s="9" t="s">
        <v>16</v>
      </c>
      <c r="E380" s="9">
        <v>5</v>
      </c>
      <c r="F380" s="9">
        <v>23</v>
      </c>
      <c r="G380" s="9">
        <v>21</v>
      </c>
      <c r="H380">
        <v>1.0000000000000001E-5</v>
      </c>
      <c r="I380">
        <f>LOG(1/H380)</f>
        <v>5</v>
      </c>
      <c r="J380">
        <v>10</v>
      </c>
      <c r="K380">
        <f>AVERAGE(F380,G380)</f>
        <v>22</v>
      </c>
      <c r="L380">
        <f>K380/(H380*(J380/1000))</f>
        <v>219999999.99999997</v>
      </c>
    </row>
    <row r="381" spans="1:12">
      <c r="A381" t="s">
        <v>17</v>
      </c>
      <c r="B381" t="s">
        <v>18</v>
      </c>
      <c r="C381" s="9">
        <f>C357+1</f>
        <v>16.5</v>
      </c>
      <c r="D381" s="9" t="s">
        <v>16</v>
      </c>
      <c r="E381" s="9">
        <v>6</v>
      </c>
      <c r="F381" s="9">
        <v>18</v>
      </c>
      <c r="G381" s="9">
        <v>23</v>
      </c>
      <c r="H381">
        <v>1.0000000000000001E-5</v>
      </c>
      <c r="I381">
        <f>LOG(1/H381)</f>
        <v>5</v>
      </c>
      <c r="J381">
        <v>10</v>
      </c>
      <c r="K381">
        <f>AVERAGE(F381,G381)</f>
        <v>20.5</v>
      </c>
      <c r="L381">
        <f>K381/(H381*(J381/1000))</f>
        <v>204999999.99999997</v>
      </c>
    </row>
    <row r="382" spans="1:12">
      <c r="A382" t="s">
        <v>17</v>
      </c>
      <c r="B382" t="s">
        <v>18</v>
      </c>
      <c r="C382" s="9">
        <f>C358+1</f>
        <v>16.5</v>
      </c>
      <c r="D382" s="9" t="s">
        <v>16</v>
      </c>
      <c r="E382" s="9">
        <v>7</v>
      </c>
      <c r="F382" s="9">
        <v>12</v>
      </c>
      <c r="G382" s="9">
        <v>5</v>
      </c>
      <c r="H382">
        <v>1.0000000000000001E-5</v>
      </c>
      <c r="I382">
        <f>LOG(1/H382)</f>
        <v>5</v>
      </c>
      <c r="J382">
        <v>10</v>
      </c>
      <c r="K382">
        <f>AVERAGE(F382,G382)</f>
        <v>8.5</v>
      </c>
      <c r="L382">
        <f>K382/(H382*(J382/1000))</f>
        <v>85000000</v>
      </c>
    </row>
    <row r="383" spans="1:12">
      <c r="A383" t="s">
        <v>17</v>
      </c>
      <c r="B383" t="s">
        <v>18</v>
      </c>
      <c r="C383" s="9">
        <f>C359+1</f>
        <v>16.5</v>
      </c>
      <c r="D383" s="9" t="s">
        <v>16</v>
      </c>
      <c r="E383" s="9">
        <v>8</v>
      </c>
      <c r="F383" s="9">
        <v>6</v>
      </c>
      <c r="G383" s="9">
        <v>9</v>
      </c>
      <c r="H383">
        <v>9.9999999999999995E-7</v>
      </c>
      <c r="I383">
        <f>LOG(1/H383)</f>
        <v>6</v>
      </c>
      <c r="J383">
        <v>10</v>
      </c>
      <c r="K383">
        <f>AVERAGE(F383,G383)</f>
        <v>7.5</v>
      </c>
      <c r="L383">
        <f>K383/(H383*(J383/1000))</f>
        <v>750000000</v>
      </c>
    </row>
    <row r="384" spans="1:12">
      <c r="A384" t="s">
        <v>17</v>
      </c>
      <c r="B384" t="s">
        <v>18</v>
      </c>
      <c r="C384" s="9">
        <f>C360+1</f>
        <v>16.5</v>
      </c>
      <c r="D384" s="9" t="s">
        <v>16</v>
      </c>
      <c r="E384" s="9">
        <v>9</v>
      </c>
      <c r="F384" s="9">
        <v>24</v>
      </c>
      <c r="G384" s="9">
        <v>34</v>
      </c>
      <c r="H384">
        <v>1.0000000000000001E-5</v>
      </c>
      <c r="I384">
        <f>LOG(1/H384)</f>
        <v>5</v>
      </c>
      <c r="J384">
        <v>10</v>
      </c>
      <c r="K384">
        <f>AVERAGE(F384,G384)</f>
        <v>29</v>
      </c>
      <c r="L384">
        <f>K384/(H384*(J384/1000))</f>
        <v>290000000</v>
      </c>
    </row>
    <row r="385" spans="1:12">
      <c r="A385" t="s">
        <v>17</v>
      </c>
      <c r="B385" t="s">
        <v>18</v>
      </c>
      <c r="C385" s="9">
        <f>C361+1</f>
        <v>16.5</v>
      </c>
      <c r="D385" s="9" t="s">
        <v>16</v>
      </c>
      <c r="E385" s="9">
        <v>10</v>
      </c>
      <c r="F385" s="9">
        <v>22</v>
      </c>
      <c r="G385" s="9">
        <v>17</v>
      </c>
      <c r="H385">
        <v>1.0000000000000001E-5</v>
      </c>
      <c r="I385">
        <f>LOG(1/H385)</f>
        <v>5</v>
      </c>
      <c r="J385">
        <v>10</v>
      </c>
      <c r="K385">
        <f>AVERAGE(F385,G385)</f>
        <v>19.5</v>
      </c>
      <c r="L385">
        <f>K385/(H385*(J385/1000))</f>
        <v>194999999.99999997</v>
      </c>
    </row>
    <row r="492" spans="3:7">
      <c r="C492" s="9"/>
      <c r="D492" s="9"/>
      <c r="E492" s="9"/>
      <c r="F492" s="9"/>
      <c r="G492" s="9"/>
    </row>
    <row r="493" spans="3:7">
      <c r="C493" s="9"/>
      <c r="D493" s="9"/>
      <c r="E493" s="9"/>
      <c r="F493" s="9"/>
      <c r="G493" s="9"/>
    </row>
    <row r="494" spans="3:7">
      <c r="C494" s="9"/>
      <c r="D494" s="9"/>
      <c r="E494" s="9"/>
      <c r="F494" s="9"/>
      <c r="G494" s="9"/>
    </row>
    <row r="495" spans="3:7">
      <c r="C495" s="9"/>
      <c r="D495" s="9"/>
      <c r="E495" s="9"/>
      <c r="F495" s="9"/>
      <c r="G495" s="9"/>
    </row>
    <row r="496" spans="3:7">
      <c r="C496" s="9"/>
      <c r="D496" s="9"/>
      <c r="E496" s="9"/>
      <c r="F496" s="9"/>
      <c r="G496" s="9"/>
    </row>
    <row r="497" spans="3:7">
      <c r="C497" s="9"/>
      <c r="D497" s="9"/>
      <c r="E497" s="9"/>
      <c r="F497" s="9"/>
      <c r="G497" s="9"/>
    </row>
    <row r="498" spans="3:7">
      <c r="C498" s="9"/>
      <c r="D498" s="9"/>
      <c r="E498" s="9"/>
      <c r="F498" s="9"/>
      <c r="G498" s="9"/>
    </row>
    <row r="499" spans="3:7">
      <c r="C499" s="9"/>
      <c r="D499" s="9"/>
      <c r="E499" s="9"/>
      <c r="F499" s="9"/>
      <c r="G499" s="9"/>
    </row>
    <row r="500" spans="3:7">
      <c r="C500" s="9"/>
      <c r="D500" s="9"/>
      <c r="E500" s="9"/>
      <c r="F500" s="9"/>
      <c r="G500" s="9"/>
    </row>
    <row r="501" spans="3:7">
      <c r="C501" s="9"/>
      <c r="D501" s="9"/>
      <c r="E501" s="9"/>
      <c r="F501" s="9"/>
      <c r="G501" s="9"/>
    </row>
    <row r="502" spans="3:7">
      <c r="C502" s="9"/>
      <c r="D502" s="9"/>
      <c r="E502" s="9"/>
      <c r="F502" s="9"/>
      <c r="G502" s="9"/>
    </row>
    <row r="503" spans="3:7">
      <c r="C503" s="9"/>
      <c r="D503" s="9"/>
      <c r="E503" s="9"/>
      <c r="F503" s="9"/>
      <c r="G503" s="9"/>
    </row>
    <row r="504" spans="3:7">
      <c r="C504" s="9"/>
      <c r="D504" s="9"/>
      <c r="E504" s="9"/>
      <c r="F504" s="9"/>
      <c r="G504" s="9"/>
    </row>
    <row r="505" spans="3:7">
      <c r="C505" s="9"/>
      <c r="D505" s="9"/>
      <c r="E505" s="9"/>
      <c r="F505" s="9"/>
      <c r="G505" s="9"/>
    </row>
    <row r="506" spans="3:7">
      <c r="C506" s="9"/>
      <c r="D506" s="9"/>
      <c r="E506" s="9"/>
      <c r="F506" s="9"/>
      <c r="G506" s="9"/>
    </row>
    <row r="507" spans="3:7">
      <c r="C507" s="9"/>
      <c r="D507" s="9"/>
      <c r="E507" s="9"/>
      <c r="F507" s="9"/>
      <c r="G507" s="9"/>
    </row>
    <row r="508" spans="3:7">
      <c r="C508" s="9"/>
      <c r="D508" s="9"/>
      <c r="E508" s="9"/>
      <c r="F508" s="9"/>
      <c r="G508" s="9"/>
    </row>
    <row r="509" spans="3:7">
      <c r="C509" s="9"/>
      <c r="D509" s="9"/>
      <c r="E509" s="9"/>
      <c r="F509" s="9"/>
      <c r="G509" s="9"/>
    </row>
    <row r="510" spans="3:7">
      <c r="C510" s="9"/>
      <c r="D510" s="9"/>
      <c r="E510" s="9"/>
      <c r="F510" s="9"/>
      <c r="G510" s="9"/>
    </row>
    <row r="511" spans="3:7">
      <c r="C511" s="9"/>
      <c r="D511" s="9"/>
      <c r="E511" s="9"/>
      <c r="F511" s="9"/>
      <c r="G511" s="9"/>
    </row>
    <row r="512" spans="3:7">
      <c r="C512" s="9"/>
      <c r="D512" s="9"/>
      <c r="E512" s="9"/>
      <c r="F512" s="9"/>
      <c r="G512" s="9"/>
    </row>
    <row r="513" spans="3:7">
      <c r="C513" s="9"/>
      <c r="D513" s="9"/>
      <c r="E513" s="9"/>
      <c r="F513" s="9"/>
      <c r="G513" s="9"/>
    </row>
    <row r="514" spans="3:7">
      <c r="C514" s="9"/>
      <c r="D514" s="9"/>
      <c r="E514" s="9"/>
      <c r="F514" s="9"/>
      <c r="G514" s="9"/>
    </row>
    <row r="515" spans="3:7">
      <c r="C515" s="9"/>
      <c r="D515" s="9"/>
      <c r="E515" s="9"/>
      <c r="F515" s="9"/>
      <c r="G515" s="9"/>
    </row>
    <row r="516" spans="3:7">
      <c r="C516" s="9"/>
      <c r="D516" s="9"/>
      <c r="E516" s="9"/>
      <c r="F516" s="9"/>
      <c r="G516" s="9"/>
    </row>
    <row r="517" spans="3:7">
      <c r="C517" s="9"/>
      <c r="D517" s="9"/>
      <c r="E517" s="9"/>
      <c r="F517" s="9"/>
      <c r="G517" s="9"/>
    </row>
    <row r="518" spans="3:7">
      <c r="C518" s="9"/>
      <c r="D518" s="9"/>
      <c r="E518" s="9"/>
      <c r="F518" s="9"/>
      <c r="G518" s="9"/>
    </row>
    <row r="519" spans="3:7">
      <c r="C519" s="9"/>
      <c r="D519" s="9"/>
      <c r="E519" s="9"/>
      <c r="F519" s="9"/>
      <c r="G519" s="9"/>
    </row>
    <row r="520" spans="3:7">
      <c r="C520" s="9"/>
      <c r="D520" s="9"/>
      <c r="E520" s="9"/>
      <c r="F520" s="9"/>
      <c r="G520" s="9"/>
    </row>
    <row r="521" spans="3:7">
      <c r="C521" s="9"/>
      <c r="D521" s="9"/>
      <c r="E521" s="9"/>
      <c r="F521" s="9"/>
      <c r="G521" s="9"/>
    </row>
    <row r="522" spans="3:7">
      <c r="C522" s="9"/>
      <c r="D522" s="9"/>
      <c r="E522" s="9"/>
      <c r="F522" s="9"/>
      <c r="G522" s="9"/>
    </row>
    <row r="523" spans="3:7">
      <c r="C523" s="9"/>
      <c r="D523" s="9"/>
      <c r="E523" s="9"/>
      <c r="F523" s="9"/>
      <c r="G523" s="9"/>
    </row>
    <row r="524" spans="3:7">
      <c r="C524" s="9"/>
      <c r="D524" s="9"/>
      <c r="E524" s="9"/>
      <c r="F524" s="9"/>
      <c r="G524" s="9"/>
    </row>
    <row r="525" spans="3:7">
      <c r="C525" s="9"/>
      <c r="D525" s="9"/>
      <c r="E525" s="9"/>
      <c r="F525" s="9"/>
      <c r="G525" s="9"/>
    </row>
    <row r="526" spans="3:7">
      <c r="C526" s="9"/>
      <c r="D526" s="9"/>
      <c r="E526" s="9"/>
      <c r="F526" s="9"/>
      <c r="G526" s="9"/>
    </row>
    <row r="527" spans="3:7">
      <c r="C527" s="9"/>
      <c r="D527" s="9"/>
      <c r="E527" s="9"/>
      <c r="F527" s="9"/>
      <c r="G527" s="9"/>
    </row>
    <row r="528" spans="3:7">
      <c r="C528" s="9"/>
      <c r="D528" s="9"/>
      <c r="E528" s="9"/>
      <c r="F528" s="9"/>
      <c r="G528" s="9"/>
    </row>
    <row r="529" spans="3:7">
      <c r="C529" s="9"/>
      <c r="D529" s="9"/>
      <c r="E529" s="9"/>
      <c r="F529" s="9"/>
      <c r="G529" s="9"/>
    </row>
    <row r="530" spans="3:7">
      <c r="C530" s="9"/>
      <c r="D530" s="9"/>
      <c r="E530" s="9"/>
      <c r="F530" s="9"/>
      <c r="G530" s="9"/>
    </row>
    <row r="531" spans="3:7">
      <c r="C531" s="9"/>
      <c r="D531" s="9"/>
      <c r="E531" s="9"/>
      <c r="F531" s="9"/>
      <c r="G531" s="9"/>
    </row>
    <row r="532" spans="3:7">
      <c r="C532" s="9"/>
      <c r="D532" s="9"/>
      <c r="E532" s="9"/>
      <c r="F532" s="9"/>
      <c r="G532" s="9"/>
    </row>
    <row r="533" spans="3:7">
      <c r="C533" s="9"/>
      <c r="D533" s="9"/>
      <c r="E533" s="9"/>
      <c r="F533" s="9"/>
      <c r="G533" s="9"/>
    </row>
    <row r="534" spans="3:7">
      <c r="C534" s="9"/>
      <c r="D534" s="9"/>
      <c r="E534" s="9"/>
      <c r="F534" s="9"/>
      <c r="G534" s="9"/>
    </row>
    <row r="535" spans="3:7">
      <c r="C535" s="9"/>
      <c r="D535" s="9"/>
      <c r="E535" s="9"/>
      <c r="F535" s="9"/>
      <c r="G535" s="9"/>
    </row>
    <row r="536" spans="3:7">
      <c r="C536" s="9"/>
      <c r="D536" s="9"/>
      <c r="E536" s="9"/>
      <c r="F536" s="9"/>
      <c r="G536" s="9"/>
    </row>
    <row r="537" spans="3:7">
      <c r="C537" s="9"/>
      <c r="D537" s="9"/>
      <c r="E537" s="9"/>
      <c r="F537" s="9"/>
      <c r="G537" s="9"/>
    </row>
    <row r="538" spans="3:7">
      <c r="C538" s="9"/>
      <c r="D538" s="9"/>
      <c r="E538" s="9"/>
      <c r="F538" s="9"/>
      <c r="G538" s="9"/>
    </row>
    <row r="539" spans="3:7">
      <c r="C539" s="9"/>
      <c r="D539" s="9"/>
      <c r="E539" s="9"/>
      <c r="F539" s="9"/>
      <c r="G539" s="9"/>
    </row>
    <row r="540" spans="3:7">
      <c r="C540" s="9"/>
      <c r="D540" s="9"/>
      <c r="E540" s="9"/>
      <c r="F540" s="9"/>
      <c r="G540" s="9"/>
    </row>
    <row r="541" spans="3:7">
      <c r="C541" s="9"/>
      <c r="D541" s="9"/>
      <c r="E541" s="9"/>
      <c r="F541" s="9"/>
      <c r="G541" s="9"/>
    </row>
    <row r="542" spans="3:7">
      <c r="C542" s="9"/>
      <c r="D542" s="9"/>
      <c r="E542" s="9"/>
      <c r="F542" s="9"/>
      <c r="G542" s="9"/>
    </row>
    <row r="543" spans="3:7">
      <c r="C543" s="9"/>
      <c r="D543" s="9"/>
      <c r="E543" s="9"/>
      <c r="F543" s="9"/>
      <c r="G543" s="9"/>
    </row>
    <row r="544" spans="3:7">
      <c r="C544" s="9"/>
      <c r="D544" s="9"/>
      <c r="E544" s="9"/>
      <c r="F544" s="9"/>
      <c r="G544" s="9"/>
    </row>
    <row r="545" spans="3:7">
      <c r="C545" s="9"/>
      <c r="D545" s="9"/>
      <c r="E545" s="9"/>
      <c r="F545" s="9"/>
      <c r="G545" s="9"/>
    </row>
    <row r="546" spans="3:7">
      <c r="C546" s="9"/>
      <c r="D546" s="9"/>
      <c r="E546" s="9"/>
      <c r="F546" s="9"/>
      <c r="G546" s="9"/>
    </row>
    <row r="547" spans="3:7">
      <c r="C547" s="9"/>
      <c r="D547" s="9"/>
      <c r="E547" s="9"/>
      <c r="F547" s="9"/>
      <c r="G547" s="9"/>
    </row>
    <row r="548" spans="3:7">
      <c r="C548" s="9"/>
      <c r="D548" s="9"/>
      <c r="E548" s="9"/>
      <c r="F548" s="9"/>
      <c r="G548" s="10"/>
    </row>
    <row r="549" spans="3:7">
      <c r="C549" s="9"/>
      <c r="D549" s="9"/>
      <c r="E549" s="9"/>
      <c r="F549" s="9"/>
      <c r="G549" s="9"/>
    </row>
    <row r="550" spans="3:7">
      <c r="C550" s="9"/>
      <c r="D550" s="9"/>
      <c r="E550" s="9"/>
      <c r="F550" s="9"/>
      <c r="G550" s="9"/>
    </row>
    <row r="551" spans="3:7">
      <c r="C551" s="9"/>
      <c r="D551" s="9"/>
      <c r="E551" s="9"/>
      <c r="F551" s="9"/>
      <c r="G551" s="9"/>
    </row>
    <row r="552" spans="3:7">
      <c r="C552" s="9"/>
      <c r="D552" s="9"/>
      <c r="E552" s="9"/>
      <c r="F552" s="9"/>
      <c r="G552" s="9"/>
    </row>
    <row r="553" spans="3:7">
      <c r="C553" s="9"/>
      <c r="D553" s="9"/>
      <c r="E553" s="9"/>
      <c r="F553" s="9"/>
      <c r="G553" s="9"/>
    </row>
    <row r="554" spans="3:7">
      <c r="C554" s="9"/>
      <c r="D554" s="9"/>
      <c r="E554" s="9"/>
      <c r="F554" s="9"/>
      <c r="G554" s="9"/>
    </row>
    <row r="555" spans="3:7">
      <c r="C555" s="9"/>
      <c r="D555" s="9"/>
      <c r="E555" s="9"/>
      <c r="F555" s="9"/>
      <c r="G555" s="9"/>
    </row>
    <row r="556" spans="3:7">
      <c r="C556" s="9"/>
      <c r="D556" s="9"/>
      <c r="E556" s="9"/>
      <c r="F556" s="9"/>
      <c r="G556" s="9"/>
    </row>
    <row r="557" spans="3:7">
      <c r="C557" s="9"/>
      <c r="D557" s="9"/>
      <c r="E557" s="9"/>
      <c r="F557" s="9"/>
      <c r="G557" s="9"/>
    </row>
    <row r="558" spans="3:7">
      <c r="C558" s="9"/>
      <c r="D558" s="9"/>
      <c r="E558" s="9"/>
      <c r="F558" s="9"/>
      <c r="G558" s="9"/>
    </row>
    <row r="559" spans="3:7">
      <c r="C559" s="9"/>
      <c r="D559" s="9"/>
      <c r="E559" s="9"/>
      <c r="F559" s="9"/>
      <c r="G559" s="9"/>
    </row>
    <row r="560" spans="3:7">
      <c r="C560" s="9"/>
      <c r="D560" s="9"/>
      <c r="E560" s="9"/>
      <c r="F560" s="9"/>
      <c r="G560" s="9"/>
    </row>
    <row r="561" spans="3:7">
      <c r="C561" s="9"/>
      <c r="D561" s="9"/>
      <c r="E561" s="9"/>
      <c r="F561" s="9"/>
      <c r="G561" s="9"/>
    </row>
    <row r="562" spans="3:7">
      <c r="C562" s="9"/>
      <c r="D562" s="9"/>
      <c r="E562" s="9"/>
      <c r="F562" s="9"/>
      <c r="G562" s="9"/>
    </row>
    <row r="563" spans="3:7">
      <c r="C563" s="9"/>
      <c r="D563" s="9"/>
      <c r="E563" s="9"/>
      <c r="F563" s="9"/>
      <c r="G563" s="9"/>
    </row>
    <row r="564" spans="3:7">
      <c r="C564" s="9"/>
      <c r="D564" s="9"/>
      <c r="E564" s="9"/>
      <c r="F564" s="9"/>
      <c r="G564" s="9"/>
    </row>
    <row r="565" spans="3:7">
      <c r="C565" s="9"/>
      <c r="D565" s="9"/>
      <c r="E565" s="9"/>
      <c r="F565" s="9"/>
      <c r="G565" s="9"/>
    </row>
    <row r="566" spans="3:7">
      <c r="C566" s="9"/>
      <c r="D566" s="9"/>
      <c r="E566" s="9"/>
      <c r="F566" s="9"/>
      <c r="G566" s="10"/>
    </row>
    <row r="567" spans="3:7">
      <c r="C567" s="9"/>
      <c r="D567" s="9"/>
      <c r="E567" s="9"/>
      <c r="F567" s="9"/>
      <c r="G567" s="9"/>
    </row>
    <row r="568" spans="3:7">
      <c r="C568" s="9"/>
      <c r="D568" s="9"/>
      <c r="E568" s="9"/>
      <c r="F568" s="9"/>
      <c r="G568" s="9"/>
    </row>
    <row r="569" spans="3:7">
      <c r="C569" s="9"/>
      <c r="D569" s="9"/>
      <c r="E569" s="9"/>
      <c r="F569" s="9"/>
      <c r="G569" s="9"/>
    </row>
    <row r="570" spans="3:7">
      <c r="C570" s="9"/>
      <c r="D570" s="9"/>
      <c r="E570" s="9"/>
      <c r="F570" s="9"/>
      <c r="G570" s="9"/>
    </row>
    <row r="571" spans="3:7">
      <c r="C571" s="9"/>
      <c r="D571" s="9"/>
      <c r="E571" s="9"/>
      <c r="F571" s="9"/>
      <c r="G571" s="9"/>
    </row>
    <row r="572" spans="3:7">
      <c r="C572" s="9"/>
      <c r="D572" s="9"/>
      <c r="E572" s="9"/>
      <c r="F572" s="9"/>
      <c r="G572" s="9"/>
    </row>
    <row r="573" spans="3:7">
      <c r="C573" s="9"/>
      <c r="D573" s="9"/>
      <c r="E573" s="9"/>
      <c r="F573" s="9"/>
      <c r="G573" s="9"/>
    </row>
    <row r="574" spans="3:7">
      <c r="C574" s="9"/>
      <c r="D574" s="9"/>
      <c r="E574" s="9"/>
      <c r="F574" s="9"/>
      <c r="G574" s="9"/>
    </row>
    <row r="575" spans="3:7">
      <c r="C575" s="9"/>
      <c r="D575" s="9"/>
      <c r="E575" s="9"/>
      <c r="F575" s="9"/>
      <c r="G575" s="9"/>
    </row>
    <row r="576" spans="3:7">
      <c r="C576" s="9"/>
      <c r="D576" s="9"/>
      <c r="E576" s="9"/>
      <c r="F576" s="9"/>
      <c r="G576" s="9"/>
    </row>
    <row r="577" spans="3:7">
      <c r="C577" s="9"/>
      <c r="D577" s="9"/>
      <c r="E577" s="9"/>
      <c r="F577" s="9"/>
      <c r="G577" s="10"/>
    </row>
    <row r="578" spans="3:7">
      <c r="C578" s="9"/>
      <c r="D578" s="9"/>
      <c r="E578" s="9"/>
      <c r="F578" s="9"/>
      <c r="G578" s="9"/>
    </row>
    <row r="579" spans="3:7">
      <c r="C579" s="9"/>
      <c r="D579" s="9"/>
      <c r="E579" s="9"/>
      <c r="F579" s="10"/>
      <c r="G579" s="9"/>
    </row>
    <row r="580" spans="3:7">
      <c r="C580" s="9"/>
      <c r="D580" s="9"/>
      <c r="E580" s="9"/>
      <c r="F580" s="9"/>
      <c r="G580" s="9"/>
    </row>
    <row r="581" spans="3:7">
      <c r="C581" s="9"/>
      <c r="D581" s="9"/>
      <c r="E581" s="9"/>
      <c r="F581" s="9"/>
      <c r="G581" s="9"/>
    </row>
    <row r="582" spans="3:7">
      <c r="C582" s="9"/>
      <c r="D582" s="9"/>
      <c r="E582" s="9"/>
      <c r="F582" s="9"/>
      <c r="G582" s="9"/>
    </row>
    <row r="583" spans="3:7">
      <c r="C583" s="9"/>
      <c r="D583" s="9"/>
      <c r="E583" s="9"/>
      <c r="F583" s="9"/>
      <c r="G583" s="9"/>
    </row>
    <row r="584" spans="3:7">
      <c r="C584" s="9"/>
      <c r="D584" s="9"/>
      <c r="E584" s="9"/>
      <c r="F584" s="9"/>
      <c r="G584" s="9"/>
    </row>
    <row r="585" spans="3:7">
      <c r="C585" s="9"/>
      <c r="D585" s="9"/>
      <c r="E585" s="9"/>
      <c r="F585" s="9"/>
      <c r="G585" s="9"/>
    </row>
    <row r="586" spans="3:7">
      <c r="C586" s="9"/>
      <c r="D586" s="9"/>
      <c r="E586" s="9"/>
      <c r="F586" s="9"/>
      <c r="G586" s="9"/>
    </row>
    <row r="587" spans="3:7">
      <c r="C587" s="9"/>
      <c r="D587" s="9"/>
      <c r="E587" s="9"/>
      <c r="F587" s="9"/>
      <c r="G587" s="9"/>
    </row>
    <row r="588" spans="3:7">
      <c r="C588" s="9"/>
      <c r="D588" s="9"/>
      <c r="E588" s="9"/>
      <c r="F588" s="9"/>
      <c r="G588" s="9"/>
    </row>
    <row r="589" spans="3:7">
      <c r="C589" s="9"/>
      <c r="D589" s="9"/>
      <c r="E589" s="9"/>
      <c r="F589" s="9"/>
      <c r="G589" s="9"/>
    </row>
    <row r="590" spans="3:7">
      <c r="C590" s="9"/>
      <c r="D590" s="9"/>
      <c r="E590" s="9"/>
      <c r="F590" s="9"/>
      <c r="G590" s="9"/>
    </row>
    <row r="591" spans="3:7">
      <c r="C591" s="9"/>
      <c r="D591" s="9"/>
      <c r="E591" s="9"/>
      <c r="F591" s="9"/>
      <c r="G591" s="9"/>
    </row>
    <row r="592" spans="3:7">
      <c r="C592" s="9"/>
      <c r="D592" s="9"/>
      <c r="E592" s="9"/>
      <c r="F592" s="9"/>
      <c r="G592" s="9"/>
    </row>
    <row r="593" spans="3:7">
      <c r="C593" s="9"/>
      <c r="D593" s="9"/>
      <c r="E593" s="9"/>
      <c r="F593" s="9"/>
      <c r="G593" s="9"/>
    </row>
    <row r="594" spans="3:7">
      <c r="C594" s="9"/>
      <c r="D594" s="9"/>
      <c r="E594" s="9"/>
      <c r="F594" s="9"/>
      <c r="G594" s="9"/>
    </row>
    <row r="595" spans="3:7">
      <c r="C595" s="9"/>
      <c r="D595" s="9"/>
      <c r="E595" s="9"/>
      <c r="F595" s="9"/>
      <c r="G595" s="9"/>
    </row>
    <row r="596" spans="3:7">
      <c r="C596" s="9"/>
      <c r="D596" s="9"/>
      <c r="E596" s="9"/>
      <c r="F596" s="9"/>
      <c r="G596" s="9"/>
    </row>
    <row r="597" spans="3:7">
      <c r="C597" s="9"/>
      <c r="D597" s="9"/>
      <c r="E597" s="9"/>
      <c r="F597" s="9"/>
      <c r="G597" s="9"/>
    </row>
    <row r="598" spans="3:7">
      <c r="C598" s="9"/>
      <c r="D598" s="9"/>
      <c r="E598" s="9"/>
      <c r="F598" s="9"/>
      <c r="G598" s="9"/>
    </row>
    <row r="599" spans="3:7">
      <c r="C599" s="9"/>
      <c r="D599" s="9"/>
      <c r="E599" s="9"/>
      <c r="F599" s="9"/>
      <c r="G599" s="10"/>
    </row>
    <row r="600" spans="3:7">
      <c r="C600" s="9"/>
      <c r="D600" s="9"/>
      <c r="E600" s="9"/>
      <c r="F600" s="9"/>
      <c r="G600" s="9"/>
    </row>
    <row r="601" spans="3:7">
      <c r="C601" s="9"/>
      <c r="D601" s="9"/>
      <c r="E601" s="9"/>
      <c r="F601" s="9"/>
      <c r="G601" s="9"/>
    </row>
    <row r="602" spans="3:7">
      <c r="C602" s="9"/>
      <c r="D602" s="9"/>
      <c r="E602" s="9"/>
      <c r="F602" s="9"/>
      <c r="G602" s="9"/>
    </row>
    <row r="603" spans="3:7">
      <c r="C603" s="9"/>
      <c r="D603" s="9"/>
      <c r="E603" s="9"/>
      <c r="F603" s="9"/>
      <c r="G603" s="9"/>
    </row>
    <row r="604" spans="3:7">
      <c r="C604" s="9"/>
      <c r="D604" s="9"/>
      <c r="E604" s="9"/>
      <c r="F604" s="9"/>
      <c r="G604" s="9"/>
    </row>
    <row r="605" spans="3:7">
      <c r="C605" s="9"/>
      <c r="D605" s="9"/>
      <c r="E605" s="9"/>
      <c r="F605" s="9"/>
      <c r="G605" s="9"/>
    </row>
    <row r="606" spans="3:7">
      <c r="C606" s="9"/>
      <c r="D606" s="9"/>
      <c r="E606" s="9"/>
      <c r="F606" s="9"/>
      <c r="G606" s="9"/>
    </row>
    <row r="607" spans="3:7">
      <c r="C607" s="9"/>
      <c r="D607" s="9"/>
      <c r="E607" s="9"/>
      <c r="F607" s="9"/>
      <c r="G607" s="9"/>
    </row>
    <row r="608" spans="3:7">
      <c r="C608" s="9"/>
      <c r="D608" s="9"/>
      <c r="E608" s="9"/>
      <c r="F608" s="9"/>
      <c r="G608" s="9"/>
    </row>
    <row r="609" spans="3:7">
      <c r="C609" s="9"/>
      <c r="D609" s="9"/>
      <c r="E609" s="9"/>
      <c r="F609" s="9"/>
      <c r="G609" s="9"/>
    </row>
    <row r="610" spans="3:7">
      <c r="C610" s="9"/>
      <c r="D610" s="9"/>
      <c r="E610" s="9"/>
      <c r="F610" s="9"/>
      <c r="G610" s="9"/>
    </row>
    <row r="611" spans="3:7">
      <c r="C611" s="9"/>
      <c r="D611" s="9"/>
      <c r="E611" s="9"/>
      <c r="F611" s="9"/>
      <c r="G611" s="9"/>
    </row>
    <row r="612" spans="3:7">
      <c r="C612" s="9"/>
      <c r="D612" s="9"/>
      <c r="E612" s="9"/>
      <c r="F612" s="9"/>
      <c r="G612" s="9"/>
    </row>
    <row r="613" spans="3:7">
      <c r="C613" s="9"/>
      <c r="D613" s="9"/>
      <c r="E613" s="9"/>
      <c r="F613" s="13"/>
      <c r="G613" s="13"/>
    </row>
    <row r="614" spans="3:7">
      <c r="C614" s="9"/>
      <c r="D614" s="9"/>
      <c r="E614" s="9"/>
      <c r="F614" s="13"/>
      <c r="G614" s="13"/>
    </row>
    <row r="615" spans="3:7">
      <c r="C615" s="9"/>
      <c r="D615" s="9"/>
      <c r="E615" s="9"/>
      <c r="F615" s="9"/>
      <c r="G615" s="9"/>
    </row>
    <row r="616" spans="3:7">
      <c r="C616" s="9"/>
      <c r="D616" s="9"/>
      <c r="E616" s="9"/>
      <c r="F616" s="9"/>
      <c r="G616" s="9"/>
    </row>
    <row r="617" spans="3:7">
      <c r="C617" s="9"/>
      <c r="D617" s="9"/>
      <c r="E617" s="9"/>
      <c r="F617" s="9"/>
      <c r="G617" s="9"/>
    </row>
    <row r="618" spans="3:7">
      <c r="C618" s="9"/>
      <c r="D618" s="9"/>
      <c r="E618" s="9"/>
      <c r="F618" s="9"/>
      <c r="G618" s="9"/>
    </row>
    <row r="619" spans="3:7">
      <c r="C619" s="9"/>
      <c r="D619" s="9"/>
      <c r="E619" s="9"/>
      <c r="F619" s="9"/>
      <c r="G619" s="9"/>
    </row>
    <row r="620" spans="3:7">
      <c r="C620" s="9"/>
      <c r="D620" s="9"/>
      <c r="E620" s="9"/>
      <c r="F620" s="9"/>
      <c r="G620" s="9"/>
    </row>
    <row r="621" spans="3:7">
      <c r="C621" s="9"/>
      <c r="D621" s="9"/>
      <c r="E621" s="9"/>
      <c r="F621" s="9"/>
      <c r="G621" s="9"/>
    </row>
    <row r="622" spans="3:7">
      <c r="C622" s="9"/>
      <c r="D622" s="9"/>
      <c r="E622" s="9"/>
      <c r="F622" s="9"/>
      <c r="G622" s="9"/>
    </row>
    <row r="623" spans="3:7">
      <c r="C623" s="9"/>
      <c r="D623" s="9"/>
      <c r="E623" s="9"/>
      <c r="F623" s="9"/>
      <c r="G623" s="9"/>
    </row>
    <row r="624" spans="3:7">
      <c r="C624" s="9"/>
      <c r="D624" s="9"/>
      <c r="E624" s="9"/>
      <c r="F624" s="9"/>
      <c r="G624" s="9"/>
    </row>
    <row r="625" spans="3:7">
      <c r="C625" s="9"/>
      <c r="D625" s="9"/>
      <c r="E625" s="9"/>
      <c r="F625" s="9"/>
      <c r="G625" s="9"/>
    </row>
    <row r="626" spans="3:7">
      <c r="C626" s="9"/>
      <c r="D626" s="9"/>
      <c r="E626" s="9"/>
      <c r="F626" s="9"/>
      <c r="G626" s="9"/>
    </row>
    <row r="627" spans="3:7">
      <c r="C627" s="9"/>
      <c r="D627" s="9"/>
      <c r="E627" s="9"/>
      <c r="F627" s="9"/>
      <c r="G627" s="9"/>
    </row>
    <row r="628" spans="3:7">
      <c r="C628" s="9"/>
      <c r="D628" s="9"/>
      <c r="E628" s="9"/>
      <c r="F628" s="9"/>
      <c r="G628" s="9"/>
    </row>
    <row r="629" spans="3:7">
      <c r="C629" s="9"/>
      <c r="D629" s="9"/>
      <c r="E629" s="9"/>
      <c r="F629" s="9"/>
      <c r="G629" s="9"/>
    </row>
    <row r="630" spans="3:7">
      <c r="C630" s="9"/>
      <c r="D630" s="9"/>
      <c r="E630" s="9"/>
      <c r="F630" s="9"/>
      <c r="G630" s="9"/>
    </row>
    <row r="631" spans="3:7">
      <c r="C631" s="9"/>
      <c r="D631" s="9"/>
      <c r="E631" s="9"/>
      <c r="F631" s="9"/>
      <c r="G631" s="9"/>
    </row>
    <row r="632" spans="3:7">
      <c r="C632" s="9"/>
      <c r="D632" s="9"/>
      <c r="E632" s="9"/>
      <c r="F632" s="9"/>
      <c r="G632" s="9"/>
    </row>
    <row r="633" spans="3:7">
      <c r="C633" s="9"/>
      <c r="D633" s="9"/>
      <c r="E633" s="9"/>
      <c r="F633" s="9"/>
      <c r="G633" s="9"/>
    </row>
    <row r="634" spans="3:7">
      <c r="C634" s="9"/>
      <c r="D634" s="9"/>
      <c r="E634" s="9"/>
      <c r="F634" s="9"/>
      <c r="G634" s="9"/>
    </row>
    <row r="635" spans="3:7">
      <c r="C635" s="9"/>
      <c r="D635" s="9"/>
      <c r="E635" s="9"/>
      <c r="F635" s="9"/>
      <c r="G635" s="9"/>
    </row>
    <row r="636" spans="3:7">
      <c r="C636" s="9"/>
      <c r="D636" s="9"/>
      <c r="E636" s="9"/>
      <c r="F636" s="9"/>
      <c r="G636" s="9"/>
    </row>
    <row r="637" spans="3:7">
      <c r="C637" s="9"/>
      <c r="D637" s="9"/>
      <c r="E637" s="9"/>
      <c r="F637" s="9"/>
      <c r="G637" s="9"/>
    </row>
    <row r="638" spans="3:7">
      <c r="C638" s="9"/>
      <c r="D638" s="9"/>
      <c r="E638" s="9"/>
      <c r="F638" s="9"/>
      <c r="G638" s="9"/>
    </row>
    <row r="639" spans="3:7">
      <c r="C639" s="9"/>
      <c r="D639" s="9"/>
      <c r="E639" s="9"/>
      <c r="F639" s="9"/>
      <c r="G639" s="9"/>
    </row>
    <row r="640" spans="3:7">
      <c r="C640" s="9"/>
      <c r="D640" s="9"/>
      <c r="E640" s="9"/>
      <c r="F640" s="9"/>
      <c r="G640" s="10"/>
    </row>
    <row r="641" spans="3:7">
      <c r="C641" s="9"/>
      <c r="D641" s="9"/>
      <c r="E641" s="9"/>
      <c r="F641" s="9"/>
      <c r="G641" s="9"/>
    </row>
    <row r="642" spans="3:7">
      <c r="C642" s="9"/>
      <c r="D642" s="9"/>
      <c r="E642" s="9"/>
      <c r="F642" s="9"/>
      <c r="G642" s="9"/>
    </row>
    <row r="643" spans="3:7">
      <c r="C643" s="9"/>
      <c r="D643" s="9"/>
      <c r="E643" s="9"/>
      <c r="F643" s="9"/>
      <c r="G643" s="9"/>
    </row>
    <row r="644" spans="3:7">
      <c r="C644" s="9"/>
      <c r="D644" s="9"/>
      <c r="E644" s="9"/>
      <c r="F644" s="9"/>
      <c r="G644" s="9"/>
    </row>
    <row r="645" spans="3:7">
      <c r="C645" s="9"/>
      <c r="D645" s="9"/>
      <c r="E645" s="9"/>
      <c r="F645" s="9"/>
      <c r="G645" s="9"/>
    </row>
    <row r="646" spans="3:7">
      <c r="C646" s="9"/>
      <c r="D646" s="9"/>
      <c r="E646" s="9"/>
      <c r="F646" s="9"/>
      <c r="G646" s="9"/>
    </row>
    <row r="647" spans="3:7">
      <c r="C647" s="9"/>
      <c r="D647" s="9"/>
      <c r="E647" s="9"/>
      <c r="F647" s="9"/>
      <c r="G647" s="9"/>
    </row>
    <row r="648" spans="3:7">
      <c r="C648" s="9"/>
      <c r="D648" s="9"/>
      <c r="E648" s="9"/>
      <c r="F648" s="9"/>
      <c r="G648" s="9"/>
    </row>
    <row r="649" spans="3:7">
      <c r="C649" s="9"/>
      <c r="D649" s="9"/>
      <c r="E649" s="9"/>
      <c r="F649" s="9"/>
      <c r="G649" s="9"/>
    </row>
    <row r="650" spans="3:7">
      <c r="C650" s="9"/>
      <c r="D650" s="9"/>
      <c r="E650" s="9"/>
      <c r="F650" s="9"/>
      <c r="G650" s="9"/>
    </row>
    <row r="651" spans="3:7">
      <c r="C651" s="9"/>
      <c r="D651" s="9"/>
      <c r="E651" s="9"/>
      <c r="F651" s="9"/>
      <c r="G651" s="9"/>
    </row>
    <row r="652" spans="3:7">
      <c r="C652" s="9"/>
      <c r="D652" s="9"/>
      <c r="E652" s="9"/>
      <c r="F652" s="9"/>
      <c r="G652" s="9"/>
    </row>
    <row r="653" spans="3:7">
      <c r="C653" s="9"/>
      <c r="D653" s="9"/>
      <c r="E653" s="9"/>
      <c r="F653" s="9"/>
      <c r="G653" s="9"/>
    </row>
    <row r="654" spans="3:7">
      <c r="C654" s="9"/>
      <c r="D654" s="9"/>
      <c r="E654" s="9"/>
      <c r="F654" s="9"/>
      <c r="G654" s="9"/>
    </row>
    <row r="655" spans="3:7">
      <c r="C655" s="9"/>
      <c r="D655" s="9"/>
      <c r="E655" s="9"/>
      <c r="F655" s="9"/>
      <c r="G655" s="9"/>
    </row>
    <row r="656" spans="3:7">
      <c r="C656" s="9"/>
      <c r="D656" s="9"/>
      <c r="E656" s="9"/>
      <c r="F656" s="9"/>
      <c r="G656" s="9"/>
    </row>
    <row r="657" spans="3:7">
      <c r="C657" s="9"/>
      <c r="D657" s="9"/>
      <c r="E657" s="9"/>
      <c r="F657" s="9"/>
      <c r="G657" s="9"/>
    </row>
    <row r="658" spans="3:7">
      <c r="C658" s="9"/>
      <c r="D658" s="9"/>
      <c r="E658" s="9"/>
      <c r="F658" s="9"/>
      <c r="G658" s="9"/>
    </row>
    <row r="659" spans="3:7">
      <c r="C659" s="9"/>
      <c r="D659" s="9"/>
      <c r="E659" s="9"/>
      <c r="F659" s="9"/>
      <c r="G659" s="10"/>
    </row>
    <row r="660" spans="3:7">
      <c r="C660" s="9"/>
      <c r="D660" s="9"/>
      <c r="E660" s="9"/>
      <c r="F660" s="9"/>
      <c r="G660" s="9"/>
    </row>
    <row r="661" spans="3:7">
      <c r="C661" s="9"/>
      <c r="D661" s="9"/>
      <c r="E661" s="9"/>
      <c r="F661" s="9"/>
      <c r="G661" s="9"/>
    </row>
    <row r="662" spans="3:7">
      <c r="C662" s="9"/>
      <c r="D662" s="9"/>
      <c r="E662" s="9"/>
      <c r="F662" s="9"/>
      <c r="G662" s="9"/>
    </row>
    <row r="663" spans="3:7">
      <c r="C663" s="9"/>
      <c r="D663" s="9"/>
      <c r="E663" s="9"/>
      <c r="F663" s="9"/>
      <c r="G663" s="9"/>
    </row>
    <row r="664" spans="3:7">
      <c r="C664" s="9"/>
      <c r="D664" s="9"/>
      <c r="E664" s="9"/>
      <c r="F664" s="9"/>
      <c r="G664" s="9"/>
    </row>
    <row r="665" spans="3:7">
      <c r="C665" s="9"/>
      <c r="D665" s="9"/>
      <c r="E665" s="9"/>
      <c r="F665" s="9"/>
      <c r="G665" s="9"/>
    </row>
    <row r="666" spans="3:7">
      <c r="C666" s="9"/>
      <c r="D666" s="9"/>
      <c r="E666" s="9"/>
      <c r="F666" s="9"/>
      <c r="G666" s="9"/>
    </row>
    <row r="667" spans="3:7">
      <c r="C667" s="9"/>
      <c r="D667" s="9"/>
      <c r="E667" s="9"/>
      <c r="F667" s="9"/>
      <c r="G667" s="9"/>
    </row>
    <row r="668" spans="3:7">
      <c r="C668" s="9"/>
      <c r="D668" s="9"/>
      <c r="E668" s="9"/>
      <c r="F668" s="9"/>
      <c r="G668" s="9"/>
    </row>
    <row r="669" spans="3:7">
      <c r="C669" s="9"/>
      <c r="D669" s="9"/>
      <c r="E669" s="9"/>
      <c r="F669" s="9"/>
      <c r="G669" s="9"/>
    </row>
    <row r="670" spans="3:7">
      <c r="C670" s="9"/>
      <c r="D670" s="9"/>
      <c r="E670" s="9"/>
      <c r="F670" s="9"/>
      <c r="G670" s="9"/>
    </row>
    <row r="671" spans="3:7">
      <c r="C671" s="9"/>
      <c r="D671" s="9"/>
      <c r="E671" s="9"/>
      <c r="F671" s="9"/>
      <c r="G671" s="9"/>
    </row>
    <row r="672" spans="3:7">
      <c r="C672" s="9"/>
      <c r="D672" s="9"/>
      <c r="E672" s="9"/>
      <c r="F672" s="9"/>
      <c r="G672" s="9"/>
    </row>
    <row r="673" spans="3:7">
      <c r="C673" s="9"/>
      <c r="D673" s="9"/>
      <c r="E673" s="9"/>
      <c r="F673" s="9"/>
      <c r="G673" s="9"/>
    </row>
    <row r="674" spans="3:7">
      <c r="C674" s="9"/>
      <c r="D674" s="9"/>
      <c r="E674" s="9"/>
      <c r="F674" s="9"/>
      <c r="G674" s="9"/>
    </row>
    <row r="675" spans="3:7">
      <c r="C675" s="9"/>
      <c r="D675" s="9"/>
      <c r="E675" s="9"/>
      <c r="F675" s="9"/>
      <c r="G675" s="9"/>
    </row>
    <row r="676" spans="3:7">
      <c r="C676" s="9"/>
      <c r="D676" s="9"/>
      <c r="E676" s="9"/>
      <c r="F676" s="9"/>
      <c r="G676" s="9"/>
    </row>
    <row r="677" spans="3:7">
      <c r="C677" s="9"/>
      <c r="D677" s="9"/>
      <c r="E677" s="9"/>
      <c r="F677" s="9"/>
      <c r="G677" s="9"/>
    </row>
    <row r="678" spans="3:7">
      <c r="C678" s="9"/>
      <c r="D678" s="9"/>
      <c r="E678" s="9"/>
      <c r="F678" s="9"/>
      <c r="G678" s="9"/>
    </row>
    <row r="679" spans="3:7">
      <c r="C679" s="9"/>
      <c r="D679" s="9"/>
      <c r="E679" s="9"/>
      <c r="F679" s="9"/>
      <c r="G679" s="9"/>
    </row>
    <row r="680" spans="3:7">
      <c r="C680" s="9"/>
      <c r="D680" s="9"/>
      <c r="E680" s="9"/>
      <c r="F680" s="9"/>
      <c r="G680" s="9"/>
    </row>
    <row r="681" spans="3:7">
      <c r="C681" s="9"/>
      <c r="D681" s="9"/>
      <c r="E681" s="9"/>
      <c r="F681" s="9"/>
      <c r="G681" s="9"/>
    </row>
    <row r="682" spans="3:7">
      <c r="C682" s="9"/>
      <c r="D682" s="9"/>
      <c r="E682" s="9"/>
      <c r="F682" s="9"/>
      <c r="G682" s="9"/>
    </row>
    <row r="683" spans="3:7">
      <c r="C683" s="9"/>
      <c r="D683" s="9"/>
      <c r="E683" s="9"/>
      <c r="F683" s="9"/>
      <c r="G683" s="9"/>
    </row>
    <row r="684" spans="3:7">
      <c r="C684" s="9"/>
      <c r="D684" s="9"/>
      <c r="E684" s="9"/>
      <c r="F684" s="9"/>
      <c r="G684" s="9"/>
    </row>
    <row r="685" spans="3:7">
      <c r="C685" s="9"/>
      <c r="D685" s="9"/>
      <c r="E685" s="9"/>
      <c r="F685" s="9"/>
      <c r="G685" s="9"/>
    </row>
    <row r="686" spans="3:7">
      <c r="C686" s="9"/>
      <c r="D686" s="9"/>
      <c r="E686" s="9"/>
      <c r="F686" s="9"/>
      <c r="G686" s="9"/>
    </row>
    <row r="687" spans="3:7">
      <c r="C687" s="9"/>
      <c r="D687" s="9"/>
      <c r="E687" s="9"/>
      <c r="F687" s="9"/>
      <c r="G687" s="9"/>
    </row>
    <row r="688" spans="3:7">
      <c r="C688" s="9"/>
      <c r="D688" s="9"/>
      <c r="E688" s="9"/>
      <c r="F688" s="9"/>
      <c r="G688" s="9"/>
    </row>
    <row r="689" spans="3:7">
      <c r="C689" s="9"/>
      <c r="D689" s="9"/>
      <c r="E689" s="9"/>
      <c r="F689" s="9"/>
      <c r="G689" s="9"/>
    </row>
    <row r="690" spans="3:7">
      <c r="C690" s="9"/>
      <c r="D690" s="9"/>
      <c r="E690" s="9"/>
      <c r="F690" s="9"/>
      <c r="G690" s="9"/>
    </row>
    <row r="691" spans="3:7">
      <c r="C691" s="9"/>
      <c r="D691" s="9"/>
      <c r="E691" s="9"/>
      <c r="F691" s="9"/>
      <c r="G691" s="9"/>
    </row>
    <row r="692" spans="3:7">
      <c r="C692" s="9"/>
      <c r="D692" s="9"/>
      <c r="E692" s="9"/>
      <c r="F692" s="9"/>
      <c r="G692" s="9"/>
    </row>
    <row r="693" spans="3:7">
      <c r="C693" s="9"/>
      <c r="D693" s="9"/>
      <c r="E693" s="9"/>
      <c r="F693" s="9"/>
      <c r="G693" s="9"/>
    </row>
    <row r="694" spans="3:7">
      <c r="C694" s="9"/>
      <c r="D694" s="9"/>
      <c r="E694" s="9"/>
      <c r="F694" s="9"/>
      <c r="G694" s="9"/>
    </row>
    <row r="695" spans="3:7">
      <c r="C695" s="9"/>
      <c r="D695" s="9"/>
      <c r="E695" s="9"/>
      <c r="F695" s="9"/>
      <c r="G695" s="9"/>
    </row>
    <row r="696" spans="3:7">
      <c r="C696" s="9"/>
      <c r="D696" s="9"/>
      <c r="E696" s="9"/>
      <c r="F696" s="9"/>
      <c r="G696" s="9"/>
    </row>
    <row r="697" spans="3:7">
      <c r="C697" s="9"/>
      <c r="D697" s="9"/>
      <c r="E697" s="9"/>
      <c r="F697" s="9"/>
      <c r="G697" s="9"/>
    </row>
    <row r="698" spans="3:7">
      <c r="C698" s="9"/>
      <c r="D698" s="9"/>
      <c r="E698" s="9"/>
      <c r="F698" s="9"/>
      <c r="G698" s="9"/>
    </row>
    <row r="699" spans="3:7">
      <c r="C699" s="9"/>
      <c r="D699" s="9"/>
      <c r="E699" s="9"/>
      <c r="F699" s="9"/>
      <c r="G699" s="9"/>
    </row>
    <row r="700" spans="3:7">
      <c r="C700" s="9"/>
      <c r="D700" s="9"/>
      <c r="E700" s="9"/>
      <c r="F700" s="9"/>
      <c r="G700" s="9"/>
    </row>
    <row r="701" spans="3:7">
      <c r="C701" s="9"/>
      <c r="D701" s="9"/>
      <c r="E701" s="9"/>
      <c r="F701" s="9"/>
      <c r="G701" s="9"/>
    </row>
    <row r="702" spans="3:7">
      <c r="C702" s="9"/>
      <c r="D702" s="9"/>
      <c r="E702" s="9"/>
      <c r="F702" s="9"/>
      <c r="G702" s="9"/>
    </row>
    <row r="703" spans="3:7">
      <c r="C703" s="9"/>
      <c r="D703" s="9"/>
      <c r="E703" s="9"/>
      <c r="F703" s="9"/>
      <c r="G703" s="9"/>
    </row>
    <row r="704" spans="3:7">
      <c r="C704" s="9"/>
      <c r="D704" s="9"/>
      <c r="E704" s="9"/>
      <c r="F704" s="9"/>
      <c r="G704" s="9"/>
    </row>
    <row r="705" spans="3:7">
      <c r="C705" s="9"/>
      <c r="D705" s="9"/>
      <c r="E705" s="9"/>
      <c r="F705" s="9"/>
      <c r="G705" s="9"/>
    </row>
    <row r="706" spans="3:7">
      <c r="C706" s="9"/>
      <c r="D706" s="9"/>
      <c r="E706" s="9"/>
      <c r="F706" s="9"/>
      <c r="G706" s="9"/>
    </row>
    <row r="707" spans="3:7">
      <c r="C707" s="9"/>
      <c r="D707" s="9"/>
      <c r="E707" s="9"/>
      <c r="F707" s="9"/>
      <c r="G707" s="9"/>
    </row>
    <row r="708" spans="3:7">
      <c r="C708" s="9"/>
      <c r="D708" s="9"/>
      <c r="E708" s="9"/>
      <c r="F708" s="9"/>
      <c r="G708" s="9"/>
    </row>
    <row r="709" spans="3:7">
      <c r="C709" s="9"/>
      <c r="D709" s="9"/>
      <c r="E709" s="9"/>
      <c r="F709" s="9"/>
      <c r="G709" s="9"/>
    </row>
    <row r="710" spans="3:7">
      <c r="C710" s="9"/>
      <c r="D710" s="9"/>
      <c r="E710" s="9"/>
      <c r="F710" s="9"/>
      <c r="G710" s="9"/>
    </row>
    <row r="711" spans="3:7">
      <c r="C711" s="9"/>
      <c r="D711" s="9"/>
      <c r="E711" s="9"/>
      <c r="F711" s="9"/>
      <c r="G711" s="9"/>
    </row>
    <row r="712" spans="3:7">
      <c r="C712" s="9"/>
      <c r="D712" s="9"/>
      <c r="E712" s="9"/>
      <c r="F712" s="9"/>
      <c r="G712" s="9"/>
    </row>
    <row r="713" spans="3:7">
      <c r="C713" s="9"/>
      <c r="D713" s="9"/>
      <c r="E713" s="9"/>
      <c r="F713" s="9"/>
      <c r="G713" s="9"/>
    </row>
    <row r="714" spans="3:7">
      <c r="C714" s="9"/>
      <c r="D714" s="9"/>
      <c r="E714" s="9"/>
      <c r="F714" s="9"/>
      <c r="G714" s="9"/>
    </row>
    <row r="715" spans="3:7">
      <c r="C715" s="9"/>
      <c r="D715" s="9"/>
      <c r="E715" s="9"/>
      <c r="F715" s="9"/>
      <c r="G715" s="9"/>
    </row>
    <row r="716" spans="3:7">
      <c r="C716" s="9"/>
      <c r="D716" s="9"/>
      <c r="E716" s="9"/>
      <c r="F716" s="9"/>
      <c r="G716" s="9"/>
    </row>
    <row r="717" spans="3:7">
      <c r="C717" s="9"/>
      <c r="D717" s="9"/>
      <c r="E717" s="9"/>
      <c r="F717" s="9"/>
      <c r="G717" s="9"/>
    </row>
    <row r="718" spans="3:7">
      <c r="C718" s="9"/>
      <c r="D718" s="9"/>
      <c r="E718" s="9"/>
      <c r="F718" s="9"/>
      <c r="G718" s="9"/>
    </row>
    <row r="719" spans="3:7">
      <c r="C719" s="9"/>
      <c r="D719" s="9"/>
      <c r="E719" s="9"/>
      <c r="F719" s="9"/>
      <c r="G719" s="9"/>
    </row>
    <row r="720" spans="3:7">
      <c r="C720" s="9"/>
      <c r="D720" s="9"/>
      <c r="E720" s="9"/>
      <c r="F720" s="9"/>
      <c r="G720" s="9"/>
    </row>
    <row r="721" spans="3:7">
      <c r="C721" s="9"/>
      <c r="D721" s="9"/>
      <c r="E721" s="9"/>
      <c r="F721" s="9"/>
      <c r="G721" s="9"/>
    </row>
    <row r="722" spans="3:7">
      <c r="C722" s="9"/>
      <c r="D722" s="9"/>
      <c r="E722" s="9"/>
      <c r="F722" s="9"/>
      <c r="G722" s="9"/>
    </row>
    <row r="723" spans="3:7">
      <c r="C723" s="9"/>
      <c r="D723" s="9"/>
      <c r="E723" s="9"/>
      <c r="F723" s="9"/>
      <c r="G723" s="9"/>
    </row>
    <row r="724" spans="3:7">
      <c r="C724" s="9"/>
      <c r="D724" s="9"/>
      <c r="E724" s="9"/>
      <c r="F724" s="9"/>
      <c r="G724" s="9"/>
    </row>
    <row r="725" spans="3:7">
      <c r="C725" s="9"/>
      <c r="D725" s="9"/>
      <c r="E725" s="9"/>
      <c r="F725" s="9"/>
      <c r="G725" s="9"/>
    </row>
    <row r="726" spans="3:7">
      <c r="C726" s="9"/>
      <c r="D726" s="9"/>
      <c r="E726" s="9"/>
      <c r="F726" s="9"/>
      <c r="G726" s="9"/>
    </row>
    <row r="727" spans="3:7">
      <c r="C727" s="9"/>
      <c r="D727" s="9"/>
      <c r="E727" s="9"/>
      <c r="F727" s="9"/>
      <c r="G727" s="10"/>
    </row>
    <row r="728" spans="3:7">
      <c r="C728" s="9"/>
      <c r="D728" s="9"/>
      <c r="E728" s="9"/>
      <c r="F728" s="9"/>
      <c r="G728" s="9"/>
    </row>
    <row r="729" spans="3:7">
      <c r="C729" s="9"/>
      <c r="D729" s="9"/>
      <c r="E729" s="9"/>
      <c r="F729" s="9"/>
      <c r="G729" s="9"/>
    </row>
    <row r="730" spans="3:7">
      <c r="C730" s="9"/>
      <c r="D730" s="9"/>
      <c r="E730" s="9"/>
      <c r="F730" s="9"/>
      <c r="G730" s="9"/>
    </row>
    <row r="731" spans="3:7">
      <c r="C731" s="9"/>
      <c r="D731" s="9"/>
      <c r="E731" s="9"/>
      <c r="F731" s="9"/>
      <c r="G731" s="9"/>
    </row>
    <row r="732" spans="3:7">
      <c r="C732" s="9"/>
      <c r="D732" s="9"/>
      <c r="E732" s="9"/>
      <c r="F732" s="9"/>
      <c r="G732" s="9"/>
    </row>
    <row r="733" spans="3:7">
      <c r="C733" s="9"/>
      <c r="D733" s="9"/>
      <c r="E733" s="9"/>
      <c r="F733" s="9"/>
      <c r="G733" s="9"/>
    </row>
    <row r="734" spans="3:7">
      <c r="C734" s="9"/>
      <c r="D734" s="9"/>
      <c r="E734" s="9"/>
      <c r="F734" s="9"/>
      <c r="G734" s="9"/>
    </row>
    <row r="735" spans="3:7">
      <c r="C735" s="9"/>
      <c r="D735" s="9"/>
      <c r="E735" s="9"/>
      <c r="F735" s="9"/>
      <c r="G735" s="9"/>
    </row>
    <row r="736" spans="3:7">
      <c r="C736" s="9"/>
      <c r="D736" s="9"/>
      <c r="E736" s="9"/>
      <c r="F736" s="9"/>
      <c r="G736" s="9"/>
    </row>
    <row r="737" spans="3:7">
      <c r="C737" s="9"/>
      <c r="D737" s="9"/>
      <c r="E737" s="9"/>
      <c r="F737" s="9"/>
      <c r="G737" s="9"/>
    </row>
    <row r="738" spans="3:7">
      <c r="C738" s="9"/>
      <c r="D738" s="9"/>
      <c r="E738" s="9"/>
      <c r="F738" s="9"/>
      <c r="G738" s="9"/>
    </row>
    <row r="739" spans="3:7">
      <c r="C739" s="9"/>
      <c r="D739" s="9"/>
      <c r="E739" s="9"/>
      <c r="F739" s="9"/>
      <c r="G739" s="9"/>
    </row>
    <row r="740" spans="3:7">
      <c r="C740" s="9"/>
      <c r="D740" s="9"/>
      <c r="E740" s="9"/>
      <c r="F740" s="9"/>
      <c r="G740" s="9"/>
    </row>
    <row r="741" spans="3:7">
      <c r="C741" s="9"/>
      <c r="D741" s="9"/>
      <c r="E741" s="9"/>
      <c r="F741" s="9"/>
      <c r="G741" s="9"/>
    </row>
    <row r="742" spans="3:7">
      <c r="C742" s="9"/>
      <c r="D742" s="9"/>
      <c r="E742" s="9"/>
      <c r="F742" s="9"/>
      <c r="G742" s="9"/>
    </row>
    <row r="743" spans="3:7">
      <c r="C743" s="9"/>
      <c r="D743" s="9"/>
      <c r="E743" s="9"/>
      <c r="F743" s="9"/>
      <c r="G743" s="9"/>
    </row>
    <row r="744" spans="3:7">
      <c r="C744" s="9"/>
      <c r="D744" s="9"/>
      <c r="E744" s="9"/>
      <c r="F744" s="9"/>
      <c r="G744" s="9"/>
    </row>
    <row r="745" spans="3:7">
      <c r="C745" s="9"/>
      <c r="D745" s="9"/>
      <c r="E745" s="9"/>
      <c r="F745" s="9"/>
      <c r="G745" s="9"/>
    </row>
    <row r="746" spans="3:7">
      <c r="C746" s="9"/>
      <c r="D746" s="9"/>
      <c r="E746" s="9"/>
      <c r="F746" s="9"/>
      <c r="G746" s="9"/>
    </row>
    <row r="747" spans="3:7">
      <c r="C747" s="9"/>
      <c r="D747" s="9"/>
      <c r="E747" s="9"/>
      <c r="F747" s="9"/>
      <c r="G747" s="9"/>
    </row>
    <row r="748" spans="3:7">
      <c r="C748" s="9"/>
      <c r="D748" s="9"/>
      <c r="E748" s="9"/>
      <c r="F748" s="9"/>
      <c r="G748" s="9"/>
    </row>
    <row r="749" spans="3:7">
      <c r="C749" s="9"/>
      <c r="D749" s="9"/>
      <c r="E749" s="9"/>
      <c r="F749" s="9"/>
      <c r="G749" s="9"/>
    </row>
    <row r="750" spans="3:7">
      <c r="C750" s="9"/>
      <c r="D750" s="9"/>
      <c r="E750" s="9"/>
      <c r="F750" s="9"/>
      <c r="G750" s="9"/>
    </row>
    <row r="751" spans="3:7">
      <c r="C751" s="9"/>
      <c r="D751" s="9"/>
      <c r="E751" s="9"/>
      <c r="F751" s="9"/>
      <c r="G751" s="9"/>
    </row>
    <row r="752" spans="3:7">
      <c r="C752" s="9"/>
      <c r="D752" s="9"/>
      <c r="E752" s="9"/>
      <c r="F752" s="9"/>
      <c r="G752" s="9"/>
    </row>
    <row r="753" spans="3:7">
      <c r="C753" s="9"/>
      <c r="D753" s="9"/>
      <c r="E753" s="9"/>
      <c r="F753" s="9"/>
      <c r="G753" s="9"/>
    </row>
    <row r="754" spans="3:7">
      <c r="C754" s="9"/>
      <c r="D754" s="9"/>
      <c r="E754" s="9"/>
      <c r="F754" s="9"/>
      <c r="G754" s="9"/>
    </row>
    <row r="755" spans="3:7">
      <c r="C755" s="9"/>
      <c r="D755" s="9"/>
      <c r="E755" s="9"/>
      <c r="F755" s="9"/>
      <c r="G755" s="9"/>
    </row>
    <row r="756" spans="3:7">
      <c r="C756" s="9"/>
      <c r="D756" s="9"/>
      <c r="E756" s="9"/>
      <c r="F756" s="9"/>
      <c r="G756" s="9"/>
    </row>
    <row r="757" spans="3:7">
      <c r="C757" s="9"/>
      <c r="D757" s="9"/>
      <c r="E757" s="9"/>
      <c r="F757" s="9"/>
      <c r="G757" s="9"/>
    </row>
    <row r="758" spans="3:7">
      <c r="C758" s="9"/>
      <c r="D758" s="9"/>
      <c r="E758" s="9"/>
      <c r="F758" s="9"/>
      <c r="G758" s="9"/>
    </row>
    <row r="759" spans="3:7">
      <c r="C759" s="9"/>
      <c r="D759" s="9"/>
      <c r="E759" s="9"/>
      <c r="F759" s="9"/>
      <c r="G759" s="9"/>
    </row>
    <row r="760" spans="3:7">
      <c r="C760" s="9"/>
      <c r="D760" s="9"/>
      <c r="E760" s="9"/>
      <c r="F760" s="9"/>
      <c r="G760" s="9"/>
    </row>
    <row r="761" spans="3:7">
      <c r="C761" s="9"/>
      <c r="D761" s="9"/>
      <c r="E761" s="9"/>
      <c r="F761" s="9"/>
      <c r="G761" s="9"/>
    </row>
    <row r="762" spans="3:7">
      <c r="C762" s="9"/>
      <c r="D762" s="9"/>
      <c r="E762" s="9"/>
      <c r="F762" s="9"/>
      <c r="G762" s="9"/>
    </row>
    <row r="763" spans="3:7">
      <c r="C763" s="9"/>
      <c r="D763" s="9"/>
      <c r="E763" s="9"/>
      <c r="F763" s="9"/>
      <c r="G763" s="9"/>
    </row>
    <row r="764" spans="3:7">
      <c r="C764" s="9"/>
      <c r="D764" s="9"/>
      <c r="E764" s="9"/>
      <c r="F764" s="9"/>
      <c r="G764" s="10"/>
    </row>
    <row r="765" spans="3:7">
      <c r="C765" s="9"/>
      <c r="D765" s="9"/>
      <c r="E765" s="9"/>
      <c r="F765" s="10"/>
      <c r="G765" s="9"/>
    </row>
    <row r="766" spans="3:7">
      <c r="C766" s="9"/>
      <c r="D766" s="9"/>
      <c r="E766" s="9"/>
      <c r="F766" s="9"/>
      <c r="G766" s="9"/>
    </row>
    <row r="767" spans="3:7">
      <c r="C767" s="9"/>
      <c r="D767" s="9"/>
      <c r="E767" s="9"/>
      <c r="F767" s="9"/>
      <c r="G767" s="9"/>
    </row>
    <row r="768" spans="3:7">
      <c r="C768" s="9"/>
      <c r="D768" s="9"/>
      <c r="E768" s="9"/>
      <c r="F768" s="9"/>
      <c r="G768" s="9"/>
    </row>
    <row r="769" spans="3:7">
      <c r="C769" s="9"/>
      <c r="D769" s="9"/>
      <c r="E769" s="9"/>
      <c r="F769" s="9"/>
      <c r="G769" s="9"/>
    </row>
    <row r="770" spans="3:7">
      <c r="C770" s="9"/>
      <c r="D770" s="9"/>
      <c r="E770" s="9"/>
      <c r="F770" s="9"/>
      <c r="G770" s="9"/>
    </row>
    <row r="771" spans="3:7">
      <c r="C771" s="9"/>
      <c r="D771" s="9"/>
      <c r="E771" s="9"/>
      <c r="F771" s="9"/>
      <c r="G771" s="9"/>
    </row>
    <row r="772" spans="3:7">
      <c r="C772" s="9"/>
      <c r="D772" s="9"/>
      <c r="E772" s="9"/>
      <c r="F772" s="9"/>
      <c r="G772" s="9"/>
    </row>
    <row r="773" spans="3:7">
      <c r="C773" s="9"/>
      <c r="D773" s="9"/>
      <c r="E773" s="9"/>
      <c r="F773" s="9"/>
      <c r="G773" s="9"/>
    </row>
    <row r="774" spans="3:7">
      <c r="C774" s="9"/>
      <c r="D774" s="9"/>
      <c r="E774" s="9"/>
      <c r="F774" s="9"/>
      <c r="G774" s="9"/>
    </row>
    <row r="775" spans="3:7">
      <c r="C775" s="9"/>
      <c r="D775" s="9"/>
      <c r="E775" s="9"/>
      <c r="F775" s="9"/>
      <c r="G775" s="9"/>
    </row>
    <row r="776" spans="3:7">
      <c r="C776" s="9"/>
      <c r="D776" s="9"/>
      <c r="E776" s="9"/>
      <c r="F776" s="9"/>
      <c r="G776" s="9"/>
    </row>
    <row r="777" spans="3:7">
      <c r="C777" s="9"/>
      <c r="D777" s="9"/>
      <c r="E777" s="9"/>
      <c r="F777" s="9"/>
      <c r="G777" s="9"/>
    </row>
    <row r="778" spans="3:7">
      <c r="C778" s="9"/>
      <c r="D778" s="9"/>
      <c r="E778" s="9"/>
      <c r="F778" s="9"/>
      <c r="G778" s="9"/>
    </row>
    <row r="779" spans="3:7">
      <c r="C779" s="9"/>
      <c r="D779" s="9"/>
      <c r="E779" s="9"/>
      <c r="F779" s="9"/>
      <c r="G779" s="9"/>
    </row>
    <row r="780" spans="3:7">
      <c r="C780" s="9"/>
      <c r="D780" s="9"/>
      <c r="E780" s="9"/>
      <c r="F780" s="9"/>
      <c r="G780" s="9"/>
    </row>
    <row r="781" spans="3:7">
      <c r="C781" s="9"/>
      <c r="D781" s="9"/>
      <c r="E781" s="9"/>
      <c r="F781" s="9"/>
      <c r="G781" s="9"/>
    </row>
    <row r="782" spans="3:7">
      <c r="C782" s="9"/>
      <c r="D782" s="9"/>
      <c r="E782" s="9"/>
      <c r="F782" s="9"/>
      <c r="G782" s="9"/>
    </row>
    <row r="783" spans="3:7">
      <c r="C783" s="9"/>
      <c r="D783" s="9"/>
      <c r="E783" s="9"/>
      <c r="F783" s="9"/>
      <c r="G783" s="9"/>
    </row>
    <row r="784" spans="3:7">
      <c r="C784" s="9"/>
      <c r="D784" s="9"/>
      <c r="E784" s="9"/>
      <c r="F784" s="9"/>
      <c r="G784" s="9"/>
    </row>
    <row r="785" spans="3:7">
      <c r="C785" s="9"/>
      <c r="D785" s="9"/>
      <c r="E785" s="9"/>
      <c r="F785" s="9"/>
      <c r="G785" s="9"/>
    </row>
    <row r="786" spans="3:7">
      <c r="C786" s="9"/>
      <c r="D786" s="9"/>
      <c r="E786" s="9"/>
      <c r="F786" s="9"/>
      <c r="G786" s="9"/>
    </row>
    <row r="787" spans="3:7">
      <c r="C787" s="9"/>
      <c r="D787" s="9"/>
      <c r="E787" s="9"/>
      <c r="F787" s="9"/>
      <c r="G787" s="9"/>
    </row>
    <row r="788" spans="3:7">
      <c r="C788" s="9"/>
      <c r="D788" s="9"/>
      <c r="E788" s="9"/>
      <c r="F788" s="10"/>
      <c r="G788" s="9"/>
    </row>
    <row r="789" spans="3:7">
      <c r="C789" s="9"/>
      <c r="D789" s="9"/>
      <c r="E789" s="9"/>
      <c r="F789" s="9"/>
      <c r="G789" s="9"/>
    </row>
    <row r="790" spans="3:7">
      <c r="C790" s="9"/>
      <c r="D790" s="9"/>
      <c r="E790" s="9"/>
      <c r="F790" s="9"/>
      <c r="G790" s="9"/>
    </row>
    <row r="791" spans="3:7">
      <c r="C791" s="9"/>
      <c r="D791" s="9"/>
      <c r="E791" s="9"/>
      <c r="F791" s="9"/>
      <c r="G791" s="9"/>
    </row>
    <row r="792" spans="3:7">
      <c r="C792" s="9"/>
      <c r="D792" s="9"/>
      <c r="E792" s="9"/>
      <c r="F792" s="9"/>
      <c r="G792" s="9"/>
    </row>
    <row r="793" spans="3:7">
      <c r="C793" s="9"/>
      <c r="D793" s="9"/>
      <c r="E793" s="9"/>
      <c r="F793" s="9"/>
      <c r="G793" s="9"/>
    </row>
    <row r="794" spans="3:7">
      <c r="C794" s="9"/>
      <c r="D794" s="9"/>
      <c r="E794" s="9"/>
      <c r="F794" s="9"/>
      <c r="G794" s="9"/>
    </row>
    <row r="795" spans="3:7">
      <c r="C795" s="9"/>
      <c r="D795" s="9"/>
      <c r="E795" s="9"/>
      <c r="F795" s="9"/>
      <c r="G795" s="9"/>
    </row>
    <row r="796" spans="3:7">
      <c r="C796" s="9"/>
      <c r="D796" s="9"/>
      <c r="E796" s="9"/>
      <c r="F796" s="9"/>
      <c r="G796" s="9"/>
    </row>
    <row r="797" spans="3:7">
      <c r="C797" s="9"/>
      <c r="D797" s="9"/>
      <c r="E797" s="9"/>
      <c r="F797" s="9"/>
      <c r="G797" s="9"/>
    </row>
    <row r="798" spans="3:7">
      <c r="C798" s="9"/>
      <c r="D798" s="9"/>
      <c r="E798" s="9"/>
      <c r="F798" s="9"/>
      <c r="G798" s="9"/>
    </row>
    <row r="799" spans="3:7">
      <c r="C799" s="9"/>
      <c r="D799" s="9"/>
      <c r="E799" s="9"/>
      <c r="F799" s="9"/>
      <c r="G799" s="9"/>
    </row>
    <row r="800" spans="3:7">
      <c r="C800" s="9"/>
      <c r="D800" s="9"/>
      <c r="E800" s="9"/>
      <c r="F800" s="9"/>
      <c r="G800" s="9"/>
    </row>
    <row r="801" spans="3:7">
      <c r="C801" s="9"/>
      <c r="D801" s="9"/>
      <c r="E801" s="9"/>
      <c r="F801" s="9"/>
      <c r="G801" s="9"/>
    </row>
    <row r="802" spans="3:7">
      <c r="C802" s="9"/>
      <c r="D802" s="9"/>
      <c r="E802" s="9"/>
      <c r="F802" s="9"/>
      <c r="G802" s="10"/>
    </row>
    <row r="803" spans="3:7">
      <c r="C803" s="9"/>
      <c r="D803" s="9"/>
      <c r="E803" s="9"/>
      <c r="F803" s="10"/>
      <c r="G803" s="9"/>
    </row>
    <row r="804" spans="3:7">
      <c r="C804" s="9"/>
      <c r="D804" s="9"/>
      <c r="E804" s="9"/>
      <c r="F804" s="10"/>
      <c r="G804" s="9"/>
    </row>
    <row r="805" spans="3:7">
      <c r="C805" s="9"/>
      <c r="D805" s="9"/>
      <c r="E805" s="9"/>
      <c r="F805" s="9"/>
      <c r="G805" s="9"/>
    </row>
    <row r="806" spans="3:7">
      <c r="C806" s="9"/>
      <c r="D806" s="9"/>
      <c r="E806" s="9"/>
      <c r="F806" s="9"/>
      <c r="G806" s="9"/>
    </row>
    <row r="807" spans="3:7">
      <c r="C807" s="9"/>
      <c r="D807" s="9"/>
      <c r="E807" s="9"/>
      <c r="F807" s="9"/>
      <c r="G807" s="9"/>
    </row>
    <row r="808" spans="3:7">
      <c r="C808" s="9"/>
      <c r="D808" s="9"/>
      <c r="E808" s="9"/>
      <c r="F808" s="9"/>
      <c r="G808" s="9"/>
    </row>
    <row r="809" spans="3:7">
      <c r="C809" s="9"/>
      <c r="D809" s="9"/>
      <c r="E809" s="9"/>
      <c r="F809" s="9"/>
      <c r="G809" s="9"/>
    </row>
    <row r="810" spans="3:7">
      <c r="C810" s="9"/>
      <c r="D810" s="9"/>
      <c r="E810" s="9"/>
      <c r="F810" s="9"/>
      <c r="G810" s="9"/>
    </row>
    <row r="811" spans="3:7">
      <c r="C811" s="9"/>
      <c r="D811" s="9"/>
      <c r="E811" s="9"/>
      <c r="F811" s="9"/>
      <c r="G811" s="9"/>
    </row>
    <row r="812" spans="3:7">
      <c r="C812" s="9"/>
      <c r="D812" s="9"/>
      <c r="E812" s="9"/>
      <c r="F812" s="9"/>
      <c r="G812" s="9"/>
    </row>
    <row r="813" spans="3:7">
      <c r="C813" s="9"/>
      <c r="D813" s="9"/>
      <c r="E813" s="9"/>
      <c r="F813" s="9"/>
      <c r="G813" s="9"/>
    </row>
    <row r="814" spans="3:7">
      <c r="C814" s="9"/>
      <c r="D814" s="9"/>
      <c r="E814" s="9"/>
      <c r="F814" s="9"/>
      <c r="G814" s="9"/>
    </row>
    <row r="815" spans="3:7">
      <c r="C815" s="9"/>
      <c r="D815" s="9"/>
      <c r="E815" s="9"/>
      <c r="F815" s="9"/>
      <c r="G815" s="9"/>
    </row>
    <row r="816" spans="3:7">
      <c r="C816" s="9"/>
      <c r="D816" s="9"/>
      <c r="E816" s="9"/>
      <c r="F816" s="9"/>
      <c r="G816" s="9"/>
    </row>
    <row r="817" spans="3:7">
      <c r="C817" s="9"/>
      <c r="D817" s="9"/>
      <c r="E817" s="9"/>
      <c r="F817" s="9"/>
      <c r="G817" s="9"/>
    </row>
    <row r="818" spans="3:7">
      <c r="C818" s="9"/>
      <c r="D818" s="9"/>
      <c r="E818" s="9"/>
      <c r="F818" s="9"/>
      <c r="G818" s="9"/>
    </row>
    <row r="819" spans="3:7">
      <c r="C819" s="9"/>
      <c r="D819" s="9"/>
      <c r="E819" s="9"/>
      <c r="F819" s="9"/>
      <c r="G819" s="9"/>
    </row>
    <row r="820" spans="3:7">
      <c r="C820" s="9"/>
      <c r="D820" s="9"/>
      <c r="E820" s="9"/>
      <c r="F820" s="9"/>
      <c r="G820" s="9"/>
    </row>
    <row r="821" spans="3:7">
      <c r="C821" s="9"/>
      <c r="D821" s="9"/>
      <c r="E821" s="9"/>
      <c r="F821" s="9"/>
      <c r="G821" s="9"/>
    </row>
    <row r="822" spans="3:7">
      <c r="C822" s="9"/>
      <c r="D822" s="9"/>
      <c r="E822" s="9"/>
      <c r="F822" s="9"/>
      <c r="G822" s="9"/>
    </row>
    <row r="823" spans="3:7">
      <c r="C823" s="9"/>
      <c r="D823" s="9"/>
      <c r="E823" s="9"/>
      <c r="F823" s="9"/>
      <c r="G823" s="9"/>
    </row>
    <row r="824" spans="3:7">
      <c r="C824" s="9"/>
      <c r="D824" s="9"/>
      <c r="E824" s="9"/>
      <c r="F824" s="9"/>
      <c r="G824" s="9"/>
    </row>
    <row r="825" spans="3:7">
      <c r="C825" s="9"/>
      <c r="D825" s="9"/>
      <c r="E825" s="9"/>
      <c r="F825" s="9"/>
      <c r="G825" s="9"/>
    </row>
    <row r="826" spans="3:7">
      <c r="C826" s="9"/>
      <c r="D826" s="9"/>
      <c r="E826" s="9"/>
      <c r="F826" s="9"/>
      <c r="G826" s="9"/>
    </row>
    <row r="827" spans="3:7">
      <c r="C827" s="9"/>
      <c r="D827" s="9"/>
      <c r="E827" s="9"/>
      <c r="F827" s="9"/>
      <c r="G827" s="9"/>
    </row>
    <row r="828" spans="3:7">
      <c r="C828" s="9"/>
      <c r="D828" s="9"/>
      <c r="E828" s="9"/>
      <c r="F828" s="9"/>
      <c r="G828" s="9"/>
    </row>
    <row r="829" spans="3:7">
      <c r="C829" s="9"/>
      <c r="D829" s="9"/>
      <c r="E829" s="9"/>
      <c r="F829" s="9"/>
      <c r="G829" s="9"/>
    </row>
    <row r="830" spans="3:7">
      <c r="C830" s="9"/>
      <c r="D830" s="9"/>
      <c r="E830" s="9"/>
      <c r="F830" s="9"/>
      <c r="G830" s="9"/>
    </row>
    <row r="831" spans="3:7">
      <c r="C831" s="9"/>
      <c r="D831" s="9"/>
      <c r="E831" s="9"/>
      <c r="F831" s="9"/>
      <c r="G831" s="9"/>
    </row>
    <row r="832" spans="3:7">
      <c r="C832" s="9"/>
      <c r="D832" s="9"/>
      <c r="E832" s="9"/>
      <c r="F832" s="9"/>
      <c r="G832" s="9"/>
    </row>
    <row r="833" spans="3:7">
      <c r="C833" s="9"/>
      <c r="D833" s="9"/>
      <c r="E833" s="9"/>
      <c r="F833" s="9"/>
      <c r="G833" s="9"/>
    </row>
    <row r="834" spans="3:7">
      <c r="C834" s="9"/>
      <c r="D834" s="9"/>
      <c r="E834" s="9"/>
      <c r="F834" s="9"/>
      <c r="G834" s="9"/>
    </row>
    <row r="835" spans="3:7">
      <c r="C835" s="9"/>
      <c r="D835" s="9"/>
      <c r="E835" s="9"/>
      <c r="F835" s="9"/>
      <c r="G835" s="9"/>
    </row>
    <row r="836" spans="3:7">
      <c r="C836" s="9"/>
      <c r="D836" s="9"/>
      <c r="E836" s="9"/>
      <c r="F836" s="9"/>
      <c r="G836" s="9"/>
    </row>
    <row r="837" spans="3:7">
      <c r="C837" s="9"/>
      <c r="D837" s="9"/>
      <c r="E837" s="9"/>
      <c r="F837" s="9"/>
      <c r="G837" s="9"/>
    </row>
    <row r="838" spans="3:7">
      <c r="C838" s="9"/>
      <c r="D838" s="9"/>
      <c r="E838" s="9"/>
      <c r="F838" s="9"/>
      <c r="G838" s="9"/>
    </row>
    <row r="839" spans="3:7">
      <c r="C839" s="9"/>
      <c r="D839" s="9"/>
      <c r="E839" s="9"/>
      <c r="F839" s="9"/>
      <c r="G839" s="9"/>
    </row>
    <row r="840" spans="3:7">
      <c r="C840" s="9"/>
      <c r="D840" s="9"/>
      <c r="E840" s="9"/>
      <c r="F840" s="9"/>
      <c r="G840" s="9"/>
    </row>
    <row r="841" spans="3:7">
      <c r="C841" s="9"/>
      <c r="D841" s="9"/>
      <c r="E841" s="9"/>
      <c r="F841" s="9"/>
      <c r="G841" s="9"/>
    </row>
    <row r="842" spans="3:7">
      <c r="C842" s="9"/>
      <c r="D842" s="9"/>
      <c r="E842" s="9"/>
      <c r="F842" s="9"/>
      <c r="G842" s="9"/>
    </row>
    <row r="843" spans="3:7">
      <c r="C843" s="9"/>
      <c r="D843" s="9"/>
      <c r="E843" s="9"/>
      <c r="F843" s="9"/>
      <c r="G843" s="9"/>
    </row>
    <row r="844" spans="3:7">
      <c r="C844" s="9"/>
      <c r="D844" s="9"/>
      <c r="E844" s="9"/>
      <c r="F844" s="9"/>
      <c r="G844" s="9"/>
    </row>
    <row r="845" spans="3:7">
      <c r="C845" s="9"/>
      <c r="D845" s="9"/>
      <c r="E845" s="9"/>
      <c r="F845" s="14"/>
      <c r="G845" s="9"/>
    </row>
    <row r="846" spans="3:7">
      <c r="C846" s="9"/>
      <c r="D846" s="9"/>
      <c r="E846" s="9"/>
      <c r="F846" s="14"/>
      <c r="G846" s="9"/>
    </row>
    <row r="847" spans="3:7">
      <c r="C847" s="9"/>
      <c r="D847" s="9"/>
      <c r="E847" s="9"/>
      <c r="F847" s="9"/>
      <c r="G847" s="9"/>
    </row>
    <row r="848" spans="3:7">
      <c r="C848" s="9"/>
      <c r="D848" s="9"/>
      <c r="E848" s="9"/>
      <c r="F848" s="9"/>
      <c r="G848" s="9"/>
    </row>
    <row r="849" spans="3:7">
      <c r="C849" s="9"/>
      <c r="D849" s="9"/>
      <c r="E849" s="9"/>
      <c r="F849" s="9"/>
      <c r="G849" s="9"/>
    </row>
    <row r="850" spans="3:7">
      <c r="C850" s="9"/>
      <c r="D850" s="9"/>
      <c r="E850" s="9"/>
      <c r="F850" s="9"/>
      <c r="G850" s="9"/>
    </row>
    <row r="851" spans="3:7">
      <c r="C851" s="9"/>
      <c r="D851" s="9"/>
      <c r="E851" s="9"/>
      <c r="F851" s="9"/>
      <c r="G851" s="9"/>
    </row>
    <row r="852" spans="3:7">
      <c r="C852" s="9"/>
      <c r="D852" s="9"/>
      <c r="E852" s="9"/>
      <c r="F852" s="9"/>
      <c r="G852" s="9"/>
    </row>
    <row r="853" spans="3:7">
      <c r="C853" s="9"/>
      <c r="D853" s="9"/>
      <c r="E853" s="9"/>
      <c r="F853" s="9"/>
      <c r="G853" s="9"/>
    </row>
    <row r="854" spans="3:7">
      <c r="C854" s="9"/>
      <c r="D854" s="9"/>
      <c r="E854" s="9"/>
      <c r="F854" s="9"/>
      <c r="G854" s="9"/>
    </row>
    <row r="855" spans="3:7">
      <c r="C855" s="9"/>
      <c r="D855" s="9"/>
      <c r="E855" s="9"/>
      <c r="F855" s="9"/>
      <c r="G855" s="9"/>
    </row>
    <row r="856" spans="3:7">
      <c r="C856" s="9"/>
      <c r="D856" s="9"/>
      <c r="E856" s="9"/>
      <c r="F856" s="9"/>
      <c r="G856" s="9"/>
    </row>
    <row r="857" spans="3:7">
      <c r="C857" s="9"/>
      <c r="D857" s="9"/>
      <c r="E857" s="9"/>
      <c r="F857" s="14"/>
      <c r="G857" s="9"/>
    </row>
    <row r="858" spans="3:7">
      <c r="C858" s="9"/>
      <c r="D858" s="9"/>
      <c r="E858" s="9"/>
      <c r="F858" s="9"/>
      <c r="G858" s="9"/>
    </row>
    <row r="859" spans="3:7">
      <c r="C859" s="9"/>
      <c r="D859" s="9"/>
      <c r="E859" s="9"/>
      <c r="F859" s="9"/>
      <c r="G859" s="9"/>
    </row>
    <row r="860" spans="3:7">
      <c r="C860" s="9"/>
      <c r="D860" s="9"/>
      <c r="E860" s="9"/>
      <c r="F860" s="9"/>
      <c r="G860" s="9"/>
    </row>
    <row r="861" spans="3:7">
      <c r="C861" s="9"/>
      <c r="D861" s="9"/>
      <c r="E861" s="9"/>
      <c r="F861" s="9"/>
      <c r="G861" s="9"/>
    </row>
    <row r="862" spans="3:7">
      <c r="C862" s="9"/>
      <c r="D862" s="9"/>
      <c r="E862" s="9"/>
      <c r="F862" s="9"/>
      <c r="G862" s="9"/>
    </row>
    <row r="863" spans="3:7">
      <c r="C863" s="9"/>
      <c r="D863" s="9"/>
      <c r="E863" s="9"/>
      <c r="F863" s="9"/>
      <c r="G863" s="9"/>
    </row>
    <row r="864" spans="3:7">
      <c r="C864" s="9"/>
      <c r="D864" s="9"/>
      <c r="E864" s="9"/>
      <c r="F864" s="9"/>
      <c r="G864" s="9"/>
    </row>
    <row r="865" spans="3:7">
      <c r="C865" s="9"/>
      <c r="D865" s="9"/>
      <c r="E865" s="9"/>
      <c r="F865" s="9"/>
      <c r="G865" s="9"/>
    </row>
    <row r="866" spans="3:7">
      <c r="C866" s="9"/>
      <c r="D866" s="9"/>
      <c r="E866" s="9"/>
      <c r="F866" s="9"/>
      <c r="G866" s="9"/>
    </row>
    <row r="867" spans="3:7">
      <c r="C867" s="9"/>
      <c r="D867" s="9"/>
      <c r="E867" s="9"/>
      <c r="F867" s="9"/>
      <c r="G867" s="9"/>
    </row>
    <row r="868" spans="3:7">
      <c r="C868" s="9"/>
      <c r="D868" s="9"/>
      <c r="E868" s="9"/>
      <c r="F868" s="9"/>
      <c r="G868" s="9"/>
    </row>
    <row r="869" spans="3:7">
      <c r="C869" s="9"/>
      <c r="D869" s="9"/>
      <c r="E869" s="9"/>
      <c r="F869" s="9"/>
      <c r="G869" s="9"/>
    </row>
    <row r="870" spans="3:7">
      <c r="C870" s="9"/>
      <c r="D870" s="9"/>
      <c r="E870" s="9"/>
      <c r="F870" s="9"/>
      <c r="G870" s="9"/>
    </row>
    <row r="871" spans="3:7">
      <c r="C871" s="9"/>
      <c r="D871" s="9"/>
      <c r="E871" s="9"/>
      <c r="F871" s="9"/>
      <c r="G871" s="9"/>
    </row>
    <row r="872" spans="3:7">
      <c r="C872" s="9"/>
      <c r="D872" s="9"/>
      <c r="E872" s="9"/>
      <c r="F872" s="9"/>
      <c r="G872" s="9"/>
    </row>
    <row r="873" spans="3:7">
      <c r="C873" s="9"/>
      <c r="D873" s="9"/>
      <c r="E873" s="9"/>
      <c r="F873" s="9"/>
      <c r="G873" s="9"/>
    </row>
    <row r="874" spans="3:7">
      <c r="C874" s="9"/>
      <c r="D874" s="9"/>
      <c r="E874" s="9"/>
      <c r="F874" s="9"/>
      <c r="G874" s="9"/>
    </row>
    <row r="875" spans="3:7">
      <c r="C875" s="9"/>
      <c r="D875" s="9"/>
      <c r="E875" s="9"/>
      <c r="F875" s="9"/>
      <c r="G875" s="9"/>
    </row>
    <row r="876" spans="3:7">
      <c r="C876" s="9"/>
      <c r="D876" s="9"/>
      <c r="E876" s="9"/>
      <c r="F876" s="9"/>
      <c r="G876" s="9"/>
    </row>
    <row r="877" spans="3:7">
      <c r="C877" s="9"/>
      <c r="D877" s="9"/>
      <c r="E877" s="9"/>
      <c r="F877" s="9"/>
      <c r="G877" s="9"/>
    </row>
    <row r="878" spans="3:7">
      <c r="C878" s="9"/>
      <c r="D878" s="9"/>
      <c r="E878" s="9"/>
      <c r="F878" s="9"/>
      <c r="G878" s="9"/>
    </row>
    <row r="879" spans="3:7">
      <c r="C879" s="9"/>
      <c r="D879" s="9"/>
      <c r="E879" s="9"/>
      <c r="F879" s="9"/>
      <c r="G879" s="9"/>
    </row>
    <row r="880" spans="3:7">
      <c r="C880" s="9"/>
      <c r="D880" s="9"/>
      <c r="E880" s="9"/>
      <c r="F880" s="9"/>
      <c r="G880" s="9"/>
    </row>
    <row r="881" spans="3:7">
      <c r="C881" s="9"/>
      <c r="D881" s="9"/>
      <c r="E881" s="9"/>
      <c r="F881" s="9"/>
      <c r="G881" s="9"/>
    </row>
    <row r="882" spans="3:7">
      <c r="C882" s="9"/>
      <c r="D882" s="9"/>
      <c r="E882" s="9"/>
      <c r="F882" s="9"/>
      <c r="G882" s="9"/>
    </row>
    <row r="883" spans="3:7">
      <c r="C883" s="9"/>
      <c r="D883" s="9"/>
      <c r="E883" s="9"/>
      <c r="F883" s="9"/>
      <c r="G883" s="9"/>
    </row>
    <row r="884" spans="3:7">
      <c r="C884" s="9"/>
      <c r="D884" s="9"/>
      <c r="E884" s="9"/>
      <c r="F884" s="9"/>
      <c r="G884" s="9"/>
    </row>
    <row r="885" spans="3:7">
      <c r="C885" s="9"/>
      <c r="D885" s="9"/>
      <c r="E885" s="9"/>
      <c r="F885" s="9"/>
      <c r="G885" s="9"/>
    </row>
    <row r="886" spans="3:7">
      <c r="C886" s="9"/>
      <c r="D886" s="9"/>
      <c r="E886" s="9"/>
      <c r="F886" s="9"/>
      <c r="G886" s="9"/>
    </row>
    <row r="887" spans="3:7">
      <c r="C887" s="9"/>
      <c r="D887" s="9"/>
      <c r="E887" s="9"/>
      <c r="F887" s="9"/>
      <c r="G887" s="9"/>
    </row>
    <row r="888" spans="3:7">
      <c r="C888" s="9"/>
      <c r="D888" s="9"/>
      <c r="E888" s="9"/>
      <c r="F888" s="9"/>
      <c r="G888" s="9"/>
    </row>
    <row r="889" spans="3:7">
      <c r="C889" s="9"/>
      <c r="D889" s="9"/>
      <c r="E889" s="9"/>
      <c r="F889" s="9"/>
      <c r="G889" s="9"/>
    </row>
    <row r="890" spans="3:7">
      <c r="C890" s="9"/>
      <c r="D890" s="9"/>
      <c r="E890" s="9"/>
      <c r="F890" s="9"/>
      <c r="G890" s="9"/>
    </row>
    <row r="891" spans="3:7">
      <c r="C891" s="9"/>
      <c r="D891" s="9"/>
      <c r="E891" s="9"/>
      <c r="F891" s="9"/>
      <c r="G891" s="9"/>
    </row>
    <row r="892" spans="3:7">
      <c r="C892" s="9"/>
      <c r="D892" s="9"/>
      <c r="E892" s="9"/>
      <c r="F892" s="9"/>
      <c r="G892" s="9"/>
    </row>
    <row r="893" spans="3:7">
      <c r="C893" s="9"/>
      <c r="D893" s="9"/>
      <c r="E893" s="9"/>
      <c r="F893" s="9"/>
      <c r="G893" s="9"/>
    </row>
    <row r="894" spans="3:7">
      <c r="C894" s="9"/>
      <c r="D894" s="9"/>
      <c r="E894" s="9"/>
      <c r="F894" s="9"/>
      <c r="G894" s="9"/>
    </row>
    <row r="895" spans="3:7">
      <c r="C895" s="9"/>
      <c r="D895" s="9"/>
      <c r="E895" s="9"/>
      <c r="F895" s="9"/>
      <c r="G895" s="9"/>
    </row>
    <row r="896" spans="3:7">
      <c r="C896" s="9"/>
      <c r="D896" s="9"/>
      <c r="E896" s="9"/>
      <c r="F896" s="9"/>
      <c r="G896" s="9"/>
    </row>
    <row r="897" spans="3:7">
      <c r="C897" s="9"/>
      <c r="D897" s="9"/>
      <c r="E897" s="9"/>
      <c r="F897" s="9"/>
      <c r="G897" s="9"/>
    </row>
    <row r="898" spans="3:7">
      <c r="C898" s="9"/>
      <c r="D898" s="9"/>
      <c r="E898" s="9"/>
      <c r="F898" s="9"/>
      <c r="G898" s="9"/>
    </row>
    <row r="899" spans="3:7">
      <c r="C899" s="9"/>
      <c r="D899" s="9"/>
      <c r="E899" s="9"/>
      <c r="F899" s="9"/>
      <c r="G899" s="9"/>
    </row>
    <row r="900" spans="3:7">
      <c r="C900" s="9"/>
      <c r="D900" s="9"/>
      <c r="E900" s="9"/>
      <c r="F900" s="9"/>
      <c r="G900" s="9"/>
    </row>
    <row r="901" spans="3:7">
      <c r="C901" s="9"/>
      <c r="D901" s="9"/>
      <c r="E901" s="9"/>
      <c r="F901" s="9"/>
      <c r="G901" s="9"/>
    </row>
    <row r="902" spans="3:7">
      <c r="C902" s="9"/>
      <c r="D902" s="9"/>
      <c r="E902" s="9"/>
      <c r="F902" s="9"/>
      <c r="G902" s="9"/>
    </row>
    <row r="903" spans="3:7">
      <c r="C903" s="9"/>
      <c r="D903" s="9"/>
      <c r="E903" s="9"/>
      <c r="F903" s="9"/>
      <c r="G903" s="9"/>
    </row>
    <row r="904" spans="3:7">
      <c r="C904" s="9"/>
      <c r="D904" s="9"/>
      <c r="E904" s="9"/>
      <c r="F904" s="9"/>
      <c r="G904" s="9"/>
    </row>
    <row r="905" spans="3:7">
      <c r="C905" s="9"/>
      <c r="D905" s="9"/>
      <c r="E905" s="9"/>
      <c r="F905" s="9"/>
      <c r="G905" s="9"/>
    </row>
    <row r="906" spans="3:7">
      <c r="C906" s="9"/>
      <c r="D906" s="9"/>
      <c r="E906" s="9"/>
      <c r="F906" s="9"/>
      <c r="G906" s="9"/>
    </row>
    <row r="907" spans="3:7">
      <c r="C907" s="9"/>
      <c r="D907" s="9"/>
      <c r="E907" s="9"/>
      <c r="F907" s="9"/>
      <c r="G907" s="9"/>
    </row>
    <row r="908" spans="3:7">
      <c r="C908" s="9"/>
      <c r="D908" s="9"/>
      <c r="E908" s="9"/>
      <c r="F908" s="9"/>
      <c r="G908" s="9"/>
    </row>
    <row r="909" spans="3:7">
      <c r="C909" s="9"/>
      <c r="D909" s="9"/>
      <c r="E909" s="9"/>
      <c r="F909" s="9"/>
      <c r="G909" s="9"/>
    </row>
    <row r="910" spans="3:7">
      <c r="C910" s="9"/>
      <c r="D910" s="9"/>
      <c r="E910" s="9"/>
      <c r="F910" s="9"/>
      <c r="G910" s="9"/>
    </row>
    <row r="911" spans="3:7">
      <c r="C911" s="9"/>
      <c r="D911" s="9"/>
      <c r="E911" s="9"/>
      <c r="F911" s="9"/>
      <c r="G911" s="9"/>
    </row>
    <row r="912" spans="3:7">
      <c r="C912" s="9"/>
      <c r="D912" s="9"/>
      <c r="E912" s="9"/>
      <c r="F912" s="9"/>
      <c r="G912" s="9"/>
    </row>
    <row r="913" spans="3:7">
      <c r="C913" s="9"/>
      <c r="D913" s="9"/>
      <c r="E913" s="9"/>
      <c r="F913" s="9"/>
      <c r="G913" s="9"/>
    </row>
    <row r="914" spans="3:7">
      <c r="C914" s="9"/>
      <c r="D914" s="9"/>
      <c r="E914" s="9"/>
      <c r="F914" s="9"/>
      <c r="G914" s="9"/>
    </row>
    <row r="915" spans="3:7">
      <c r="C915" s="9"/>
      <c r="D915" s="9"/>
      <c r="E915" s="9"/>
      <c r="F915" s="9"/>
      <c r="G915" s="9"/>
    </row>
    <row r="916" spans="3:7">
      <c r="C916" s="9"/>
      <c r="D916" s="9"/>
      <c r="E916" s="9"/>
      <c r="F916" s="9"/>
      <c r="G916" s="9"/>
    </row>
    <row r="917" spans="3:7">
      <c r="C917" s="9"/>
      <c r="D917" s="9"/>
      <c r="E917" s="9"/>
      <c r="F917" s="9"/>
      <c r="G917" s="9"/>
    </row>
    <row r="918" spans="3:7">
      <c r="C918" s="9"/>
      <c r="D918" s="9"/>
      <c r="E918" s="9"/>
      <c r="F918" s="9"/>
      <c r="G918" s="9"/>
    </row>
    <row r="919" spans="3:7">
      <c r="C919" s="9"/>
      <c r="D919" s="9"/>
      <c r="E919" s="9"/>
      <c r="F919" s="9"/>
      <c r="G919" s="9"/>
    </row>
    <row r="920" spans="3:7">
      <c r="C920" s="9"/>
      <c r="D920" s="9"/>
      <c r="E920" s="9"/>
      <c r="F920" s="9"/>
      <c r="G920" s="9"/>
    </row>
    <row r="921" spans="3:7">
      <c r="C921" s="9"/>
      <c r="D921" s="9"/>
      <c r="E921" s="9"/>
      <c r="F921" s="9"/>
      <c r="G921" s="9"/>
    </row>
    <row r="922" spans="3:7">
      <c r="C922" s="9"/>
      <c r="D922" s="9"/>
      <c r="E922" s="9"/>
      <c r="F922" s="9"/>
      <c r="G922" s="9"/>
    </row>
    <row r="923" spans="3:7">
      <c r="C923" s="9"/>
      <c r="D923" s="9"/>
      <c r="E923" s="9"/>
      <c r="F923" s="9"/>
      <c r="G923" s="9"/>
    </row>
    <row r="924" spans="3:7">
      <c r="C924" s="9"/>
      <c r="D924" s="9"/>
      <c r="E924" s="9"/>
      <c r="F924" s="9"/>
      <c r="G924" s="9"/>
    </row>
    <row r="925" spans="3:7">
      <c r="C925" s="9"/>
      <c r="D925" s="9"/>
      <c r="E925" s="9"/>
      <c r="F925" s="9"/>
      <c r="G925" s="9"/>
    </row>
    <row r="926" spans="3:7">
      <c r="C926" s="9"/>
      <c r="D926" s="9"/>
      <c r="E926" s="9"/>
      <c r="F926" s="9"/>
      <c r="G926" s="9"/>
    </row>
    <row r="927" spans="3:7">
      <c r="C927" s="9"/>
      <c r="D927" s="9"/>
      <c r="E927" s="9"/>
      <c r="F927" s="9"/>
      <c r="G927" s="9"/>
    </row>
    <row r="928" spans="3:7">
      <c r="C928" s="9"/>
      <c r="D928" s="9"/>
      <c r="E928" s="9"/>
      <c r="F928" s="9"/>
      <c r="G928" s="9"/>
    </row>
    <row r="929" spans="3:7">
      <c r="C929" s="9"/>
      <c r="D929" s="9"/>
      <c r="E929" s="9"/>
      <c r="F929" s="9"/>
      <c r="G929" s="9"/>
    </row>
    <row r="930" spans="3:7">
      <c r="C930" s="9"/>
      <c r="D930" s="9"/>
      <c r="E930" s="9"/>
      <c r="F930" s="9"/>
      <c r="G930" s="9"/>
    </row>
    <row r="931" spans="3:7">
      <c r="C931" s="9"/>
      <c r="D931" s="9"/>
      <c r="E931" s="9"/>
      <c r="F931" s="9"/>
      <c r="G931" s="9"/>
    </row>
    <row r="932" spans="3:7">
      <c r="C932" s="9"/>
      <c r="D932" s="9"/>
      <c r="E932" s="9"/>
      <c r="F932" s="9"/>
      <c r="G932" s="9"/>
    </row>
    <row r="933" spans="3:7">
      <c r="C933" s="9"/>
      <c r="D933" s="9"/>
      <c r="E933" s="9"/>
      <c r="F933" s="9"/>
      <c r="G933" s="9"/>
    </row>
    <row r="934" spans="3:7">
      <c r="C934" s="9"/>
      <c r="D934" s="9"/>
      <c r="E934" s="9"/>
      <c r="F934" s="9"/>
      <c r="G934" s="9"/>
    </row>
    <row r="935" spans="3:7">
      <c r="C935" s="9"/>
      <c r="D935" s="9"/>
      <c r="E935" s="9"/>
      <c r="F935" s="9"/>
      <c r="G935" s="9"/>
    </row>
    <row r="936" spans="3:7">
      <c r="C936" s="9"/>
      <c r="D936" s="9"/>
      <c r="E936" s="9"/>
      <c r="F936" s="9"/>
      <c r="G936" s="9"/>
    </row>
    <row r="937" spans="3:7">
      <c r="C937" s="9"/>
      <c r="D937" s="9"/>
      <c r="E937" s="9"/>
      <c r="F937" s="10"/>
      <c r="G937" s="9"/>
    </row>
    <row r="938" spans="3:7">
      <c r="C938" s="9"/>
      <c r="D938" s="9"/>
      <c r="E938" s="9"/>
      <c r="F938" s="9"/>
      <c r="G938" s="9"/>
    </row>
    <row r="939" spans="3:7">
      <c r="C939" s="9"/>
      <c r="D939" s="9"/>
      <c r="E939" s="9"/>
      <c r="F939" s="9"/>
      <c r="G939" s="9"/>
    </row>
    <row r="940" spans="3:7">
      <c r="C940" s="9"/>
      <c r="D940" s="9"/>
      <c r="E940" s="9"/>
      <c r="F940" s="9"/>
      <c r="G940" s="9"/>
    </row>
    <row r="941" spans="3:7">
      <c r="C941" s="9"/>
      <c r="D941" s="9"/>
      <c r="E941" s="9"/>
      <c r="F941" s="9"/>
      <c r="G941" s="9"/>
    </row>
    <row r="942" spans="3:7">
      <c r="C942" s="9"/>
      <c r="D942" s="9"/>
      <c r="E942" s="9"/>
      <c r="F942" s="9"/>
      <c r="G942" s="9"/>
    </row>
    <row r="943" spans="3:7">
      <c r="C943" s="9"/>
      <c r="D943" s="9"/>
      <c r="E943" s="9"/>
      <c r="F943" s="9"/>
      <c r="G943" s="9"/>
    </row>
    <row r="944" spans="3:7">
      <c r="C944" s="9"/>
      <c r="D944" s="9"/>
      <c r="E944" s="9"/>
      <c r="F944" s="9"/>
      <c r="G944" s="9"/>
    </row>
    <row r="945" spans="3:7">
      <c r="C945" s="9"/>
      <c r="D945" s="9"/>
      <c r="E945" s="9"/>
      <c r="F945" s="9"/>
      <c r="G945" s="9"/>
    </row>
    <row r="946" spans="3:7">
      <c r="C946" s="9"/>
      <c r="D946" s="9"/>
      <c r="E946" s="9"/>
      <c r="F946" s="9"/>
      <c r="G946" s="9"/>
    </row>
    <row r="947" spans="3:7">
      <c r="C947" s="9"/>
      <c r="D947" s="9"/>
      <c r="E947" s="9"/>
      <c r="F947" s="9"/>
      <c r="G947" s="9"/>
    </row>
    <row r="948" spans="3:7">
      <c r="C948" s="9"/>
      <c r="D948" s="9"/>
      <c r="E948" s="9"/>
      <c r="F948" s="9"/>
      <c r="G948" s="9"/>
    </row>
    <row r="949" spans="3:7">
      <c r="C949" s="9"/>
      <c r="D949" s="9"/>
      <c r="E949" s="9"/>
      <c r="F949" s="9"/>
      <c r="G949" s="9"/>
    </row>
    <row r="950" spans="3:7">
      <c r="C950" s="9"/>
      <c r="D950" s="9"/>
      <c r="E950" s="9"/>
      <c r="F950" s="9"/>
      <c r="G950" s="9"/>
    </row>
    <row r="951" spans="3:7">
      <c r="C951" s="9"/>
      <c r="D951" s="9"/>
      <c r="E951" s="9"/>
      <c r="F951" s="9"/>
      <c r="G951" s="9"/>
    </row>
    <row r="952" spans="3:7">
      <c r="C952" s="9"/>
      <c r="D952" s="9"/>
      <c r="E952" s="9"/>
      <c r="F952" s="9"/>
      <c r="G952" s="9"/>
    </row>
    <row r="953" spans="3:7">
      <c r="C953" s="9"/>
      <c r="D953" s="9"/>
      <c r="E953" s="9"/>
      <c r="F953" s="9"/>
      <c r="G953" s="9"/>
    </row>
    <row r="954" spans="3:7">
      <c r="C954" s="9"/>
      <c r="D954" s="9"/>
      <c r="E954" s="9"/>
      <c r="F954" s="9"/>
      <c r="G954" s="9"/>
    </row>
    <row r="955" spans="3:7">
      <c r="C955" s="9"/>
      <c r="D955" s="9"/>
      <c r="E955" s="9"/>
      <c r="F955" s="9"/>
      <c r="G955" s="9"/>
    </row>
    <row r="956" spans="3:7">
      <c r="C956" s="9"/>
      <c r="D956" s="9"/>
      <c r="E956" s="9"/>
      <c r="F956" s="9"/>
      <c r="G956" s="9"/>
    </row>
    <row r="957" spans="3:7">
      <c r="C957" s="9"/>
      <c r="D957" s="9"/>
      <c r="E957" s="9"/>
      <c r="F957" s="9"/>
      <c r="G957" s="9"/>
    </row>
    <row r="958" spans="3:7">
      <c r="C958" s="9"/>
      <c r="D958" s="9"/>
      <c r="E958" s="9"/>
      <c r="F958" s="9"/>
      <c r="G958" s="9"/>
    </row>
    <row r="959" spans="3:7">
      <c r="C959" s="9"/>
      <c r="D959" s="9"/>
      <c r="E959" s="9"/>
      <c r="F959" s="9"/>
      <c r="G959" s="9"/>
    </row>
    <row r="960" spans="3:7">
      <c r="C960" s="9"/>
      <c r="D960" s="9"/>
      <c r="E960" s="9"/>
      <c r="F960" s="9"/>
      <c r="G960" s="9"/>
    </row>
    <row r="961" spans="3:7">
      <c r="C961" s="9"/>
      <c r="D961" s="9"/>
      <c r="E961" s="9"/>
      <c r="F961" s="9"/>
      <c r="G961" s="9"/>
    </row>
    <row r="962" spans="3:7">
      <c r="C962" s="9"/>
      <c r="D962" s="9"/>
      <c r="E962" s="9"/>
      <c r="F962" s="9"/>
      <c r="G962" s="9"/>
    </row>
    <row r="963" spans="3:7">
      <c r="C963" s="9"/>
      <c r="D963" s="9"/>
      <c r="E963" s="9"/>
      <c r="F963" s="9"/>
      <c r="G963" s="9"/>
    </row>
    <row r="964" spans="3:7">
      <c r="C964" s="9"/>
      <c r="D964" s="9"/>
      <c r="E964" s="9"/>
      <c r="F964" s="9"/>
      <c r="G964" s="9"/>
    </row>
    <row r="965" spans="3:7">
      <c r="C965" s="9"/>
      <c r="D965" s="9"/>
      <c r="E965" s="9"/>
      <c r="F965" s="9"/>
      <c r="G965" s="9"/>
    </row>
    <row r="966" spans="3:7">
      <c r="C966" s="9"/>
      <c r="D966" s="9"/>
      <c r="E966" s="9"/>
      <c r="F966" s="9"/>
      <c r="G966" s="9"/>
    </row>
    <row r="967" spans="3:7">
      <c r="C967" s="9"/>
      <c r="D967" s="9"/>
      <c r="E967" s="9"/>
      <c r="F967" s="9"/>
      <c r="G967" s="9"/>
    </row>
    <row r="968" spans="3:7">
      <c r="C968" s="9"/>
      <c r="D968" s="9"/>
      <c r="E968" s="9"/>
      <c r="F968" s="9"/>
      <c r="G968" s="9"/>
    </row>
    <row r="969" spans="3:7">
      <c r="C969" s="9"/>
      <c r="D969" s="9"/>
      <c r="E969" s="9"/>
      <c r="F969" s="9"/>
      <c r="G969" s="9"/>
    </row>
    <row r="970" spans="3:7">
      <c r="C970" s="9"/>
      <c r="D970" s="9"/>
      <c r="E970" s="9"/>
      <c r="F970" s="9"/>
      <c r="G970" s="9"/>
    </row>
    <row r="971" spans="3:7">
      <c r="C971" s="9"/>
      <c r="D971" s="9"/>
      <c r="E971" s="9"/>
      <c r="F971" s="9"/>
      <c r="G971" s="9"/>
    </row>
    <row r="972" spans="3:7">
      <c r="C972" s="9"/>
      <c r="D972" s="9"/>
      <c r="E972" s="9"/>
      <c r="F972" s="9"/>
      <c r="G972" s="9"/>
    </row>
    <row r="973" spans="3:7">
      <c r="C973" s="9"/>
      <c r="D973" s="9"/>
      <c r="E973" s="9"/>
      <c r="F973" s="9"/>
      <c r="G973" s="9"/>
    </row>
    <row r="974" spans="3:7">
      <c r="C974" s="9"/>
      <c r="D974" s="9"/>
      <c r="E974" s="9"/>
      <c r="F974" s="9"/>
      <c r="G974" s="9"/>
    </row>
    <row r="975" spans="3:7">
      <c r="C975" s="9"/>
      <c r="D975" s="9"/>
      <c r="E975" s="9"/>
      <c r="F975" s="9"/>
      <c r="G975" s="9"/>
    </row>
    <row r="976" spans="3:7">
      <c r="C976" s="9"/>
      <c r="D976" s="9"/>
      <c r="E976" s="9"/>
      <c r="F976" s="9"/>
      <c r="G976" s="9"/>
    </row>
    <row r="977" spans="3:7">
      <c r="C977" s="9"/>
      <c r="D977" s="9"/>
      <c r="E977" s="9"/>
      <c r="F977" s="9"/>
      <c r="G977" s="9"/>
    </row>
    <row r="978" spans="3:7">
      <c r="C978" s="9"/>
      <c r="D978" s="9"/>
      <c r="E978" s="9"/>
      <c r="F978" s="9"/>
      <c r="G978" s="9"/>
    </row>
    <row r="979" spans="3:7">
      <c r="C979" s="9"/>
      <c r="D979" s="9"/>
      <c r="E979" s="9"/>
      <c r="F979" s="9"/>
      <c r="G979" s="9"/>
    </row>
    <row r="980" spans="3:7">
      <c r="C980" s="9"/>
      <c r="D980" s="9"/>
      <c r="E980" s="9"/>
      <c r="F980" s="9"/>
      <c r="G980" s="9"/>
    </row>
    <row r="981" spans="3:7">
      <c r="C981" s="9"/>
      <c r="D981" s="9"/>
      <c r="E981" s="9"/>
      <c r="F981" s="9"/>
      <c r="G981" s="9"/>
    </row>
    <row r="982" spans="3:7">
      <c r="C982" s="9"/>
      <c r="D982" s="9"/>
      <c r="E982" s="9"/>
      <c r="F982" s="9"/>
      <c r="G982" s="9"/>
    </row>
    <row r="983" spans="3:7">
      <c r="C983" s="9"/>
      <c r="D983" s="9"/>
      <c r="E983" s="9"/>
      <c r="F983" s="9"/>
      <c r="G983" s="9"/>
    </row>
    <row r="984" spans="3:7">
      <c r="C984" s="9"/>
      <c r="D984" s="9"/>
      <c r="E984" s="9"/>
      <c r="F984" s="9"/>
      <c r="G984" s="9"/>
    </row>
    <row r="985" spans="3:7">
      <c r="C985" s="9"/>
      <c r="D985" s="9"/>
      <c r="E985" s="9"/>
      <c r="F985" s="9"/>
      <c r="G985" s="9"/>
    </row>
    <row r="986" spans="3:7">
      <c r="C986" s="9"/>
      <c r="D986" s="9"/>
      <c r="E986" s="9"/>
      <c r="F986" s="9"/>
      <c r="G986" s="9"/>
    </row>
    <row r="987" spans="3:7">
      <c r="C987" s="9"/>
      <c r="D987" s="9"/>
      <c r="E987" s="9"/>
      <c r="F987" s="9"/>
      <c r="G987" s="9"/>
    </row>
    <row r="988" spans="3:7">
      <c r="C988" s="9"/>
      <c r="D988" s="9"/>
      <c r="E988" s="9"/>
      <c r="F988" s="9"/>
      <c r="G988" s="9"/>
    </row>
    <row r="989" spans="3:7">
      <c r="C989" s="9"/>
      <c r="D989" s="9"/>
      <c r="E989" s="9"/>
      <c r="F989" s="9"/>
      <c r="G989" s="10"/>
    </row>
    <row r="990" spans="3:7">
      <c r="C990" s="9"/>
      <c r="D990" s="9"/>
      <c r="E990" s="9"/>
      <c r="F990" s="9"/>
      <c r="G990" s="9"/>
    </row>
    <row r="991" spans="3:7">
      <c r="C991" s="9"/>
      <c r="D991" s="9"/>
      <c r="E991" s="9"/>
      <c r="F991" s="9"/>
      <c r="G991" s="9"/>
    </row>
    <row r="992" spans="3:7">
      <c r="C992" s="9"/>
      <c r="D992" s="9"/>
      <c r="E992" s="9"/>
      <c r="F992" s="9"/>
      <c r="G992" s="9"/>
    </row>
    <row r="993" spans="3:7">
      <c r="C993" s="9"/>
      <c r="D993" s="9"/>
      <c r="E993" s="9"/>
      <c r="F993" s="9"/>
      <c r="G993" s="9"/>
    </row>
    <row r="994" spans="3:7">
      <c r="C994" s="9"/>
      <c r="D994" s="9"/>
      <c r="E994" s="9"/>
      <c r="F994" s="9"/>
      <c r="G994" s="9"/>
    </row>
    <row r="995" spans="3:7">
      <c r="C995" s="9"/>
      <c r="D995" s="9"/>
      <c r="E995" s="9"/>
      <c r="F995" s="9"/>
      <c r="G995" s="9"/>
    </row>
    <row r="996" spans="3:7">
      <c r="C996" s="9"/>
      <c r="D996" s="9"/>
      <c r="E996" s="9"/>
      <c r="F996" s="9"/>
      <c r="G996" s="9"/>
    </row>
    <row r="997" spans="3:7">
      <c r="C997" s="9"/>
      <c r="D997" s="9"/>
      <c r="E997" s="9"/>
      <c r="F997" s="9"/>
      <c r="G997" s="9"/>
    </row>
    <row r="998" spans="3:7">
      <c r="C998" s="9"/>
      <c r="D998" s="9"/>
      <c r="E998" s="9"/>
      <c r="F998" s="9"/>
      <c r="G998" s="9"/>
    </row>
    <row r="999" spans="3:7">
      <c r="C999" s="9"/>
      <c r="D999" s="9"/>
      <c r="E999" s="9"/>
      <c r="F999" s="9"/>
      <c r="G999" s="9"/>
    </row>
    <row r="1000" spans="3:7">
      <c r="C1000" s="9"/>
      <c r="D1000" s="9"/>
      <c r="E1000" s="9"/>
      <c r="F1000" s="10"/>
      <c r="G1000" s="9"/>
    </row>
    <row r="1001" spans="3:7">
      <c r="C1001" s="9"/>
      <c r="D1001" s="9"/>
      <c r="E1001" s="9"/>
      <c r="F1001" s="9"/>
      <c r="G1001" s="9"/>
    </row>
    <row r="1002" spans="3:7">
      <c r="C1002" s="9"/>
      <c r="D1002" s="9"/>
      <c r="E1002" s="9"/>
      <c r="F1002" s="9"/>
      <c r="G1002" s="9"/>
    </row>
    <row r="1003" spans="3:7">
      <c r="C1003" s="9"/>
      <c r="D1003" s="9"/>
      <c r="E1003" s="9"/>
      <c r="F1003" s="9"/>
      <c r="G1003" s="9"/>
    </row>
    <row r="1004" spans="3:7">
      <c r="C1004" s="9"/>
      <c r="D1004" s="9"/>
      <c r="E1004" s="9"/>
      <c r="F1004" s="9"/>
      <c r="G1004" s="9"/>
    </row>
    <row r="1005" spans="3:7">
      <c r="C1005" s="9"/>
      <c r="D1005" s="9"/>
      <c r="E1005" s="9"/>
      <c r="F1005" s="9"/>
      <c r="G1005" s="9"/>
    </row>
    <row r="1006" spans="3:7">
      <c r="C1006" s="9"/>
      <c r="D1006" s="9"/>
      <c r="E1006" s="9"/>
      <c r="F1006" s="9"/>
      <c r="G1006" s="9"/>
    </row>
    <row r="1007" spans="3:7">
      <c r="C1007" s="9"/>
      <c r="D1007" s="9"/>
      <c r="E1007" s="9"/>
      <c r="F1007" s="9"/>
      <c r="G1007" s="9"/>
    </row>
    <row r="1008" spans="3:7">
      <c r="C1008" s="9"/>
      <c r="D1008" s="9"/>
      <c r="E1008" s="9"/>
      <c r="F1008" s="10"/>
      <c r="G1008" s="9"/>
    </row>
    <row r="1009" spans="3:7">
      <c r="C1009" s="9"/>
      <c r="D1009" s="9"/>
      <c r="E1009" s="9"/>
      <c r="F1009" s="9"/>
      <c r="G1009" s="9"/>
    </row>
    <row r="1010" spans="3:7">
      <c r="C1010" s="9"/>
      <c r="D1010" s="9"/>
      <c r="E1010" s="9"/>
      <c r="F1010" s="9"/>
      <c r="G1010" s="9"/>
    </row>
    <row r="1011" spans="3:7">
      <c r="C1011" s="9"/>
      <c r="D1011" s="9"/>
      <c r="E1011" s="9"/>
      <c r="F1011" s="9"/>
      <c r="G1011" s="9"/>
    </row>
    <row r="1012" spans="3:7">
      <c r="C1012" s="9"/>
      <c r="D1012" s="9"/>
      <c r="E1012" s="9"/>
      <c r="F1012" s="9"/>
      <c r="G1012" s="9"/>
    </row>
    <row r="1013" spans="3:7">
      <c r="C1013" s="9"/>
      <c r="D1013" s="9"/>
      <c r="E1013" s="9"/>
      <c r="F1013" s="9"/>
      <c r="G1013" s="9"/>
    </row>
    <row r="1014" spans="3:7">
      <c r="C1014" s="9"/>
      <c r="D1014" s="9"/>
      <c r="E1014" s="9"/>
      <c r="F1014" s="9"/>
      <c r="G1014" s="9"/>
    </row>
    <row r="1015" spans="3:7">
      <c r="C1015" s="9"/>
      <c r="D1015" s="9"/>
      <c r="E1015" s="9"/>
      <c r="F1015" s="9"/>
      <c r="G1015" s="9"/>
    </row>
    <row r="1016" spans="3:7">
      <c r="C1016" s="9"/>
      <c r="D1016" s="9"/>
      <c r="E1016" s="9"/>
      <c r="F1016" s="9"/>
      <c r="G1016" s="9"/>
    </row>
    <row r="1017" spans="3:7">
      <c r="C1017" s="9"/>
      <c r="D1017" s="9"/>
      <c r="E1017" s="9"/>
      <c r="F1017" s="9"/>
      <c r="G1017" s="9"/>
    </row>
    <row r="1018" spans="3:7">
      <c r="C1018" s="9"/>
      <c r="D1018" s="9"/>
      <c r="E1018" s="9"/>
      <c r="F1018" s="9"/>
      <c r="G1018" s="9"/>
    </row>
    <row r="1019" spans="3:7">
      <c r="C1019" s="9"/>
      <c r="D1019" s="9"/>
      <c r="E1019" s="9"/>
      <c r="F1019" s="9"/>
      <c r="G1019" s="9"/>
    </row>
    <row r="1020" spans="3:7">
      <c r="C1020" s="9"/>
      <c r="D1020" s="9"/>
      <c r="E1020" s="9"/>
      <c r="F1020" s="9"/>
      <c r="G1020" s="9"/>
    </row>
    <row r="1021" spans="3:7">
      <c r="C1021" s="9"/>
      <c r="D1021" s="9"/>
      <c r="E1021" s="9"/>
      <c r="F1021" s="9"/>
      <c r="G1021" s="9"/>
    </row>
    <row r="1022" spans="3:7">
      <c r="C1022" s="9"/>
      <c r="D1022" s="9"/>
      <c r="E1022" s="9"/>
      <c r="F1022" s="9"/>
      <c r="G1022" s="9"/>
    </row>
    <row r="1023" spans="3:7">
      <c r="C1023" s="9"/>
      <c r="D1023" s="9"/>
      <c r="E1023" s="9"/>
      <c r="F1023" s="9"/>
      <c r="G1023" s="9"/>
    </row>
    <row r="1024" spans="3:7">
      <c r="C1024" s="9"/>
      <c r="D1024" s="9"/>
      <c r="E1024" s="9"/>
      <c r="F1024" s="9"/>
      <c r="G1024" s="9"/>
    </row>
    <row r="1025" spans="3:7">
      <c r="C1025" s="9"/>
      <c r="D1025" s="9"/>
      <c r="E1025" s="9"/>
      <c r="F1025" s="9"/>
      <c r="G1025" s="9"/>
    </row>
    <row r="1026" spans="3:7">
      <c r="C1026" s="9"/>
      <c r="D1026" s="9"/>
      <c r="E1026" s="9"/>
      <c r="F1026" s="9"/>
      <c r="G1026" s="9"/>
    </row>
    <row r="1027" spans="3:7">
      <c r="C1027" s="9"/>
      <c r="D1027" s="9"/>
      <c r="E1027" s="9"/>
      <c r="F1027" s="9"/>
      <c r="G1027" s="9"/>
    </row>
    <row r="1028" spans="3:7">
      <c r="C1028" s="9"/>
      <c r="D1028" s="9"/>
      <c r="E1028" s="9"/>
      <c r="F1028" s="9"/>
      <c r="G1028" s="9"/>
    </row>
    <row r="1029" spans="3:7">
      <c r="C1029" s="9"/>
      <c r="D1029" s="9"/>
      <c r="E1029" s="9"/>
      <c r="F1029" s="9"/>
      <c r="G1029" s="9"/>
    </row>
    <row r="1030" spans="3:7">
      <c r="C1030" s="9"/>
      <c r="D1030" s="9"/>
      <c r="E1030" s="9"/>
      <c r="F1030" s="9"/>
      <c r="G1030" s="9"/>
    </row>
    <row r="1031" spans="3:7">
      <c r="C1031" s="9"/>
      <c r="D1031" s="9"/>
      <c r="E1031" s="9"/>
      <c r="F1031" s="9"/>
      <c r="G1031" s="9"/>
    </row>
    <row r="1032" spans="3:7">
      <c r="C1032" s="9"/>
      <c r="D1032" s="9"/>
      <c r="E1032" s="9"/>
      <c r="F1032" s="9"/>
      <c r="G1032" s="9"/>
    </row>
    <row r="1033" spans="3:7">
      <c r="C1033" s="9"/>
      <c r="D1033" s="9"/>
      <c r="E1033" s="9"/>
      <c r="F1033" s="9"/>
      <c r="G1033" s="9"/>
    </row>
    <row r="1034" spans="3:7">
      <c r="C1034" s="9"/>
      <c r="D1034" s="9"/>
      <c r="E1034" s="9"/>
      <c r="F1034" s="9"/>
      <c r="G1034" s="9"/>
    </row>
    <row r="1035" spans="3:7">
      <c r="C1035" s="9"/>
      <c r="D1035" s="9"/>
      <c r="E1035" s="9"/>
      <c r="F1035" s="9"/>
      <c r="G1035" s="9"/>
    </row>
    <row r="1036" spans="3:7">
      <c r="C1036" s="9"/>
      <c r="D1036" s="9"/>
      <c r="E1036" s="9"/>
      <c r="F1036" s="9"/>
      <c r="G1036" s="9"/>
    </row>
    <row r="1037" spans="3:7">
      <c r="C1037" s="9"/>
      <c r="D1037" s="9"/>
      <c r="E1037" s="9"/>
      <c r="F1037" s="9"/>
      <c r="G1037" s="9"/>
    </row>
    <row r="1038" spans="3:7">
      <c r="C1038" s="9"/>
      <c r="D1038" s="9"/>
      <c r="E1038" s="9"/>
      <c r="F1038" s="9"/>
      <c r="G1038" s="9"/>
    </row>
    <row r="1039" spans="3:7">
      <c r="C1039" s="9"/>
      <c r="D1039" s="9"/>
      <c r="E1039" s="9"/>
      <c r="F1039" s="9"/>
      <c r="G1039" s="9"/>
    </row>
    <row r="1040" spans="3:7">
      <c r="C1040" s="9"/>
      <c r="D1040" s="9"/>
      <c r="E1040" s="9"/>
      <c r="F1040" s="9"/>
      <c r="G1040" s="9"/>
    </row>
    <row r="1041" spans="3:7">
      <c r="C1041" s="9"/>
      <c r="D1041" s="9"/>
      <c r="E1041" s="9"/>
      <c r="F1041" s="9"/>
      <c r="G1041" s="9"/>
    </row>
    <row r="1042" spans="3:7">
      <c r="C1042" s="9"/>
      <c r="D1042" s="9"/>
      <c r="E1042" s="9"/>
      <c r="F1042" s="9"/>
      <c r="G1042" s="9"/>
    </row>
    <row r="1043" spans="3:7">
      <c r="C1043" s="9"/>
      <c r="D1043" s="9"/>
      <c r="E1043" s="9"/>
      <c r="F1043" s="9"/>
      <c r="G1043" s="9"/>
    </row>
    <row r="1044" spans="3:7">
      <c r="C1044" s="9"/>
      <c r="D1044" s="9"/>
      <c r="E1044" s="9"/>
      <c r="F1044" s="9"/>
      <c r="G1044" s="9"/>
    </row>
    <row r="1045" spans="3:7">
      <c r="C1045" s="9"/>
      <c r="D1045" s="9"/>
      <c r="E1045" s="9"/>
      <c r="F1045" s="9"/>
      <c r="G1045" s="9"/>
    </row>
    <row r="1046" spans="3:7">
      <c r="C1046" s="9"/>
      <c r="D1046" s="9"/>
      <c r="E1046" s="9"/>
      <c r="F1046" s="9"/>
      <c r="G1046" s="9"/>
    </row>
    <row r="1047" spans="3:7">
      <c r="C1047" s="9"/>
      <c r="D1047" s="9"/>
      <c r="E1047" s="9"/>
      <c r="F1047" s="9"/>
      <c r="G1047" s="9"/>
    </row>
    <row r="1048" spans="3:7">
      <c r="C1048" s="9"/>
      <c r="D1048" s="9"/>
      <c r="E1048" s="9"/>
      <c r="F1048" s="9"/>
      <c r="G1048" s="9"/>
    </row>
    <row r="1049" spans="3:7">
      <c r="C1049" s="9"/>
      <c r="D1049" s="9"/>
      <c r="E1049" s="9"/>
      <c r="F1049" s="9"/>
      <c r="G1049" s="9"/>
    </row>
    <row r="1050" spans="3:7">
      <c r="C1050" s="9"/>
      <c r="D1050" s="9"/>
      <c r="E1050" s="9"/>
      <c r="F1050" s="9"/>
      <c r="G1050" s="9"/>
    </row>
    <row r="1051" spans="3:7">
      <c r="C1051" s="9"/>
      <c r="D1051" s="9"/>
      <c r="E1051" s="9"/>
      <c r="F1051" s="9"/>
      <c r="G1051" s="9"/>
    </row>
    <row r="1052" spans="3:7">
      <c r="C1052" s="9"/>
      <c r="D1052" s="9"/>
      <c r="E1052" s="9"/>
      <c r="F1052" s="9"/>
      <c r="G1052" s="9"/>
    </row>
    <row r="1053" spans="3:7">
      <c r="C1053" s="9"/>
      <c r="D1053" s="9"/>
      <c r="E1053" s="9"/>
      <c r="F1053" s="9"/>
      <c r="G1053" s="9"/>
    </row>
    <row r="1054" spans="3:7">
      <c r="C1054" s="9"/>
      <c r="D1054" s="9"/>
      <c r="E1054" s="9"/>
      <c r="F1054" s="9"/>
      <c r="G1054" s="9"/>
    </row>
    <row r="1055" spans="3:7">
      <c r="C1055" s="9"/>
      <c r="D1055" s="9"/>
      <c r="E1055" s="9"/>
      <c r="F1055" s="9"/>
      <c r="G1055" s="9"/>
    </row>
    <row r="1056" spans="3:7">
      <c r="C1056" s="9"/>
      <c r="D1056" s="9"/>
      <c r="E1056" s="9"/>
      <c r="F1056" s="9"/>
      <c r="G1056" s="9"/>
    </row>
    <row r="1057" spans="3:7">
      <c r="C1057" s="9"/>
      <c r="D1057" s="9"/>
      <c r="E1057" s="9"/>
      <c r="F1057" s="9"/>
      <c r="G1057" s="9"/>
    </row>
    <row r="1058" spans="3:7">
      <c r="C1058" s="9"/>
      <c r="D1058" s="9"/>
      <c r="E1058" s="9"/>
      <c r="F1058" s="9"/>
      <c r="G1058" s="9"/>
    </row>
    <row r="1059" spans="3:7">
      <c r="C1059" s="9"/>
      <c r="D1059" s="9"/>
      <c r="E1059" s="9"/>
      <c r="F1059" s="9"/>
      <c r="G1059" s="9"/>
    </row>
    <row r="1060" spans="3:7">
      <c r="C1060" s="9"/>
      <c r="D1060" s="9"/>
      <c r="E1060" s="9"/>
      <c r="F1060" s="9"/>
      <c r="G1060" s="9"/>
    </row>
    <row r="1061" spans="3:7">
      <c r="C1061" s="9"/>
      <c r="D1061" s="9"/>
      <c r="E1061" s="9"/>
      <c r="F1061" s="9"/>
      <c r="G1061" s="9"/>
    </row>
    <row r="1062" spans="3:7">
      <c r="C1062" s="9"/>
      <c r="D1062" s="9"/>
      <c r="E1062" s="9"/>
      <c r="F1062" s="9"/>
      <c r="G1062" s="9"/>
    </row>
    <row r="1063" spans="3:7">
      <c r="C1063" s="9"/>
      <c r="D1063" s="9"/>
      <c r="E1063" s="9"/>
      <c r="F1063" s="9"/>
      <c r="G1063" s="9"/>
    </row>
    <row r="1064" spans="3:7">
      <c r="C1064" s="9"/>
      <c r="D1064" s="9"/>
      <c r="E1064" s="9"/>
      <c r="F1064" s="9"/>
      <c r="G1064" s="9"/>
    </row>
    <row r="1065" spans="3:7">
      <c r="C1065" s="9"/>
      <c r="D1065" s="9"/>
      <c r="E1065" s="9"/>
      <c r="F1065" s="9"/>
      <c r="G1065" s="9"/>
    </row>
    <row r="1066" spans="3:7">
      <c r="C1066" s="9"/>
      <c r="D1066" s="9"/>
      <c r="E1066" s="9"/>
      <c r="F1066" s="9"/>
      <c r="G106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A395-2822-E14B-AABB-9A4AD8A49D81}">
  <dimension ref="A1:O1449"/>
  <sheetViews>
    <sheetView workbookViewId="0">
      <selection activeCell="L2" sqref="L2"/>
    </sheetView>
  </sheetViews>
  <sheetFormatPr defaultColWidth="11" defaultRowHeight="15.95"/>
  <sheetData>
    <row r="1" spans="1:1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5">
      <c r="A2" t="s">
        <v>23</v>
      </c>
      <c r="B2" t="s">
        <v>8</v>
      </c>
      <c r="C2">
        <v>1</v>
      </c>
      <c r="D2" s="1" t="s">
        <v>16</v>
      </c>
      <c r="E2" s="1">
        <v>1</v>
      </c>
      <c r="F2">
        <v>41</v>
      </c>
      <c r="H2">
        <f t="shared" ref="H2:H65" si="0">1/(10^I2)</f>
        <v>1.0000000000000001E-5</v>
      </c>
      <c r="I2">
        <v>5</v>
      </c>
      <c r="J2">
        <v>20</v>
      </c>
      <c r="K2">
        <f>F2</f>
        <v>41</v>
      </c>
      <c r="L2">
        <f>K2/(H2*(J2/1000))</f>
        <v>204999999.99999997</v>
      </c>
      <c r="O2" t="s">
        <v>24</v>
      </c>
    </row>
    <row r="3" spans="1:15">
      <c r="A3" t="s">
        <v>23</v>
      </c>
      <c r="B3" t="s">
        <v>8</v>
      </c>
      <c r="C3">
        <v>1</v>
      </c>
      <c r="D3" s="1" t="s">
        <v>16</v>
      </c>
      <c r="E3" s="1">
        <v>2</v>
      </c>
      <c r="F3">
        <v>40</v>
      </c>
      <c r="H3">
        <f t="shared" si="0"/>
        <v>1.0000000000000001E-5</v>
      </c>
      <c r="I3">
        <v>5</v>
      </c>
      <c r="J3">
        <v>20</v>
      </c>
      <c r="K3">
        <f t="shared" ref="K3:K66" si="1">F3</f>
        <v>40</v>
      </c>
      <c r="L3">
        <f t="shared" ref="L3:L66" si="2">K3/(H3*(J3/1000))</f>
        <v>199999999.99999997</v>
      </c>
    </row>
    <row r="4" spans="1:15">
      <c r="A4" t="s">
        <v>23</v>
      </c>
      <c r="B4" t="s">
        <v>8</v>
      </c>
      <c r="C4">
        <v>1</v>
      </c>
      <c r="D4" s="1" t="s">
        <v>16</v>
      </c>
      <c r="E4" s="1">
        <v>3</v>
      </c>
      <c r="F4">
        <v>57</v>
      </c>
      <c r="H4">
        <f t="shared" si="0"/>
        <v>1.0000000000000001E-5</v>
      </c>
      <c r="I4">
        <v>5</v>
      </c>
      <c r="J4">
        <v>20</v>
      </c>
      <c r="K4">
        <f t="shared" si="1"/>
        <v>57</v>
      </c>
      <c r="L4">
        <f t="shared" si="2"/>
        <v>285000000</v>
      </c>
    </row>
    <row r="5" spans="1:15">
      <c r="A5" t="s">
        <v>23</v>
      </c>
      <c r="B5" t="s">
        <v>8</v>
      </c>
      <c r="C5">
        <v>1</v>
      </c>
      <c r="D5" s="1" t="s">
        <v>16</v>
      </c>
      <c r="E5" s="1">
        <v>4</v>
      </c>
      <c r="F5">
        <v>52</v>
      </c>
      <c r="H5">
        <f t="shared" si="0"/>
        <v>1.0000000000000001E-5</v>
      </c>
      <c r="I5">
        <v>5</v>
      </c>
      <c r="J5">
        <v>20</v>
      </c>
      <c r="K5">
        <f t="shared" si="1"/>
        <v>52</v>
      </c>
      <c r="L5">
        <f t="shared" si="2"/>
        <v>259999999.99999997</v>
      </c>
    </row>
    <row r="6" spans="1:15">
      <c r="A6" t="s">
        <v>23</v>
      </c>
      <c r="B6" t="s">
        <v>8</v>
      </c>
      <c r="C6">
        <v>1</v>
      </c>
      <c r="D6" s="1" t="s">
        <v>16</v>
      </c>
      <c r="E6" s="1">
        <v>5</v>
      </c>
      <c r="F6">
        <v>50</v>
      </c>
      <c r="H6">
        <f t="shared" si="0"/>
        <v>1.0000000000000001E-5</v>
      </c>
      <c r="I6">
        <v>5</v>
      </c>
      <c r="J6">
        <v>20</v>
      </c>
      <c r="K6">
        <f t="shared" si="1"/>
        <v>50</v>
      </c>
      <c r="L6">
        <f t="shared" si="2"/>
        <v>249999999.99999997</v>
      </c>
    </row>
    <row r="7" spans="1:15">
      <c r="A7" t="s">
        <v>23</v>
      </c>
      <c r="B7" t="s">
        <v>8</v>
      </c>
      <c r="C7">
        <v>1</v>
      </c>
      <c r="D7" s="1" t="s">
        <v>16</v>
      </c>
      <c r="E7" s="1">
        <v>6</v>
      </c>
      <c r="F7">
        <v>34</v>
      </c>
      <c r="H7">
        <f t="shared" si="0"/>
        <v>1.0000000000000001E-5</v>
      </c>
      <c r="I7">
        <v>5</v>
      </c>
      <c r="J7">
        <v>20</v>
      </c>
      <c r="K7">
        <f t="shared" si="1"/>
        <v>34</v>
      </c>
      <c r="L7">
        <f t="shared" si="2"/>
        <v>170000000</v>
      </c>
    </row>
    <row r="8" spans="1:15">
      <c r="A8" t="s">
        <v>23</v>
      </c>
      <c r="B8" t="s">
        <v>8</v>
      </c>
      <c r="C8">
        <v>1</v>
      </c>
      <c r="D8" s="1" t="s">
        <v>16</v>
      </c>
      <c r="E8" s="1">
        <v>7</v>
      </c>
      <c r="F8">
        <v>42</v>
      </c>
      <c r="H8">
        <f t="shared" si="0"/>
        <v>1.0000000000000001E-5</v>
      </c>
      <c r="I8">
        <v>5</v>
      </c>
      <c r="J8">
        <v>20</v>
      </c>
      <c r="K8">
        <f t="shared" si="1"/>
        <v>42</v>
      </c>
      <c r="L8">
        <f t="shared" si="2"/>
        <v>209999999.99999997</v>
      </c>
    </row>
    <row r="9" spans="1:15">
      <c r="A9" t="s">
        <v>23</v>
      </c>
      <c r="B9" t="s">
        <v>8</v>
      </c>
      <c r="C9">
        <v>1</v>
      </c>
      <c r="D9" s="1" t="s">
        <v>16</v>
      </c>
      <c r="E9" s="1">
        <v>8</v>
      </c>
      <c r="F9">
        <v>43</v>
      </c>
      <c r="H9">
        <f t="shared" si="0"/>
        <v>1.0000000000000001E-5</v>
      </c>
      <c r="I9">
        <v>5</v>
      </c>
      <c r="J9">
        <v>20</v>
      </c>
      <c r="K9">
        <f t="shared" si="1"/>
        <v>43</v>
      </c>
      <c r="L9">
        <f>K9/(H9*(J9/1000))</f>
        <v>214999999.99999997</v>
      </c>
    </row>
    <row r="10" spans="1:15">
      <c r="A10" t="s">
        <v>23</v>
      </c>
      <c r="B10" t="s">
        <v>8</v>
      </c>
      <c r="C10">
        <v>1</v>
      </c>
      <c r="D10" s="1" t="s">
        <v>16</v>
      </c>
      <c r="E10" s="1">
        <v>9</v>
      </c>
      <c r="F10">
        <v>39</v>
      </c>
      <c r="H10">
        <f t="shared" si="0"/>
        <v>1.0000000000000001E-5</v>
      </c>
      <c r="I10">
        <v>5</v>
      </c>
      <c r="J10">
        <v>20</v>
      </c>
      <c r="K10">
        <f t="shared" si="1"/>
        <v>39</v>
      </c>
      <c r="L10">
        <f t="shared" si="2"/>
        <v>194999999.99999997</v>
      </c>
    </row>
    <row r="11" spans="1:15">
      <c r="A11" t="s">
        <v>23</v>
      </c>
      <c r="B11" t="s">
        <v>8</v>
      </c>
      <c r="C11">
        <v>1</v>
      </c>
      <c r="D11" s="1" t="s">
        <v>16</v>
      </c>
      <c r="E11" s="1">
        <v>10</v>
      </c>
      <c r="F11">
        <v>41</v>
      </c>
      <c r="H11">
        <f t="shared" si="0"/>
        <v>1.0000000000000001E-5</v>
      </c>
      <c r="I11">
        <v>5</v>
      </c>
      <c r="J11">
        <v>20</v>
      </c>
      <c r="K11">
        <f t="shared" si="1"/>
        <v>41</v>
      </c>
      <c r="L11">
        <f t="shared" si="2"/>
        <v>204999999.99999997</v>
      </c>
    </row>
    <row r="12" spans="1:15">
      <c r="A12" t="s">
        <v>23</v>
      </c>
      <c r="B12" t="s">
        <v>8</v>
      </c>
      <c r="C12">
        <f>C2+0.5</f>
        <v>1.5</v>
      </c>
      <c r="D12" s="1" t="s">
        <v>16</v>
      </c>
      <c r="E12" s="1">
        <f>E2</f>
        <v>1</v>
      </c>
      <c r="F12">
        <v>27</v>
      </c>
      <c r="H12">
        <f t="shared" si="0"/>
        <v>0.01</v>
      </c>
      <c r="I12">
        <v>2</v>
      </c>
      <c r="J12">
        <v>20</v>
      </c>
      <c r="K12">
        <f t="shared" si="1"/>
        <v>27</v>
      </c>
      <c r="L12">
        <f t="shared" si="2"/>
        <v>135000</v>
      </c>
    </row>
    <row r="13" spans="1:15">
      <c r="A13" t="s">
        <v>23</v>
      </c>
      <c r="B13" t="s">
        <v>8</v>
      </c>
      <c r="C13">
        <f t="shared" ref="C13:C76" si="3">C3+0.5</f>
        <v>1.5</v>
      </c>
      <c r="D13" s="1" t="s">
        <v>16</v>
      </c>
      <c r="E13" s="1">
        <f t="shared" ref="E13:E76" si="4">E3</f>
        <v>2</v>
      </c>
      <c r="F13">
        <v>13</v>
      </c>
      <c r="H13">
        <f t="shared" si="0"/>
        <v>1E-3</v>
      </c>
      <c r="I13">
        <v>3</v>
      </c>
      <c r="J13">
        <v>20</v>
      </c>
      <c r="K13">
        <f t="shared" si="1"/>
        <v>13</v>
      </c>
      <c r="L13">
        <f t="shared" si="2"/>
        <v>650000</v>
      </c>
    </row>
    <row r="14" spans="1:15">
      <c r="A14" t="s">
        <v>23</v>
      </c>
      <c r="B14" t="s">
        <v>8</v>
      </c>
      <c r="C14">
        <f t="shared" si="3"/>
        <v>1.5</v>
      </c>
      <c r="D14" s="1" t="s">
        <v>16</v>
      </c>
      <c r="E14" s="1">
        <f t="shared" si="4"/>
        <v>3</v>
      </c>
      <c r="F14">
        <v>15</v>
      </c>
      <c r="H14">
        <f t="shared" si="0"/>
        <v>1E-3</v>
      </c>
      <c r="I14">
        <v>3</v>
      </c>
      <c r="J14">
        <v>20</v>
      </c>
      <c r="K14">
        <f t="shared" si="1"/>
        <v>15</v>
      </c>
      <c r="L14">
        <f t="shared" si="2"/>
        <v>749999.99999999988</v>
      </c>
    </row>
    <row r="15" spans="1:15">
      <c r="A15" t="s">
        <v>23</v>
      </c>
      <c r="B15" t="s">
        <v>8</v>
      </c>
      <c r="C15">
        <f t="shared" si="3"/>
        <v>1.5</v>
      </c>
      <c r="D15" s="1" t="s">
        <v>16</v>
      </c>
      <c r="E15" s="1">
        <f t="shared" si="4"/>
        <v>4</v>
      </c>
      <c r="F15">
        <v>30</v>
      </c>
      <c r="H15">
        <f t="shared" si="0"/>
        <v>0.01</v>
      </c>
      <c r="I15">
        <v>2</v>
      </c>
      <c r="J15">
        <v>20</v>
      </c>
      <c r="K15">
        <f t="shared" si="1"/>
        <v>30</v>
      </c>
      <c r="L15">
        <f t="shared" si="2"/>
        <v>150000</v>
      </c>
    </row>
    <row r="16" spans="1:15">
      <c r="A16" t="s">
        <v>23</v>
      </c>
      <c r="B16" t="s">
        <v>8</v>
      </c>
      <c r="C16">
        <f t="shared" si="3"/>
        <v>1.5</v>
      </c>
      <c r="D16" s="1" t="s">
        <v>16</v>
      </c>
      <c r="E16" s="1">
        <f t="shared" si="4"/>
        <v>5</v>
      </c>
      <c r="F16">
        <v>47</v>
      </c>
      <c r="H16">
        <f t="shared" si="0"/>
        <v>0.01</v>
      </c>
      <c r="I16">
        <v>2</v>
      </c>
      <c r="J16">
        <v>20</v>
      </c>
      <c r="K16">
        <f t="shared" si="1"/>
        <v>47</v>
      </c>
      <c r="L16">
        <f t="shared" si="2"/>
        <v>235000</v>
      </c>
    </row>
    <row r="17" spans="1:12">
      <c r="A17" t="s">
        <v>23</v>
      </c>
      <c r="B17" t="s">
        <v>8</v>
      </c>
      <c r="C17">
        <f t="shared" si="3"/>
        <v>1.5</v>
      </c>
      <c r="D17" s="1" t="s">
        <v>16</v>
      </c>
      <c r="E17" s="1">
        <f t="shared" si="4"/>
        <v>6</v>
      </c>
      <c r="F17">
        <v>20</v>
      </c>
      <c r="H17">
        <f t="shared" si="0"/>
        <v>1E-3</v>
      </c>
      <c r="I17">
        <v>3</v>
      </c>
      <c r="J17">
        <v>20</v>
      </c>
      <c r="K17">
        <f t="shared" si="1"/>
        <v>20</v>
      </c>
      <c r="L17">
        <f t="shared" si="2"/>
        <v>999999.99999999988</v>
      </c>
    </row>
    <row r="18" spans="1:12">
      <c r="A18" t="s">
        <v>23</v>
      </c>
      <c r="B18" t="s">
        <v>8</v>
      </c>
      <c r="C18">
        <f t="shared" si="3"/>
        <v>1.5</v>
      </c>
      <c r="D18" s="1" t="s">
        <v>16</v>
      </c>
      <c r="E18" s="1">
        <f t="shared" si="4"/>
        <v>7</v>
      </c>
      <c r="F18">
        <v>14</v>
      </c>
      <c r="H18">
        <f t="shared" si="0"/>
        <v>0.01</v>
      </c>
      <c r="I18">
        <v>2</v>
      </c>
      <c r="J18">
        <v>20</v>
      </c>
      <c r="K18">
        <f t="shared" si="1"/>
        <v>14</v>
      </c>
      <c r="L18">
        <f t="shared" si="2"/>
        <v>70000</v>
      </c>
    </row>
    <row r="19" spans="1:12">
      <c r="A19" t="s">
        <v>23</v>
      </c>
      <c r="B19" t="s">
        <v>8</v>
      </c>
      <c r="C19">
        <f t="shared" si="3"/>
        <v>1.5</v>
      </c>
      <c r="D19" s="1" t="s">
        <v>16</v>
      </c>
      <c r="E19" s="1">
        <f t="shared" si="4"/>
        <v>8</v>
      </c>
      <c r="F19">
        <v>22</v>
      </c>
      <c r="H19">
        <f t="shared" si="0"/>
        <v>0.01</v>
      </c>
      <c r="I19">
        <v>2</v>
      </c>
      <c r="J19">
        <v>20</v>
      </c>
      <c r="K19">
        <f t="shared" si="1"/>
        <v>22</v>
      </c>
      <c r="L19">
        <f t="shared" si="2"/>
        <v>110000</v>
      </c>
    </row>
    <row r="20" spans="1:12">
      <c r="A20" t="s">
        <v>23</v>
      </c>
      <c r="B20" t="s">
        <v>8</v>
      </c>
      <c r="C20">
        <f t="shared" si="3"/>
        <v>1.5</v>
      </c>
      <c r="D20" s="1" t="s">
        <v>16</v>
      </c>
      <c r="E20" s="1">
        <f t="shared" si="4"/>
        <v>9</v>
      </c>
      <c r="F20">
        <v>61</v>
      </c>
      <c r="H20">
        <f t="shared" si="0"/>
        <v>0.01</v>
      </c>
      <c r="I20">
        <v>2</v>
      </c>
      <c r="J20">
        <v>20</v>
      </c>
      <c r="K20">
        <f t="shared" si="1"/>
        <v>61</v>
      </c>
      <c r="L20">
        <f t="shared" si="2"/>
        <v>305000</v>
      </c>
    </row>
    <row r="21" spans="1:12">
      <c r="A21" t="s">
        <v>23</v>
      </c>
      <c r="B21" t="s">
        <v>8</v>
      </c>
      <c r="C21">
        <f t="shared" si="3"/>
        <v>1.5</v>
      </c>
      <c r="D21" s="1" t="s">
        <v>16</v>
      </c>
      <c r="E21" s="1">
        <f t="shared" si="4"/>
        <v>10</v>
      </c>
      <c r="F21">
        <v>11</v>
      </c>
      <c r="H21">
        <f t="shared" si="0"/>
        <v>1E-3</v>
      </c>
      <c r="I21">
        <v>3</v>
      </c>
      <c r="J21">
        <v>20</v>
      </c>
      <c r="K21">
        <f t="shared" si="1"/>
        <v>11</v>
      </c>
      <c r="L21">
        <f t="shared" si="2"/>
        <v>550000</v>
      </c>
    </row>
    <row r="22" spans="1:12">
      <c r="A22" t="s">
        <v>23</v>
      </c>
      <c r="B22" t="s">
        <v>8</v>
      </c>
      <c r="C22">
        <f>C12+0.5</f>
        <v>2</v>
      </c>
      <c r="D22" s="1" t="s">
        <v>16</v>
      </c>
      <c r="E22" s="1">
        <f t="shared" si="4"/>
        <v>1</v>
      </c>
      <c r="F22">
        <v>70</v>
      </c>
      <c r="H22">
        <f t="shared" si="0"/>
        <v>1.0000000000000001E-5</v>
      </c>
      <c r="I22">
        <v>5</v>
      </c>
      <c r="J22">
        <v>20</v>
      </c>
      <c r="K22">
        <f t="shared" si="1"/>
        <v>70</v>
      </c>
      <c r="L22">
        <f t="shared" si="2"/>
        <v>349999999.99999994</v>
      </c>
    </row>
    <row r="23" spans="1:12">
      <c r="A23" t="s">
        <v>23</v>
      </c>
      <c r="B23" t="s">
        <v>8</v>
      </c>
      <c r="C23">
        <f t="shared" si="3"/>
        <v>2</v>
      </c>
      <c r="D23" s="1" t="s">
        <v>16</v>
      </c>
      <c r="E23" s="1">
        <f t="shared" si="4"/>
        <v>2</v>
      </c>
      <c r="F23">
        <v>55</v>
      </c>
      <c r="H23">
        <f t="shared" si="0"/>
        <v>1.0000000000000001E-5</v>
      </c>
      <c r="I23">
        <v>5</v>
      </c>
      <c r="J23">
        <v>20</v>
      </c>
      <c r="K23">
        <f t="shared" si="1"/>
        <v>55</v>
      </c>
      <c r="L23">
        <f t="shared" si="2"/>
        <v>275000000</v>
      </c>
    </row>
    <row r="24" spans="1:12">
      <c r="A24" t="s">
        <v>23</v>
      </c>
      <c r="B24" t="s">
        <v>8</v>
      </c>
      <c r="C24">
        <f t="shared" si="3"/>
        <v>2</v>
      </c>
      <c r="D24" s="1" t="s">
        <v>16</v>
      </c>
      <c r="E24" s="1">
        <f t="shared" si="4"/>
        <v>3</v>
      </c>
      <c r="F24">
        <v>57</v>
      </c>
      <c r="H24">
        <f t="shared" si="0"/>
        <v>1.0000000000000001E-5</v>
      </c>
      <c r="I24">
        <v>5</v>
      </c>
      <c r="J24">
        <v>20</v>
      </c>
      <c r="K24">
        <f t="shared" si="1"/>
        <v>57</v>
      </c>
      <c r="L24">
        <f t="shared" si="2"/>
        <v>285000000</v>
      </c>
    </row>
    <row r="25" spans="1:12">
      <c r="A25" t="s">
        <v>23</v>
      </c>
      <c r="B25" t="s">
        <v>8</v>
      </c>
      <c r="C25">
        <f t="shared" si="3"/>
        <v>2</v>
      </c>
      <c r="D25" s="1" t="s">
        <v>16</v>
      </c>
      <c r="E25" s="1">
        <f t="shared" si="4"/>
        <v>4</v>
      </c>
      <c r="F25">
        <v>20</v>
      </c>
      <c r="H25">
        <f t="shared" si="0"/>
        <v>1.0000000000000001E-5</v>
      </c>
      <c r="I25">
        <v>5</v>
      </c>
      <c r="J25">
        <v>20</v>
      </c>
      <c r="K25">
        <f t="shared" si="1"/>
        <v>20</v>
      </c>
      <c r="L25">
        <f t="shared" si="2"/>
        <v>99999999.999999985</v>
      </c>
    </row>
    <row r="26" spans="1:12">
      <c r="A26" t="s">
        <v>23</v>
      </c>
      <c r="B26" t="s">
        <v>8</v>
      </c>
      <c r="C26">
        <f t="shared" si="3"/>
        <v>2</v>
      </c>
      <c r="D26" s="1" t="s">
        <v>16</v>
      </c>
      <c r="E26" s="1">
        <f t="shared" si="4"/>
        <v>5</v>
      </c>
      <c r="F26">
        <v>58</v>
      </c>
      <c r="H26">
        <f t="shared" si="0"/>
        <v>1.0000000000000001E-5</v>
      </c>
      <c r="I26">
        <v>5</v>
      </c>
      <c r="J26">
        <v>20</v>
      </c>
      <c r="K26">
        <f t="shared" si="1"/>
        <v>58</v>
      </c>
      <c r="L26">
        <f t="shared" si="2"/>
        <v>290000000</v>
      </c>
    </row>
    <row r="27" spans="1:12">
      <c r="A27" t="s">
        <v>23</v>
      </c>
      <c r="B27" t="s">
        <v>8</v>
      </c>
      <c r="C27">
        <f t="shared" si="3"/>
        <v>2</v>
      </c>
      <c r="D27" s="1" t="s">
        <v>16</v>
      </c>
      <c r="E27" s="1">
        <f t="shared" si="4"/>
        <v>6</v>
      </c>
      <c r="F27">
        <v>46</v>
      </c>
      <c r="H27">
        <f t="shared" si="0"/>
        <v>1.0000000000000001E-5</v>
      </c>
      <c r="I27">
        <v>5</v>
      </c>
      <c r="J27">
        <v>20</v>
      </c>
      <c r="K27">
        <f t="shared" si="1"/>
        <v>46</v>
      </c>
      <c r="L27">
        <f t="shared" si="2"/>
        <v>229999999.99999997</v>
      </c>
    </row>
    <row r="28" spans="1:12">
      <c r="A28" t="s">
        <v>23</v>
      </c>
      <c r="B28" t="s">
        <v>8</v>
      </c>
      <c r="C28">
        <f t="shared" si="3"/>
        <v>2</v>
      </c>
      <c r="D28" s="1" t="s">
        <v>16</v>
      </c>
      <c r="E28" s="1">
        <f t="shared" si="4"/>
        <v>7</v>
      </c>
      <c r="F28">
        <v>27</v>
      </c>
      <c r="H28">
        <f t="shared" si="0"/>
        <v>1.0000000000000001E-5</v>
      </c>
      <c r="I28">
        <v>5</v>
      </c>
      <c r="J28">
        <v>20</v>
      </c>
      <c r="K28">
        <f t="shared" si="1"/>
        <v>27</v>
      </c>
      <c r="L28">
        <f t="shared" si="2"/>
        <v>135000000</v>
      </c>
    </row>
    <row r="29" spans="1:12">
      <c r="A29" t="s">
        <v>23</v>
      </c>
      <c r="B29" t="s">
        <v>8</v>
      </c>
      <c r="C29">
        <f t="shared" si="3"/>
        <v>2</v>
      </c>
      <c r="D29" s="1" t="s">
        <v>16</v>
      </c>
      <c r="E29" s="1">
        <f t="shared" si="4"/>
        <v>8</v>
      </c>
      <c r="F29">
        <v>31</v>
      </c>
      <c r="H29">
        <f t="shared" si="0"/>
        <v>1.0000000000000001E-5</v>
      </c>
      <c r="I29">
        <v>5</v>
      </c>
      <c r="J29">
        <v>20</v>
      </c>
      <c r="K29">
        <f t="shared" si="1"/>
        <v>31</v>
      </c>
      <c r="L29">
        <f t="shared" si="2"/>
        <v>155000000</v>
      </c>
    </row>
    <row r="30" spans="1:12">
      <c r="A30" t="s">
        <v>23</v>
      </c>
      <c r="B30" t="s">
        <v>8</v>
      </c>
      <c r="C30">
        <f t="shared" si="3"/>
        <v>2</v>
      </c>
      <c r="D30" s="1" t="s">
        <v>16</v>
      </c>
      <c r="E30" s="1">
        <f t="shared" si="4"/>
        <v>9</v>
      </c>
      <c r="F30">
        <v>17</v>
      </c>
      <c r="H30">
        <f t="shared" si="0"/>
        <v>1.0000000000000001E-5</v>
      </c>
      <c r="I30">
        <v>5</v>
      </c>
      <c r="J30">
        <v>20</v>
      </c>
      <c r="K30">
        <f t="shared" si="1"/>
        <v>17</v>
      </c>
      <c r="L30">
        <f t="shared" si="2"/>
        <v>85000000</v>
      </c>
    </row>
    <row r="31" spans="1:12">
      <c r="A31" t="s">
        <v>23</v>
      </c>
      <c r="B31" t="s">
        <v>8</v>
      </c>
      <c r="C31">
        <f t="shared" si="3"/>
        <v>2</v>
      </c>
      <c r="D31" s="1" t="s">
        <v>16</v>
      </c>
      <c r="E31" s="1">
        <f t="shared" si="4"/>
        <v>10</v>
      </c>
      <c r="F31">
        <v>67</v>
      </c>
      <c r="H31">
        <f t="shared" si="0"/>
        <v>1.0000000000000001E-5</v>
      </c>
      <c r="I31">
        <v>5</v>
      </c>
      <c r="J31">
        <v>20</v>
      </c>
      <c r="K31">
        <f t="shared" si="1"/>
        <v>67</v>
      </c>
      <c r="L31">
        <f t="shared" si="2"/>
        <v>335000000</v>
      </c>
    </row>
    <row r="32" spans="1:12">
      <c r="A32" t="s">
        <v>23</v>
      </c>
      <c r="B32" t="s">
        <v>8</v>
      </c>
      <c r="C32">
        <f t="shared" si="3"/>
        <v>2.5</v>
      </c>
      <c r="D32" s="1" t="s">
        <v>16</v>
      </c>
      <c r="E32" s="1">
        <f t="shared" si="4"/>
        <v>1</v>
      </c>
      <c r="F32">
        <v>18</v>
      </c>
      <c r="H32">
        <f t="shared" si="0"/>
        <v>1E-3</v>
      </c>
      <c r="I32">
        <v>3</v>
      </c>
      <c r="J32">
        <v>20</v>
      </c>
      <c r="K32">
        <f t="shared" si="1"/>
        <v>18</v>
      </c>
      <c r="L32">
        <f t="shared" si="2"/>
        <v>899999.99999999988</v>
      </c>
    </row>
    <row r="33" spans="1:12">
      <c r="A33" t="s">
        <v>23</v>
      </c>
      <c r="B33" t="s">
        <v>8</v>
      </c>
      <c r="C33">
        <f t="shared" si="3"/>
        <v>2.5</v>
      </c>
      <c r="D33" s="1" t="s">
        <v>16</v>
      </c>
      <c r="E33" s="1">
        <f t="shared" si="4"/>
        <v>2</v>
      </c>
      <c r="F33">
        <v>21</v>
      </c>
      <c r="H33">
        <f t="shared" si="0"/>
        <v>0.01</v>
      </c>
      <c r="I33">
        <v>2</v>
      </c>
      <c r="J33">
        <v>20</v>
      </c>
      <c r="K33">
        <f t="shared" si="1"/>
        <v>21</v>
      </c>
      <c r="L33">
        <f t="shared" si="2"/>
        <v>105000</v>
      </c>
    </row>
    <row r="34" spans="1:12">
      <c r="A34" t="s">
        <v>23</v>
      </c>
      <c r="B34" t="s">
        <v>8</v>
      </c>
      <c r="C34">
        <f t="shared" si="3"/>
        <v>2.5</v>
      </c>
      <c r="D34" s="1" t="s">
        <v>16</v>
      </c>
      <c r="E34" s="1">
        <f t="shared" si="4"/>
        <v>3</v>
      </c>
      <c r="F34">
        <v>50</v>
      </c>
      <c r="H34">
        <f t="shared" si="0"/>
        <v>0.01</v>
      </c>
      <c r="I34">
        <v>2</v>
      </c>
      <c r="J34">
        <v>20</v>
      </c>
      <c r="K34">
        <f t="shared" si="1"/>
        <v>50</v>
      </c>
      <c r="L34">
        <f t="shared" si="2"/>
        <v>250000</v>
      </c>
    </row>
    <row r="35" spans="1:12">
      <c r="A35" t="s">
        <v>23</v>
      </c>
      <c r="B35" t="s">
        <v>8</v>
      </c>
      <c r="C35">
        <f t="shared" si="3"/>
        <v>2.5</v>
      </c>
      <c r="D35" s="1" t="s">
        <v>16</v>
      </c>
      <c r="E35" s="1">
        <f t="shared" si="4"/>
        <v>4</v>
      </c>
      <c r="F35">
        <v>22</v>
      </c>
      <c r="H35">
        <f t="shared" si="0"/>
        <v>1E-3</v>
      </c>
      <c r="I35">
        <v>3</v>
      </c>
      <c r="J35">
        <v>20</v>
      </c>
      <c r="K35">
        <f t="shared" si="1"/>
        <v>22</v>
      </c>
      <c r="L35">
        <f t="shared" si="2"/>
        <v>1100000</v>
      </c>
    </row>
    <row r="36" spans="1:12">
      <c r="A36" t="s">
        <v>23</v>
      </c>
      <c r="B36" t="s">
        <v>8</v>
      </c>
      <c r="C36">
        <f t="shared" si="3"/>
        <v>2.5</v>
      </c>
      <c r="D36" s="1" t="s">
        <v>16</v>
      </c>
      <c r="E36" s="1">
        <f t="shared" si="4"/>
        <v>5</v>
      </c>
      <c r="F36">
        <v>25</v>
      </c>
      <c r="H36">
        <f t="shared" si="0"/>
        <v>0.01</v>
      </c>
      <c r="I36">
        <v>2</v>
      </c>
      <c r="J36">
        <v>20</v>
      </c>
      <c r="K36">
        <f t="shared" si="1"/>
        <v>25</v>
      </c>
      <c r="L36">
        <f t="shared" si="2"/>
        <v>125000</v>
      </c>
    </row>
    <row r="37" spans="1:12">
      <c r="A37" t="s">
        <v>23</v>
      </c>
      <c r="B37" t="s">
        <v>8</v>
      </c>
      <c r="C37">
        <f t="shared" si="3"/>
        <v>2.5</v>
      </c>
      <c r="D37" s="1" t="s">
        <v>16</v>
      </c>
      <c r="E37" s="1">
        <f t="shared" si="4"/>
        <v>6</v>
      </c>
      <c r="F37">
        <v>26</v>
      </c>
      <c r="H37">
        <f t="shared" si="0"/>
        <v>1E-3</v>
      </c>
      <c r="I37">
        <v>3</v>
      </c>
      <c r="J37">
        <v>20</v>
      </c>
      <c r="K37">
        <f t="shared" si="1"/>
        <v>26</v>
      </c>
      <c r="L37">
        <f t="shared" si="2"/>
        <v>1300000</v>
      </c>
    </row>
    <row r="38" spans="1:12">
      <c r="A38" t="s">
        <v>23</v>
      </c>
      <c r="B38" t="s">
        <v>8</v>
      </c>
      <c r="C38">
        <f t="shared" si="3"/>
        <v>2.5</v>
      </c>
      <c r="D38" s="1" t="s">
        <v>16</v>
      </c>
      <c r="E38" s="1">
        <f t="shared" si="4"/>
        <v>7</v>
      </c>
      <c r="F38">
        <v>20</v>
      </c>
      <c r="H38">
        <f t="shared" si="0"/>
        <v>1E-3</v>
      </c>
      <c r="I38">
        <v>3</v>
      </c>
      <c r="J38">
        <v>20</v>
      </c>
      <c r="K38">
        <f t="shared" si="1"/>
        <v>20</v>
      </c>
      <c r="L38">
        <f t="shared" si="2"/>
        <v>999999.99999999988</v>
      </c>
    </row>
    <row r="39" spans="1:12">
      <c r="A39" t="s">
        <v>23</v>
      </c>
      <c r="B39" t="s">
        <v>8</v>
      </c>
      <c r="C39">
        <f t="shared" si="3"/>
        <v>2.5</v>
      </c>
      <c r="D39" s="1" t="s">
        <v>16</v>
      </c>
      <c r="E39" s="1">
        <f t="shared" si="4"/>
        <v>8</v>
      </c>
      <c r="F39">
        <v>15</v>
      </c>
      <c r="H39">
        <f t="shared" si="0"/>
        <v>0.1</v>
      </c>
      <c r="I39">
        <v>1</v>
      </c>
      <c r="J39">
        <v>20</v>
      </c>
      <c r="K39">
        <f t="shared" si="1"/>
        <v>15</v>
      </c>
      <c r="L39">
        <f t="shared" si="2"/>
        <v>7500</v>
      </c>
    </row>
    <row r="40" spans="1:12">
      <c r="A40" t="s">
        <v>23</v>
      </c>
      <c r="B40" t="s">
        <v>8</v>
      </c>
      <c r="C40">
        <f t="shared" si="3"/>
        <v>2.5</v>
      </c>
      <c r="D40" s="1" t="s">
        <v>16</v>
      </c>
      <c r="E40" s="1">
        <f t="shared" si="4"/>
        <v>9</v>
      </c>
      <c r="F40">
        <v>9</v>
      </c>
      <c r="H40">
        <f t="shared" si="0"/>
        <v>0.1</v>
      </c>
      <c r="I40">
        <v>1</v>
      </c>
      <c r="J40">
        <v>20</v>
      </c>
      <c r="K40">
        <f t="shared" si="1"/>
        <v>9</v>
      </c>
      <c r="L40">
        <f t="shared" si="2"/>
        <v>4500</v>
      </c>
    </row>
    <row r="41" spans="1:12">
      <c r="A41" t="s">
        <v>23</v>
      </c>
      <c r="B41" t="s">
        <v>8</v>
      </c>
      <c r="C41">
        <f t="shared" si="3"/>
        <v>2.5</v>
      </c>
      <c r="D41" s="1" t="s">
        <v>16</v>
      </c>
      <c r="E41" s="1">
        <f t="shared" si="4"/>
        <v>10</v>
      </c>
      <c r="F41">
        <v>14</v>
      </c>
      <c r="H41">
        <f t="shared" si="0"/>
        <v>1E-3</v>
      </c>
      <c r="I41">
        <v>3</v>
      </c>
      <c r="J41">
        <v>20</v>
      </c>
      <c r="K41">
        <f t="shared" si="1"/>
        <v>14</v>
      </c>
      <c r="L41">
        <f t="shared" si="2"/>
        <v>700000</v>
      </c>
    </row>
    <row r="42" spans="1:12">
      <c r="A42" t="s">
        <v>23</v>
      </c>
      <c r="B42" t="s">
        <v>8</v>
      </c>
      <c r="C42">
        <f t="shared" si="3"/>
        <v>3</v>
      </c>
      <c r="D42" s="1" t="s">
        <v>16</v>
      </c>
      <c r="E42" s="1">
        <f t="shared" si="4"/>
        <v>1</v>
      </c>
      <c r="F42">
        <v>42</v>
      </c>
      <c r="H42">
        <f t="shared" si="0"/>
        <v>1.0000000000000001E-5</v>
      </c>
      <c r="I42">
        <v>5</v>
      </c>
      <c r="J42">
        <v>20</v>
      </c>
      <c r="K42">
        <f t="shared" si="1"/>
        <v>42</v>
      </c>
      <c r="L42">
        <f t="shared" si="2"/>
        <v>209999999.99999997</v>
      </c>
    </row>
    <row r="43" spans="1:12">
      <c r="A43" t="s">
        <v>23</v>
      </c>
      <c r="B43" t="s">
        <v>8</v>
      </c>
      <c r="C43">
        <f t="shared" si="3"/>
        <v>3</v>
      </c>
      <c r="D43" s="1" t="s">
        <v>16</v>
      </c>
      <c r="E43" s="1">
        <f t="shared" si="4"/>
        <v>2</v>
      </c>
      <c r="F43">
        <v>46</v>
      </c>
      <c r="H43">
        <f t="shared" si="0"/>
        <v>1.0000000000000001E-5</v>
      </c>
      <c r="I43">
        <v>5</v>
      </c>
      <c r="J43">
        <v>20</v>
      </c>
      <c r="K43">
        <f t="shared" si="1"/>
        <v>46</v>
      </c>
      <c r="L43">
        <f t="shared" si="2"/>
        <v>229999999.99999997</v>
      </c>
    </row>
    <row r="44" spans="1:12">
      <c r="A44" t="s">
        <v>23</v>
      </c>
      <c r="B44" t="s">
        <v>8</v>
      </c>
      <c r="C44">
        <f t="shared" si="3"/>
        <v>3</v>
      </c>
      <c r="D44" s="1" t="s">
        <v>16</v>
      </c>
      <c r="E44" s="1">
        <f t="shared" si="4"/>
        <v>3</v>
      </c>
      <c r="F44">
        <v>42</v>
      </c>
      <c r="H44">
        <f t="shared" si="0"/>
        <v>1.0000000000000001E-5</v>
      </c>
      <c r="I44">
        <v>5</v>
      </c>
      <c r="J44">
        <v>20</v>
      </c>
      <c r="K44">
        <f t="shared" si="1"/>
        <v>42</v>
      </c>
      <c r="L44">
        <f t="shared" si="2"/>
        <v>209999999.99999997</v>
      </c>
    </row>
    <row r="45" spans="1:12">
      <c r="A45" t="s">
        <v>23</v>
      </c>
      <c r="B45" t="s">
        <v>8</v>
      </c>
      <c r="C45">
        <f t="shared" si="3"/>
        <v>3</v>
      </c>
      <c r="D45" s="1" t="s">
        <v>16</v>
      </c>
      <c r="E45" s="1">
        <f t="shared" si="4"/>
        <v>4</v>
      </c>
      <c r="F45">
        <v>37</v>
      </c>
      <c r="H45">
        <f t="shared" si="0"/>
        <v>1.0000000000000001E-5</v>
      </c>
      <c r="I45">
        <v>5</v>
      </c>
      <c r="J45">
        <v>20</v>
      </c>
      <c r="K45">
        <f t="shared" si="1"/>
        <v>37</v>
      </c>
      <c r="L45">
        <f t="shared" si="2"/>
        <v>184999999.99999997</v>
      </c>
    </row>
    <row r="46" spans="1:12">
      <c r="A46" t="s">
        <v>23</v>
      </c>
      <c r="B46" t="s">
        <v>8</v>
      </c>
      <c r="C46">
        <f t="shared" si="3"/>
        <v>3</v>
      </c>
      <c r="D46" s="1" t="s">
        <v>16</v>
      </c>
      <c r="E46" s="1">
        <f t="shared" si="4"/>
        <v>5</v>
      </c>
      <c r="F46">
        <v>31</v>
      </c>
      <c r="H46">
        <f t="shared" si="0"/>
        <v>1.0000000000000001E-5</v>
      </c>
      <c r="I46">
        <v>5</v>
      </c>
      <c r="J46">
        <v>20</v>
      </c>
      <c r="K46">
        <f t="shared" si="1"/>
        <v>31</v>
      </c>
      <c r="L46">
        <f t="shared" si="2"/>
        <v>155000000</v>
      </c>
    </row>
    <row r="47" spans="1:12">
      <c r="A47" t="s">
        <v>23</v>
      </c>
      <c r="B47" t="s">
        <v>8</v>
      </c>
      <c r="C47">
        <f t="shared" si="3"/>
        <v>3</v>
      </c>
      <c r="D47" s="1" t="s">
        <v>16</v>
      </c>
      <c r="E47" s="1">
        <f t="shared" si="4"/>
        <v>6</v>
      </c>
      <c r="F47">
        <v>51</v>
      </c>
      <c r="H47">
        <f t="shared" si="0"/>
        <v>1.0000000000000001E-5</v>
      </c>
      <c r="I47">
        <v>5</v>
      </c>
      <c r="J47">
        <v>20</v>
      </c>
      <c r="K47">
        <f t="shared" si="1"/>
        <v>51</v>
      </c>
      <c r="L47">
        <f t="shared" si="2"/>
        <v>254999999.99999997</v>
      </c>
    </row>
    <row r="48" spans="1:12">
      <c r="A48" t="s">
        <v>23</v>
      </c>
      <c r="B48" t="s">
        <v>8</v>
      </c>
      <c r="C48">
        <f t="shared" si="3"/>
        <v>3</v>
      </c>
      <c r="D48" s="1" t="s">
        <v>16</v>
      </c>
      <c r="E48" s="1">
        <f t="shared" si="4"/>
        <v>7</v>
      </c>
      <c r="F48">
        <v>55</v>
      </c>
      <c r="H48">
        <f t="shared" si="0"/>
        <v>1.0000000000000001E-5</v>
      </c>
      <c r="I48">
        <v>5</v>
      </c>
      <c r="J48">
        <v>20</v>
      </c>
      <c r="K48">
        <f t="shared" si="1"/>
        <v>55</v>
      </c>
      <c r="L48">
        <f t="shared" si="2"/>
        <v>275000000</v>
      </c>
    </row>
    <row r="49" spans="1:12">
      <c r="A49" t="s">
        <v>23</v>
      </c>
      <c r="B49" t="s">
        <v>8</v>
      </c>
      <c r="C49">
        <f t="shared" si="3"/>
        <v>3</v>
      </c>
      <c r="D49" s="1" t="s">
        <v>16</v>
      </c>
      <c r="E49" s="1">
        <f t="shared" si="4"/>
        <v>8</v>
      </c>
      <c r="F49">
        <v>13</v>
      </c>
      <c r="H49">
        <f t="shared" si="0"/>
        <v>1.0000000000000001E-5</v>
      </c>
      <c r="I49">
        <v>5</v>
      </c>
      <c r="J49">
        <v>20</v>
      </c>
      <c r="K49">
        <f t="shared" si="1"/>
        <v>13</v>
      </c>
      <c r="L49">
        <f t="shared" si="2"/>
        <v>64999999.999999993</v>
      </c>
    </row>
    <row r="50" spans="1:12">
      <c r="A50" t="s">
        <v>23</v>
      </c>
      <c r="B50" t="s">
        <v>8</v>
      </c>
      <c r="C50">
        <f t="shared" si="3"/>
        <v>3</v>
      </c>
      <c r="D50" s="1" t="s">
        <v>16</v>
      </c>
      <c r="E50" s="1">
        <f t="shared" si="4"/>
        <v>9</v>
      </c>
      <c r="F50">
        <v>57</v>
      </c>
      <c r="H50">
        <f t="shared" si="0"/>
        <v>1.0000000000000001E-5</v>
      </c>
      <c r="I50">
        <v>5</v>
      </c>
      <c r="J50">
        <v>20</v>
      </c>
      <c r="K50">
        <f t="shared" si="1"/>
        <v>57</v>
      </c>
      <c r="L50">
        <f t="shared" si="2"/>
        <v>285000000</v>
      </c>
    </row>
    <row r="51" spans="1:12">
      <c r="A51" t="s">
        <v>23</v>
      </c>
      <c r="B51" t="s">
        <v>8</v>
      </c>
      <c r="C51">
        <f t="shared" si="3"/>
        <v>3</v>
      </c>
      <c r="D51" s="1" t="s">
        <v>16</v>
      </c>
      <c r="E51" s="1">
        <f t="shared" si="4"/>
        <v>10</v>
      </c>
      <c r="F51">
        <v>55</v>
      </c>
      <c r="H51">
        <f t="shared" si="0"/>
        <v>1.0000000000000001E-5</v>
      </c>
      <c r="I51">
        <v>5</v>
      </c>
      <c r="J51">
        <v>20</v>
      </c>
      <c r="K51">
        <f t="shared" si="1"/>
        <v>55</v>
      </c>
      <c r="L51">
        <f t="shared" si="2"/>
        <v>275000000</v>
      </c>
    </row>
    <row r="52" spans="1:12">
      <c r="A52" t="s">
        <v>23</v>
      </c>
      <c r="B52" t="s">
        <v>8</v>
      </c>
      <c r="C52">
        <f t="shared" si="3"/>
        <v>3.5</v>
      </c>
      <c r="D52" s="1" t="s">
        <v>16</v>
      </c>
      <c r="E52" s="1">
        <f t="shared" si="4"/>
        <v>1</v>
      </c>
      <c r="F52">
        <v>25</v>
      </c>
      <c r="H52">
        <f t="shared" si="0"/>
        <v>0.1</v>
      </c>
      <c r="I52">
        <v>1</v>
      </c>
      <c r="J52">
        <v>20</v>
      </c>
      <c r="K52">
        <f t="shared" si="1"/>
        <v>25</v>
      </c>
      <c r="L52">
        <f t="shared" si="2"/>
        <v>12500</v>
      </c>
    </row>
    <row r="53" spans="1:12">
      <c r="A53" t="s">
        <v>23</v>
      </c>
      <c r="B53" t="s">
        <v>8</v>
      </c>
      <c r="C53">
        <f t="shared" si="3"/>
        <v>3.5</v>
      </c>
      <c r="D53" s="1" t="s">
        <v>16</v>
      </c>
      <c r="E53" s="1">
        <f t="shared" si="4"/>
        <v>2</v>
      </c>
      <c r="F53">
        <v>22</v>
      </c>
      <c r="H53">
        <f t="shared" si="0"/>
        <v>0.1</v>
      </c>
      <c r="I53">
        <v>1</v>
      </c>
      <c r="J53">
        <v>20</v>
      </c>
      <c r="K53">
        <f t="shared" si="1"/>
        <v>22</v>
      </c>
      <c r="L53">
        <f t="shared" si="2"/>
        <v>11000</v>
      </c>
    </row>
    <row r="54" spans="1:12">
      <c r="A54" t="s">
        <v>23</v>
      </c>
      <c r="B54" t="s">
        <v>8</v>
      </c>
      <c r="C54">
        <f t="shared" si="3"/>
        <v>3.5</v>
      </c>
      <c r="D54" s="1" t="s">
        <v>16</v>
      </c>
      <c r="E54" s="1">
        <f t="shared" si="4"/>
        <v>3</v>
      </c>
      <c r="F54">
        <v>34</v>
      </c>
      <c r="H54">
        <f t="shared" si="0"/>
        <v>0.01</v>
      </c>
      <c r="I54">
        <v>2</v>
      </c>
      <c r="J54">
        <v>20</v>
      </c>
      <c r="K54">
        <f t="shared" si="1"/>
        <v>34</v>
      </c>
      <c r="L54">
        <f t="shared" si="2"/>
        <v>170000</v>
      </c>
    </row>
    <row r="55" spans="1:12">
      <c r="A55" t="s">
        <v>23</v>
      </c>
      <c r="B55" t="s">
        <v>8</v>
      </c>
      <c r="C55">
        <f t="shared" si="3"/>
        <v>3.5</v>
      </c>
      <c r="D55" s="1" t="s">
        <v>16</v>
      </c>
      <c r="E55" s="1">
        <f t="shared" si="4"/>
        <v>4</v>
      </c>
      <c r="F55">
        <v>15</v>
      </c>
      <c r="H55">
        <f t="shared" si="0"/>
        <v>0.01</v>
      </c>
      <c r="I55">
        <v>2</v>
      </c>
      <c r="J55">
        <v>20</v>
      </c>
      <c r="K55">
        <f t="shared" si="1"/>
        <v>15</v>
      </c>
      <c r="L55">
        <f t="shared" si="2"/>
        <v>75000</v>
      </c>
    </row>
    <row r="56" spans="1:12">
      <c r="A56" t="s">
        <v>23</v>
      </c>
      <c r="B56" t="s">
        <v>8</v>
      </c>
      <c r="C56">
        <f t="shared" si="3"/>
        <v>3.5</v>
      </c>
      <c r="D56" s="1" t="s">
        <v>16</v>
      </c>
      <c r="E56" s="1">
        <f t="shared" si="4"/>
        <v>5</v>
      </c>
      <c r="F56">
        <v>28</v>
      </c>
      <c r="H56">
        <f t="shared" si="0"/>
        <v>1E-3</v>
      </c>
      <c r="I56">
        <v>3</v>
      </c>
      <c r="J56">
        <v>20</v>
      </c>
      <c r="K56">
        <f t="shared" si="1"/>
        <v>28</v>
      </c>
      <c r="L56">
        <f t="shared" si="2"/>
        <v>1400000</v>
      </c>
    </row>
    <row r="57" spans="1:12">
      <c r="A57" t="s">
        <v>23</v>
      </c>
      <c r="B57" t="s">
        <v>8</v>
      </c>
      <c r="C57">
        <f t="shared" si="3"/>
        <v>3.5</v>
      </c>
      <c r="D57" s="1" t="s">
        <v>16</v>
      </c>
      <c r="E57" s="1">
        <f t="shared" si="4"/>
        <v>6</v>
      </c>
      <c r="F57">
        <v>39</v>
      </c>
      <c r="H57">
        <f t="shared" si="0"/>
        <v>0.1</v>
      </c>
      <c r="I57">
        <v>1</v>
      </c>
      <c r="J57">
        <v>20</v>
      </c>
      <c r="K57">
        <f t="shared" si="1"/>
        <v>39</v>
      </c>
      <c r="L57">
        <f t="shared" si="2"/>
        <v>19500</v>
      </c>
    </row>
    <row r="58" spans="1:12">
      <c r="A58" t="s">
        <v>23</v>
      </c>
      <c r="B58" t="s">
        <v>8</v>
      </c>
      <c r="C58">
        <f t="shared" si="3"/>
        <v>3.5</v>
      </c>
      <c r="D58" s="1" t="s">
        <v>16</v>
      </c>
      <c r="E58" s="1">
        <f t="shared" si="4"/>
        <v>7</v>
      </c>
      <c r="F58">
        <v>4</v>
      </c>
      <c r="H58">
        <f t="shared" si="0"/>
        <v>1E-3</v>
      </c>
      <c r="I58">
        <v>3</v>
      </c>
      <c r="J58">
        <v>20</v>
      </c>
      <c r="K58">
        <f t="shared" si="1"/>
        <v>4</v>
      </c>
      <c r="L58">
        <f t="shared" si="2"/>
        <v>199999.99999999997</v>
      </c>
    </row>
    <row r="59" spans="1:12">
      <c r="A59" t="s">
        <v>23</v>
      </c>
      <c r="B59" t="s">
        <v>8</v>
      </c>
      <c r="C59">
        <f t="shared" si="3"/>
        <v>3.5</v>
      </c>
      <c r="D59" s="1" t="s">
        <v>16</v>
      </c>
      <c r="E59" s="1">
        <f t="shared" si="4"/>
        <v>8</v>
      </c>
      <c r="F59">
        <v>18</v>
      </c>
      <c r="H59">
        <f t="shared" si="0"/>
        <v>1E-3</v>
      </c>
      <c r="I59">
        <v>3</v>
      </c>
      <c r="J59">
        <v>20</v>
      </c>
      <c r="K59">
        <f t="shared" si="1"/>
        <v>18</v>
      </c>
      <c r="L59">
        <f t="shared" si="2"/>
        <v>899999.99999999988</v>
      </c>
    </row>
    <row r="60" spans="1:12">
      <c r="A60" t="s">
        <v>23</v>
      </c>
      <c r="B60" t="s">
        <v>8</v>
      </c>
      <c r="C60">
        <f t="shared" si="3"/>
        <v>3.5</v>
      </c>
      <c r="D60" s="1" t="s">
        <v>16</v>
      </c>
      <c r="E60" s="1">
        <f t="shared" si="4"/>
        <v>9</v>
      </c>
      <c r="F60">
        <v>43</v>
      </c>
      <c r="H60">
        <f t="shared" si="0"/>
        <v>1E-3</v>
      </c>
      <c r="I60">
        <v>3</v>
      </c>
      <c r="J60">
        <v>20</v>
      </c>
      <c r="K60">
        <f t="shared" si="1"/>
        <v>43</v>
      </c>
      <c r="L60">
        <f t="shared" si="2"/>
        <v>2150000</v>
      </c>
    </row>
    <row r="61" spans="1:12">
      <c r="A61" t="s">
        <v>23</v>
      </c>
      <c r="B61" t="s">
        <v>8</v>
      </c>
      <c r="C61">
        <f t="shared" si="3"/>
        <v>3.5</v>
      </c>
      <c r="D61" s="1" t="s">
        <v>16</v>
      </c>
      <c r="E61" s="1">
        <f t="shared" si="4"/>
        <v>10</v>
      </c>
      <c r="F61">
        <v>52</v>
      </c>
      <c r="H61">
        <f t="shared" si="0"/>
        <v>0.1</v>
      </c>
      <c r="I61">
        <v>1</v>
      </c>
      <c r="J61">
        <v>20</v>
      </c>
      <c r="K61">
        <f t="shared" si="1"/>
        <v>52</v>
      </c>
      <c r="L61">
        <f t="shared" si="2"/>
        <v>26000</v>
      </c>
    </row>
    <row r="62" spans="1:12">
      <c r="A62" t="s">
        <v>23</v>
      </c>
      <c r="B62" t="s">
        <v>8</v>
      </c>
      <c r="C62">
        <f t="shared" si="3"/>
        <v>4</v>
      </c>
      <c r="D62" s="1" t="s">
        <v>16</v>
      </c>
      <c r="E62" s="1">
        <f t="shared" si="4"/>
        <v>1</v>
      </c>
      <c r="F62">
        <v>51</v>
      </c>
      <c r="H62">
        <f t="shared" si="0"/>
        <v>1.0000000000000001E-5</v>
      </c>
      <c r="I62">
        <v>5</v>
      </c>
      <c r="J62">
        <v>20</v>
      </c>
      <c r="K62">
        <f t="shared" si="1"/>
        <v>51</v>
      </c>
      <c r="L62">
        <f t="shared" si="2"/>
        <v>254999999.99999997</v>
      </c>
    </row>
    <row r="63" spans="1:12">
      <c r="A63" t="s">
        <v>23</v>
      </c>
      <c r="B63" t="s">
        <v>8</v>
      </c>
      <c r="C63">
        <f t="shared" si="3"/>
        <v>4</v>
      </c>
      <c r="D63" s="1" t="s">
        <v>16</v>
      </c>
      <c r="E63" s="1">
        <f t="shared" si="4"/>
        <v>2</v>
      </c>
      <c r="F63">
        <v>35</v>
      </c>
      <c r="H63">
        <f t="shared" si="0"/>
        <v>1.0000000000000001E-5</v>
      </c>
      <c r="I63">
        <v>5</v>
      </c>
      <c r="J63">
        <v>20</v>
      </c>
      <c r="K63">
        <f t="shared" si="1"/>
        <v>35</v>
      </c>
      <c r="L63">
        <f t="shared" si="2"/>
        <v>174999999.99999997</v>
      </c>
    </row>
    <row r="64" spans="1:12">
      <c r="A64" t="s">
        <v>23</v>
      </c>
      <c r="B64" t="s">
        <v>8</v>
      </c>
      <c r="C64">
        <f t="shared" si="3"/>
        <v>4</v>
      </c>
      <c r="D64" s="1" t="s">
        <v>16</v>
      </c>
      <c r="E64" s="1">
        <f t="shared" si="4"/>
        <v>3</v>
      </c>
      <c r="F64">
        <v>45</v>
      </c>
      <c r="H64">
        <f t="shared" si="0"/>
        <v>1.0000000000000001E-5</v>
      </c>
      <c r="I64">
        <v>5</v>
      </c>
      <c r="J64">
        <v>20</v>
      </c>
      <c r="K64">
        <f t="shared" si="1"/>
        <v>45</v>
      </c>
      <c r="L64">
        <f t="shared" si="2"/>
        <v>224999999.99999997</v>
      </c>
    </row>
    <row r="65" spans="1:12">
      <c r="A65" t="s">
        <v>23</v>
      </c>
      <c r="B65" t="s">
        <v>8</v>
      </c>
      <c r="C65">
        <f t="shared" si="3"/>
        <v>4</v>
      </c>
      <c r="D65" s="1" t="s">
        <v>16</v>
      </c>
      <c r="E65" s="1">
        <f t="shared" si="4"/>
        <v>4</v>
      </c>
      <c r="F65">
        <v>55</v>
      </c>
      <c r="H65">
        <f t="shared" si="0"/>
        <v>1.0000000000000001E-5</v>
      </c>
      <c r="I65">
        <v>5</v>
      </c>
      <c r="J65">
        <v>20</v>
      </c>
      <c r="K65">
        <f t="shared" si="1"/>
        <v>55</v>
      </c>
      <c r="L65">
        <f t="shared" si="2"/>
        <v>275000000</v>
      </c>
    </row>
    <row r="66" spans="1:12">
      <c r="A66" t="s">
        <v>23</v>
      </c>
      <c r="B66" t="s">
        <v>8</v>
      </c>
      <c r="C66">
        <f t="shared" si="3"/>
        <v>4</v>
      </c>
      <c r="D66" s="1" t="s">
        <v>16</v>
      </c>
      <c r="E66" s="1">
        <f t="shared" si="4"/>
        <v>5</v>
      </c>
      <c r="F66">
        <v>41</v>
      </c>
      <c r="H66">
        <f t="shared" ref="H66:H129" si="5">1/(10^I66)</f>
        <v>1.0000000000000001E-5</v>
      </c>
      <c r="I66">
        <v>5</v>
      </c>
      <c r="J66">
        <v>20</v>
      </c>
      <c r="K66">
        <f t="shared" si="1"/>
        <v>41</v>
      </c>
      <c r="L66">
        <f t="shared" si="2"/>
        <v>204999999.99999997</v>
      </c>
    </row>
    <row r="67" spans="1:12">
      <c r="A67" t="s">
        <v>23</v>
      </c>
      <c r="B67" t="s">
        <v>8</v>
      </c>
      <c r="C67">
        <f t="shared" si="3"/>
        <v>4</v>
      </c>
      <c r="D67" s="1" t="s">
        <v>16</v>
      </c>
      <c r="E67" s="1">
        <f t="shared" si="4"/>
        <v>6</v>
      </c>
      <c r="F67">
        <v>45</v>
      </c>
      <c r="H67">
        <f t="shared" si="5"/>
        <v>1.0000000000000001E-5</v>
      </c>
      <c r="I67">
        <v>5</v>
      </c>
      <c r="J67">
        <v>20</v>
      </c>
      <c r="K67">
        <f t="shared" ref="K67:K130" si="6">F67</f>
        <v>45</v>
      </c>
      <c r="L67">
        <f t="shared" ref="L67:L130" si="7">K67/(H67*(J67/1000))</f>
        <v>224999999.99999997</v>
      </c>
    </row>
    <row r="68" spans="1:12">
      <c r="A68" t="s">
        <v>23</v>
      </c>
      <c r="B68" t="s">
        <v>8</v>
      </c>
      <c r="C68">
        <f t="shared" si="3"/>
        <v>4</v>
      </c>
      <c r="D68" s="1" t="s">
        <v>16</v>
      </c>
      <c r="E68" s="1">
        <f t="shared" si="4"/>
        <v>7</v>
      </c>
      <c r="F68">
        <v>50</v>
      </c>
      <c r="H68">
        <f t="shared" si="5"/>
        <v>1.0000000000000001E-5</v>
      </c>
      <c r="I68">
        <v>5</v>
      </c>
      <c r="J68">
        <v>20</v>
      </c>
      <c r="K68">
        <f t="shared" si="6"/>
        <v>50</v>
      </c>
      <c r="L68">
        <f t="shared" si="7"/>
        <v>249999999.99999997</v>
      </c>
    </row>
    <row r="69" spans="1:12">
      <c r="A69" t="s">
        <v>23</v>
      </c>
      <c r="B69" t="s">
        <v>8</v>
      </c>
      <c r="C69">
        <f t="shared" si="3"/>
        <v>4</v>
      </c>
      <c r="D69" s="1" t="s">
        <v>16</v>
      </c>
      <c r="E69" s="1">
        <f t="shared" si="4"/>
        <v>8</v>
      </c>
      <c r="F69">
        <v>32</v>
      </c>
      <c r="H69">
        <f t="shared" si="5"/>
        <v>1.0000000000000001E-5</v>
      </c>
      <c r="I69">
        <v>5</v>
      </c>
      <c r="J69">
        <v>20</v>
      </c>
      <c r="K69">
        <f t="shared" si="6"/>
        <v>32</v>
      </c>
      <c r="L69">
        <f t="shared" si="7"/>
        <v>160000000</v>
      </c>
    </row>
    <row r="70" spans="1:12">
      <c r="A70" t="s">
        <v>23</v>
      </c>
      <c r="B70" t="s">
        <v>8</v>
      </c>
      <c r="C70">
        <f t="shared" si="3"/>
        <v>4</v>
      </c>
      <c r="D70" s="1" t="s">
        <v>16</v>
      </c>
      <c r="E70" s="1">
        <f t="shared" si="4"/>
        <v>9</v>
      </c>
      <c r="F70">
        <v>38</v>
      </c>
      <c r="H70">
        <f t="shared" si="5"/>
        <v>1.0000000000000001E-5</v>
      </c>
      <c r="I70">
        <v>5</v>
      </c>
      <c r="J70">
        <v>20</v>
      </c>
      <c r="K70">
        <f t="shared" si="6"/>
        <v>38</v>
      </c>
      <c r="L70">
        <f t="shared" si="7"/>
        <v>189999999.99999997</v>
      </c>
    </row>
    <row r="71" spans="1:12">
      <c r="A71" t="s">
        <v>23</v>
      </c>
      <c r="B71" t="s">
        <v>8</v>
      </c>
      <c r="C71">
        <f t="shared" si="3"/>
        <v>4</v>
      </c>
      <c r="D71" s="1" t="s">
        <v>16</v>
      </c>
      <c r="E71" s="1">
        <f t="shared" si="4"/>
        <v>10</v>
      </c>
      <c r="F71">
        <v>46</v>
      </c>
      <c r="H71">
        <f t="shared" si="5"/>
        <v>1.0000000000000001E-5</v>
      </c>
      <c r="I71">
        <v>5</v>
      </c>
      <c r="J71">
        <v>20</v>
      </c>
      <c r="K71">
        <f t="shared" si="6"/>
        <v>46</v>
      </c>
      <c r="L71">
        <f t="shared" si="7"/>
        <v>229999999.99999997</v>
      </c>
    </row>
    <row r="72" spans="1:12">
      <c r="A72" t="s">
        <v>23</v>
      </c>
      <c r="B72" t="s">
        <v>8</v>
      </c>
      <c r="C72">
        <f t="shared" si="3"/>
        <v>4.5</v>
      </c>
      <c r="D72" s="1" t="s">
        <v>16</v>
      </c>
      <c r="E72" s="1">
        <f t="shared" si="4"/>
        <v>1</v>
      </c>
      <c r="F72">
        <v>37</v>
      </c>
      <c r="H72">
        <f t="shared" si="5"/>
        <v>1E-3</v>
      </c>
      <c r="I72">
        <v>3</v>
      </c>
      <c r="J72">
        <v>20</v>
      </c>
      <c r="K72">
        <f t="shared" si="6"/>
        <v>37</v>
      </c>
      <c r="L72">
        <f t="shared" si="7"/>
        <v>1849999.9999999998</v>
      </c>
    </row>
    <row r="73" spans="1:12">
      <c r="A73" t="s">
        <v>23</v>
      </c>
      <c r="B73" t="s">
        <v>8</v>
      </c>
      <c r="C73">
        <f t="shared" si="3"/>
        <v>4.5</v>
      </c>
      <c r="D73" s="1" t="s">
        <v>16</v>
      </c>
      <c r="E73" s="1">
        <f t="shared" si="4"/>
        <v>2</v>
      </c>
      <c r="F73">
        <v>25</v>
      </c>
      <c r="H73">
        <f t="shared" si="5"/>
        <v>1E-3</v>
      </c>
      <c r="I73">
        <v>3</v>
      </c>
      <c r="J73">
        <v>20</v>
      </c>
      <c r="K73">
        <f t="shared" si="6"/>
        <v>25</v>
      </c>
      <c r="L73">
        <f t="shared" si="7"/>
        <v>1250000</v>
      </c>
    </row>
    <row r="74" spans="1:12">
      <c r="A74" t="s">
        <v>23</v>
      </c>
      <c r="B74" t="s">
        <v>8</v>
      </c>
      <c r="C74">
        <f t="shared" si="3"/>
        <v>4.5</v>
      </c>
      <c r="D74" s="1" t="s">
        <v>16</v>
      </c>
      <c r="E74" s="1">
        <f t="shared" si="4"/>
        <v>3</v>
      </c>
      <c r="F74">
        <v>20</v>
      </c>
      <c r="H74">
        <f t="shared" si="5"/>
        <v>1E-3</v>
      </c>
      <c r="I74">
        <v>3</v>
      </c>
      <c r="J74">
        <v>20</v>
      </c>
      <c r="K74">
        <f t="shared" si="6"/>
        <v>20</v>
      </c>
      <c r="L74">
        <f t="shared" si="7"/>
        <v>999999.99999999988</v>
      </c>
    </row>
    <row r="75" spans="1:12">
      <c r="A75" t="s">
        <v>23</v>
      </c>
      <c r="B75" t="s">
        <v>8</v>
      </c>
      <c r="C75">
        <f t="shared" si="3"/>
        <v>4.5</v>
      </c>
      <c r="D75" s="1" t="s">
        <v>16</v>
      </c>
      <c r="E75" s="1">
        <f t="shared" si="4"/>
        <v>4</v>
      </c>
      <c r="F75">
        <v>43</v>
      </c>
      <c r="H75">
        <f t="shared" si="5"/>
        <v>0.1</v>
      </c>
      <c r="I75">
        <v>1</v>
      </c>
      <c r="J75">
        <v>20</v>
      </c>
      <c r="K75">
        <f t="shared" si="6"/>
        <v>43</v>
      </c>
      <c r="L75">
        <f t="shared" si="7"/>
        <v>21500</v>
      </c>
    </row>
    <row r="76" spans="1:12">
      <c r="A76" t="s">
        <v>23</v>
      </c>
      <c r="B76" t="s">
        <v>8</v>
      </c>
      <c r="C76">
        <f t="shared" si="3"/>
        <v>4.5</v>
      </c>
      <c r="D76" s="1" t="s">
        <v>16</v>
      </c>
      <c r="E76" s="1">
        <f t="shared" si="4"/>
        <v>5</v>
      </c>
      <c r="F76">
        <v>21</v>
      </c>
      <c r="H76">
        <f t="shared" si="5"/>
        <v>0.01</v>
      </c>
      <c r="I76">
        <v>2</v>
      </c>
      <c r="J76">
        <v>20</v>
      </c>
      <c r="K76">
        <f t="shared" si="6"/>
        <v>21</v>
      </c>
      <c r="L76">
        <f t="shared" si="7"/>
        <v>105000</v>
      </c>
    </row>
    <row r="77" spans="1:12">
      <c r="A77" t="s">
        <v>23</v>
      </c>
      <c r="B77" t="s">
        <v>8</v>
      </c>
      <c r="C77">
        <f t="shared" ref="C77:C140" si="8">C67+0.5</f>
        <v>4.5</v>
      </c>
      <c r="D77" s="1" t="s">
        <v>16</v>
      </c>
      <c r="E77" s="1">
        <f t="shared" ref="E77:E140" si="9">E67</f>
        <v>6</v>
      </c>
      <c r="F77">
        <v>16</v>
      </c>
      <c r="H77">
        <f t="shared" si="5"/>
        <v>0.01</v>
      </c>
      <c r="I77">
        <v>2</v>
      </c>
      <c r="J77">
        <v>20</v>
      </c>
      <c r="K77">
        <f t="shared" si="6"/>
        <v>16</v>
      </c>
      <c r="L77">
        <f t="shared" si="7"/>
        <v>80000</v>
      </c>
    </row>
    <row r="78" spans="1:12">
      <c r="A78" t="s">
        <v>23</v>
      </c>
      <c r="B78" t="s">
        <v>8</v>
      </c>
      <c r="C78">
        <f t="shared" si="8"/>
        <v>4.5</v>
      </c>
      <c r="D78" s="1" t="s">
        <v>16</v>
      </c>
      <c r="E78" s="1">
        <f t="shared" si="9"/>
        <v>7</v>
      </c>
      <c r="F78">
        <v>60</v>
      </c>
      <c r="H78">
        <f t="shared" si="5"/>
        <v>0.01</v>
      </c>
      <c r="I78">
        <v>2</v>
      </c>
      <c r="J78">
        <v>20</v>
      </c>
      <c r="K78">
        <f t="shared" si="6"/>
        <v>60</v>
      </c>
      <c r="L78">
        <f t="shared" si="7"/>
        <v>300000</v>
      </c>
    </row>
    <row r="79" spans="1:12">
      <c r="A79" t="s">
        <v>23</v>
      </c>
      <c r="B79" t="s">
        <v>8</v>
      </c>
      <c r="C79">
        <f t="shared" si="8"/>
        <v>4.5</v>
      </c>
      <c r="D79" s="1" t="s">
        <v>16</v>
      </c>
      <c r="E79" s="1">
        <f t="shared" si="9"/>
        <v>8</v>
      </c>
      <c r="F79">
        <v>38</v>
      </c>
      <c r="H79">
        <f t="shared" si="5"/>
        <v>0.1</v>
      </c>
      <c r="I79">
        <v>1</v>
      </c>
      <c r="J79">
        <v>20</v>
      </c>
      <c r="K79">
        <f t="shared" si="6"/>
        <v>38</v>
      </c>
      <c r="L79">
        <f t="shared" si="7"/>
        <v>19000</v>
      </c>
    </row>
    <row r="80" spans="1:12">
      <c r="A80" t="s">
        <v>23</v>
      </c>
      <c r="B80" t="s">
        <v>8</v>
      </c>
      <c r="C80">
        <f t="shared" si="8"/>
        <v>4.5</v>
      </c>
      <c r="D80" s="1" t="s">
        <v>16</v>
      </c>
      <c r="E80" s="1">
        <f t="shared" si="9"/>
        <v>9</v>
      </c>
      <c r="F80">
        <v>66</v>
      </c>
      <c r="H80">
        <f t="shared" si="5"/>
        <v>0.1</v>
      </c>
      <c r="I80">
        <v>1</v>
      </c>
      <c r="J80">
        <v>20</v>
      </c>
      <c r="K80">
        <f t="shared" si="6"/>
        <v>66</v>
      </c>
      <c r="L80">
        <f t="shared" si="7"/>
        <v>33000</v>
      </c>
    </row>
    <row r="81" spans="1:12">
      <c r="A81" t="s">
        <v>23</v>
      </c>
      <c r="B81" t="s">
        <v>8</v>
      </c>
      <c r="C81">
        <f t="shared" si="8"/>
        <v>4.5</v>
      </c>
      <c r="D81" s="1" t="s">
        <v>16</v>
      </c>
      <c r="E81" s="1">
        <f t="shared" si="9"/>
        <v>10</v>
      </c>
      <c r="F81">
        <v>8</v>
      </c>
      <c r="H81">
        <f t="shared" si="5"/>
        <v>1E-3</v>
      </c>
      <c r="I81">
        <v>3</v>
      </c>
      <c r="J81">
        <v>20</v>
      </c>
      <c r="K81">
        <f t="shared" si="6"/>
        <v>8</v>
      </c>
      <c r="L81">
        <f t="shared" si="7"/>
        <v>399999.99999999994</v>
      </c>
    </row>
    <row r="82" spans="1:12">
      <c r="A82" t="s">
        <v>23</v>
      </c>
      <c r="B82" t="s">
        <v>8</v>
      </c>
      <c r="C82">
        <f t="shared" si="8"/>
        <v>5</v>
      </c>
      <c r="D82" s="1" t="s">
        <v>16</v>
      </c>
      <c r="E82" s="1">
        <f t="shared" si="9"/>
        <v>1</v>
      </c>
      <c r="F82">
        <v>62</v>
      </c>
      <c r="H82">
        <f t="shared" si="5"/>
        <v>1.0000000000000001E-5</v>
      </c>
      <c r="I82">
        <v>5</v>
      </c>
      <c r="J82">
        <v>20</v>
      </c>
      <c r="K82">
        <f t="shared" si="6"/>
        <v>62</v>
      </c>
      <c r="L82">
        <f t="shared" si="7"/>
        <v>310000000</v>
      </c>
    </row>
    <row r="83" spans="1:12">
      <c r="A83" t="s">
        <v>23</v>
      </c>
      <c r="B83" t="s">
        <v>8</v>
      </c>
      <c r="C83">
        <f t="shared" si="8"/>
        <v>5</v>
      </c>
      <c r="D83" s="1" t="s">
        <v>16</v>
      </c>
      <c r="E83" s="1">
        <f t="shared" si="9"/>
        <v>2</v>
      </c>
      <c r="F83">
        <v>65</v>
      </c>
      <c r="H83">
        <f t="shared" si="5"/>
        <v>1.0000000000000001E-5</v>
      </c>
      <c r="I83">
        <v>5</v>
      </c>
      <c r="J83">
        <v>20</v>
      </c>
      <c r="K83">
        <f t="shared" si="6"/>
        <v>65</v>
      </c>
      <c r="L83">
        <f t="shared" si="7"/>
        <v>325000000</v>
      </c>
    </row>
    <row r="84" spans="1:12">
      <c r="A84" t="s">
        <v>23</v>
      </c>
      <c r="B84" t="s">
        <v>8</v>
      </c>
      <c r="C84">
        <f t="shared" si="8"/>
        <v>5</v>
      </c>
      <c r="D84" s="1" t="s">
        <v>16</v>
      </c>
      <c r="E84" s="1">
        <f t="shared" si="9"/>
        <v>3</v>
      </c>
      <c r="F84">
        <v>63</v>
      </c>
      <c r="H84">
        <f t="shared" si="5"/>
        <v>1.0000000000000001E-5</v>
      </c>
      <c r="I84">
        <v>5</v>
      </c>
      <c r="J84">
        <v>20</v>
      </c>
      <c r="K84">
        <f t="shared" si="6"/>
        <v>63</v>
      </c>
      <c r="L84">
        <f t="shared" si="7"/>
        <v>315000000</v>
      </c>
    </row>
    <row r="85" spans="1:12">
      <c r="A85" t="s">
        <v>23</v>
      </c>
      <c r="B85" t="s">
        <v>8</v>
      </c>
      <c r="C85">
        <f t="shared" si="8"/>
        <v>5</v>
      </c>
      <c r="D85" s="1" t="s">
        <v>16</v>
      </c>
      <c r="E85" s="1">
        <f t="shared" si="9"/>
        <v>4</v>
      </c>
      <c r="F85">
        <v>69</v>
      </c>
      <c r="H85">
        <f t="shared" si="5"/>
        <v>1.0000000000000001E-5</v>
      </c>
      <c r="I85">
        <v>5</v>
      </c>
      <c r="J85">
        <v>20</v>
      </c>
      <c r="K85">
        <f t="shared" si="6"/>
        <v>69</v>
      </c>
      <c r="L85">
        <f t="shared" si="7"/>
        <v>344999999.99999994</v>
      </c>
    </row>
    <row r="86" spans="1:12">
      <c r="A86" t="s">
        <v>23</v>
      </c>
      <c r="B86" t="s">
        <v>8</v>
      </c>
      <c r="C86">
        <f t="shared" si="8"/>
        <v>5</v>
      </c>
      <c r="D86" s="1" t="s">
        <v>16</v>
      </c>
      <c r="E86" s="1">
        <f t="shared" si="9"/>
        <v>5</v>
      </c>
      <c r="F86">
        <v>66</v>
      </c>
      <c r="H86">
        <f t="shared" si="5"/>
        <v>1.0000000000000001E-5</v>
      </c>
      <c r="I86">
        <v>5</v>
      </c>
      <c r="J86">
        <v>20</v>
      </c>
      <c r="K86">
        <f t="shared" si="6"/>
        <v>66</v>
      </c>
      <c r="L86">
        <f t="shared" si="7"/>
        <v>330000000</v>
      </c>
    </row>
    <row r="87" spans="1:12">
      <c r="A87" t="s">
        <v>23</v>
      </c>
      <c r="B87" t="s">
        <v>8</v>
      </c>
      <c r="C87">
        <f t="shared" si="8"/>
        <v>5</v>
      </c>
      <c r="D87" s="1" t="s">
        <v>16</v>
      </c>
      <c r="E87" s="1">
        <f t="shared" si="9"/>
        <v>6</v>
      </c>
      <c r="F87">
        <v>10</v>
      </c>
      <c r="H87">
        <f t="shared" si="5"/>
        <v>9.9999999999999995E-7</v>
      </c>
      <c r="I87">
        <v>6</v>
      </c>
      <c r="J87">
        <v>20</v>
      </c>
      <c r="K87">
        <f t="shared" si="6"/>
        <v>10</v>
      </c>
      <c r="L87">
        <f t="shared" si="7"/>
        <v>500000000</v>
      </c>
    </row>
    <row r="88" spans="1:12">
      <c r="A88" t="s">
        <v>23</v>
      </c>
      <c r="B88" t="s">
        <v>8</v>
      </c>
      <c r="C88">
        <f t="shared" si="8"/>
        <v>5</v>
      </c>
      <c r="D88" s="1" t="s">
        <v>16</v>
      </c>
      <c r="E88" s="1">
        <f t="shared" si="9"/>
        <v>7</v>
      </c>
      <c r="F88">
        <v>62</v>
      </c>
      <c r="H88">
        <f t="shared" si="5"/>
        <v>1.0000000000000001E-5</v>
      </c>
      <c r="I88">
        <v>5</v>
      </c>
      <c r="J88">
        <v>20</v>
      </c>
      <c r="K88">
        <f t="shared" si="6"/>
        <v>62</v>
      </c>
      <c r="L88">
        <f t="shared" si="7"/>
        <v>310000000</v>
      </c>
    </row>
    <row r="89" spans="1:12">
      <c r="A89" t="s">
        <v>23</v>
      </c>
      <c r="B89" t="s">
        <v>8</v>
      </c>
      <c r="C89">
        <f t="shared" si="8"/>
        <v>5</v>
      </c>
      <c r="D89" s="1" t="s">
        <v>16</v>
      </c>
      <c r="E89" s="1">
        <f t="shared" si="9"/>
        <v>8</v>
      </c>
      <c r="F89">
        <v>72</v>
      </c>
      <c r="H89">
        <f t="shared" si="5"/>
        <v>1.0000000000000001E-5</v>
      </c>
      <c r="I89">
        <v>5</v>
      </c>
      <c r="J89">
        <v>20</v>
      </c>
      <c r="K89">
        <f t="shared" si="6"/>
        <v>72</v>
      </c>
      <c r="L89">
        <f t="shared" si="7"/>
        <v>359999999.99999994</v>
      </c>
    </row>
    <row r="90" spans="1:12">
      <c r="A90" t="s">
        <v>23</v>
      </c>
      <c r="B90" t="s">
        <v>8</v>
      </c>
      <c r="C90">
        <f t="shared" si="8"/>
        <v>5</v>
      </c>
      <c r="D90" s="1" t="s">
        <v>16</v>
      </c>
      <c r="E90" s="1">
        <f t="shared" si="9"/>
        <v>9</v>
      </c>
      <c r="F90">
        <v>62</v>
      </c>
      <c r="H90">
        <f t="shared" si="5"/>
        <v>1.0000000000000001E-5</v>
      </c>
      <c r="I90">
        <v>5</v>
      </c>
      <c r="J90">
        <v>20</v>
      </c>
      <c r="K90">
        <f t="shared" si="6"/>
        <v>62</v>
      </c>
      <c r="L90">
        <f t="shared" si="7"/>
        <v>310000000</v>
      </c>
    </row>
    <row r="91" spans="1:12">
      <c r="A91" t="s">
        <v>23</v>
      </c>
      <c r="B91" t="s">
        <v>8</v>
      </c>
      <c r="C91">
        <f t="shared" si="8"/>
        <v>5</v>
      </c>
      <c r="D91" s="1" t="s">
        <v>16</v>
      </c>
      <c r="E91" s="1">
        <f t="shared" si="9"/>
        <v>10</v>
      </c>
      <c r="F91">
        <v>8</v>
      </c>
      <c r="H91">
        <f t="shared" si="5"/>
        <v>9.9999999999999995E-7</v>
      </c>
      <c r="I91">
        <v>6</v>
      </c>
      <c r="J91">
        <v>20</v>
      </c>
      <c r="K91">
        <f t="shared" si="6"/>
        <v>8</v>
      </c>
      <c r="L91">
        <f t="shared" si="7"/>
        <v>400000000</v>
      </c>
    </row>
    <row r="92" spans="1:12">
      <c r="A92" t="s">
        <v>23</v>
      </c>
      <c r="B92" t="s">
        <v>8</v>
      </c>
      <c r="C92">
        <f t="shared" si="8"/>
        <v>5.5</v>
      </c>
      <c r="D92" s="1" t="s">
        <v>16</v>
      </c>
      <c r="E92" s="1">
        <f t="shared" si="9"/>
        <v>1</v>
      </c>
      <c r="F92">
        <v>19</v>
      </c>
      <c r="H92">
        <f t="shared" si="5"/>
        <v>1E-3</v>
      </c>
      <c r="I92">
        <v>3</v>
      </c>
      <c r="J92">
        <v>20</v>
      </c>
      <c r="K92">
        <f t="shared" si="6"/>
        <v>19</v>
      </c>
      <c r="L92">
        <f t="shared" si="7"/>
        <v>949999.99999999988</v>
      </c>
    </row>
    <row r="93" spans="1:12">
      <c r="A93" t="s">
        <v>23</v>
      </c>
      <c r="B93" t="s">
        <v>8</v>
      </c>
      <c r="C93">
        <f t="shared" si="8"/>
        <v>5.5</v>
      </c>
      <c r="D93" s="1" t="s">
        <v>16</v>
      </c>
      <c r="E93" s="1">
        <f t="shared" si="9"/>
        <v>2</v>
      </c>
      <c r="F93">
        <v>23</v>
      </c>
      <c r="H93">
        <f t="shared" si="5"/>
        <v>1E-3</v>
      </c>
      <c r="I93">
        <v>3</v>
      </c>
      <c r="J93">
        <v>20</v>
      </c>
      <c r="K93">
        <f t="shared" si="6"/>
        <v>23</v>
      </c>
      <c r="L93">
        <f t="shared" si="7"/>
        <v>1150000</v>
      </c>
    </row>
    <row r="94" spans="1:12">
      <c r="A94" t="s">
        <v>23</v>
      </c>
      <c r="B94" t="s">
        <v>8</v>
      </c>
      <c r="C94">
        <f t="shared" si="8"/>
        <v>5.5</v>
      </c>
      <c r="D94" s="1" t="s">
        <v>16</v>
      </c>
      <c r="E94" s="1">
        <f t="shared" si="9"/>
        <v>3</v>
      </c>
      <c r="F94">
        <v>54</v>
      </c>
      <c r="H94">
        <f t="shared" si="5"/>
        <v>1E-3</v>
      </c>
      <c r="I94">
        <v>3</v>
      </c>
      <c r="J94">
        <v>20</v>
      </c>
      <c r="K94">
        <f t="shared" si="6"/>
        <v>54</v>
      </c>
      <c r="L94">
        <f t="shared" si="7"/>
        <v>2700000</v>
      </c>
    </row>
    <row r="95" spans="1:12">
      <c r="A95" t="s">
        <v>23</v>
      </c>
      <c r="B95" t="s">
        <v>8</v>
      </c>
      <c r="C95">
        <f t="shared" si="8"/>
        <v>5.5</v>
      </c>
      <c r="D95" s="1" t="s">
        <v>16</v>
      </c>
      <c r="E95" s="1">
        <f t="shared" si="9"/>
        <v>4</v>
      </c>
      <c r="F95">
        <v>33</v>
      </c>
      <c r="H95">
        <f t="shared" si="5"/>
        <v>1E-3</v>
      </c>
      <c r="I95">
        <v>3</v>
      </c>
      <c r="J95">
        <v>20</v>
      </c>
      <c r="K95">
        <f t="shared" si="6"/>
        <v>33</v>
      </c>
      <c r="L95">
        <f t="shared" si="7"/>
        <v>1649999.9999999998</v>
      </c>
    </row>
    <row r="96" spans="1:12">
      <c r="A96" t="s">
        <v>23</v>
      </c>
      <c r="B96" t="s">
        <v>8</v>
      </c>
      <c r="C96">
        <f t="shared" si="8"/>
        <v>5.5</v>
      </c>
      <c r="D96" s="1" t="s">
        <v>16</v>
      </c>
      <c r="E96" s="1">
        <f t="shared" si="9"/>
        <v>5</v>
      </c>
      <c r="F96">
        <v>58</v>
      </c>
      <c r="H96">
        <f t="shared" si="5"/>
        <v>1E-3</v>
      </c>
      <c r="I96">
        <v>3</v>
      </c>
      <c r="J96">
        <v>20</v>
      </c>
      <c r="K96">
        <f t="shared" si="6"/>
        <v>58</v>
      </c>
      <c r="L96">
        <f t="shared" si="7"/>
        <v>2899999.9999999995</v>
      </c>
    </row>
    <row r="97" spans="1:12">
      <c r="A97" t="s">
        <v>23</v>
      </c>
      <c r="B97" t="s">
        <v>8</v>
      </c>
      <c r="C97">
        <f t="shared" si="8"/>
        <v>5.5</v>
      </c>
      <c r="D97" s="1" t="s">
        <v>16</v>
      </c>
      <c r="E97" s="1">
        <f t="shared" si="9"/>
        <v>6</v>
      </c>
      <c r="F97">
        <v>22</v>
      </c>
      <c r="H97">
        <f t="shared" si="5"/>
        <v>0.01</v>
      </c>
      <c r="I97">
        <v>2</v>
      </c>
      <c r="J97">
        <v>20</v>
      </c>
      <c r="K97">
        <f t="shared" si="6"/>
        <v>22</v>
      </c>
      <c r="L97">
        <f t="shared" si="7"/>
        <v>110000</v>
      </c>
    </row>
    <row r="98" spans="1:12">
      <c r="A98" t="s">
        <v>23</v>
      </c>
      <c r="B98" t="s">
        <v>8</v>
      </c>
      <c r="C98">
        <f t="shared" si="8"/>
        <v>5.5</v>
      </c>
      <c r="D98" s="1" t="s">
        <v>16</v>
      </c>
      <c r="E98" s="1">
        <f t="shared" si="9"/>
        <v>7</v>
      </c>
      <c r="F98">
        <v>58</v>
      </c>
      <c r="H98">
        <f t="shared" si="5"/>
        <v>1E-3</v>
      </c>
      <c r="I98">
        <v>3</v>
      </c>
      <c r="J98">
        <v>20</v>
      </c>
      <c r="K98">
        <f t="shared" si="6"/>
        <v>58</v>
      </c>
      <c r="L98">
        <f t="shared" si="7"/>
        <v>2899999.9999999995</v>
      </c>
    </row>
    <row r="99" spans="1:12">
      <c r="A99" t="s">
        <v>23</v>
      </c>
      <c r="B99" t="s">
        <v>8</v>
      </c>
      <c r="C99">
        <f t="shared" si="8"/>
        <v>5.5</v>
      </c>
      <c r="D99" s="1" t="s">
        <v>16</v>
      </c>
      <c r="E99" s="1">
        <f t="shared" si="9"/>
        <v>8</v>
      </c>
      <c r="F99">
        <v>49</v>
      </c>
      <c r="H99">
        <f t="shared" si="5"/>
        <v>0.1</v>
      </c>
      <c r="I99">
        <v>1</v>
      </c>
      <c r="J99">
        <v>20</v>
      </c>
      <c r="K99">
        <f t="shared" si="6"/>
        <v>49</v>
      </c>
      <c r="L99">
        <f t="shared" si="7"/>
        <v>24500</v>
      </c>
    </row>
    <row r="100" spans="1:12">
      <c r="A100" t="s">
        <v>23</v>
      </c>
      <c r="B100" t="s">
        <v>8</v>
      </c>
      <c r="C100">
        <f t="shared" si="8"/>
        <v>5.5</v>
      </c>
      <c r="D100" s="1" t="s">
        <v>16</v>
      </c>
      <c r="E100" s="1">
        <f t="shared" si="9"/>
        <v>9</v>
      </c>
      <c r="F100">
        <v>78</v>
      </c>
      <c r="H100">
        <f t="shared" si="5"/>
        <v>0.1</v>
      </c>
      <c r="I100">
        <v>1</v>
      </c>
      <c r="J100">
        <v>20</v>
      </c>
      <c r="K100">
        <f t="shared" si="6"/>
        <v>78</v>
      </c>
      <c r="L100">
        <f t="shared" si="7"/>
        <v>39000</v>
      </c>
    </row>
    <row r="101" spans="1:12">
      <c r="A101" t="s">
        <v>23</v>
      </c>
      <c r="B101" t="s">
        <v>8</v>
      </c>
      <c r="C101">
        <f t="shared" si="8"/>
        <v>5.5</v>
      </c>
      <c r="D101" s="1" t="s">
        <v>16</v>
      </c>
      <c r="E101" s="1">
        <f t="shared" si="9"/>
        <v>10</v>
      </c>
      <c r="F101">
        <v>33</v>
      </c>
      <c r="H101">
        <f t="shared" si="5"/>
        <v>1E-3</v>
      </c>
      <c r="I101">
        <v>3</v>
      </c>
      <c r="J101">
        <v>20</v>
      </c>
      <c r="K101">
        <f t="shared" si="6"/>
        <v>33</v>
      </c>
      <c r="L101">
        <f t="shared" si="7"/>
        <v>1649999.9999999998</v>
      </c>
    </row>
    <row r="102" spans="1:12">
      <c r="A102" t="s">
        <v>23</v>
      </c>
      <c r="B102" t="s">
        <v>8</v>
      </c>
      <c r="C102">
        <f t="shared" si="8"/>
        <v>6</v>
      </c>
      <c r="D102" s="1" t="s">
        <v>16</v>
      </c>
      <c r="E102" s="1">
        <f t="shared" si="9"/>
        <v>1</v>
      </c>
      <c r="F102">
        <v>53</v>
      </c>
      <c r="H102">
        <f t="shared" si="5"/>
        <v>1.0000000000000001E-5</v>
      </c>
      <c r="I102">
        <v>5</v>
      </c>
      <c r="J102">
        <v>20</v>
      </c>
      <c r="K102">
        <f t="shared" si="6"/>
        <v>53</v>
      </c>
      <c r="L102">
        <f t="shared" si="7"/>
        <v>264999999.99999997</v>
      </c>
    </row>
    <row r="103" spans="1:12">
      <c r="A103" t="s">
        <v>23</v>
      </c>
      <c r="B103" t="s">
        <v>8</v>
      </c>
      <c r="C103">
        <f t="shared" si="8"/>
        <v>6</v>
      </c>
      <c r="D103" s="1" t="s">
        <v>16</v>
      </c>
      <c r="E103" s="1">
        <f t="shared" si="9"/>
        <v>2</v>
      </c>
      <c r="F103">
        <v>54</v>
      </c>
      <c r="H103">
        <f t="shared" si="5"/>
        <v>1.0000000000000001E-5</v>
      </c>
      <c r="I103">
        <v>5</v>
      </c>
      <c r="J103">
        <v>20</v>
      </c>
      <c r="K103">
        <f t="shared" si="6"/>
        <v>54</v>
      </c>
      <c r="L103">
        <f t="shared" si="7"/>
        <v>270000000</v>
      </c>
    </row>
    <row r="104" spans="1:12">
      <c r="A104" t="s">
        <v>23</v>
      </c>
      <c r="B104" t="s">
        <v>8</v>
      </c>
      <c r="C104">
        <f t="shared" si="8"/>
        <v>6</v>
      </c>
      <c r="D104" s="1" t="s">
        <v>16</v>
      </c>
      <c r="E104" s="1">
        <f t="shared" si="9"/>
        <v>3</v>
      </c>
      <c r="F104">
        <v>46</v>
      </c>
      <c r="H104">
        <f t="shared" si="5"/>
        <v>1.0000000000000001E-5</v>
      </c>
      <c r="I104">
        <v>5</v>
      </c>
      <c r="J104">
        <v>20</v>
      </c>
      <c r="K104">
        <f t="shared" si="6"/>
        <v>46</v>
      </c>
      <c r="L104">
        <f t="shared" si="7"/>
        <v>229999999.99999997</v>
      </c>
    </row>
    <row r="105" spans="1:12">
      <c r="A105" t="s">
        <v>23</v>
      </c>
      <c r="B105" t="s">
        <v>8</v>
      </c>
      <c r="C105">
        <f t="shared" si="8"/>
        <v>6</v>
      </c>
      <c r="D105" s="1" t="s">
        <v>16</v>
      </c>
      <c r="E105" s="1">
        <f t="shared" si="9"/>
        <v>4</v>
      </c>
      <c r="F105">
        <v>41</v>
      </c>
      <c r="H105">
        <f t="shared" si="5"/>
        <v>1.0000000000000001E-5</v>
      </c>
      <c r="I105">
        <v>5</v>
      </c>
      <c r="J105">
        <v>20</v>
      </c>
      <c r="K105">
        <f t="shared" si="6"/>
        <v>41</v>
      </c>
      <c r="L105">
        <f t="shared" si="7"/>
        <v>204999999.99999997</v>
      </c>
    </row>
    <row r="106" spans="1:12">
      <c r="A106" t="s">
        <v>23</v>
      </c>
      <c r="B106" t="s">
        <v>8</v>
      </c>
      <c r="C106">
        <f t="shared" si="8"/>
        <v>6</v>
      </c>
      <c r="D106" s="1" t="s">
        <v>16</v>
      </c>
      <c r="E106" s="1">
        <f t="shared" si="9"/>
        <v>5</v>
      </c>
      <c r="F106">
        <v>49</v>
      </c>
      <c r="H106">
        <f t="shared" si="5"/>
        <v>1.0000000000000001E-5</v>
      </c>
      <c r="I106">
        <v>5</v>
      </c>
      <c r="J106">
        <v>20</v>
      </c>
      <c r="K106">
        <f t="shared" si="6"/>
        <v>49</v>
      </c>
      <c r="L106">
        <f t="shared" si="7"/>
        <v>244999999.99999997</v>
      </c>
    </row>
    <row r="107" spans="1:12">
      <c r="A107" t="s">
        <v>23</v>
      </c>
      <c r="B107" t="s">
        <v>8</v>
      </c>
      <c r="C107">
        <f t="shared" si="8"/>
        <v>6</v>
      </c>
      <c r="D107" s="1" t="s">
        <v>16</v>
      </c>
      <c r="E107" s="1">
        <f t="shared" si="9"/>
        <v>6</v>
      </c>
      <c r="F107">
        <v>41</v>
      </c>
      <c r="H107">
        <f t="shared" si="5"/>
        <v>1.0000000000000001E-5</v>
      </c>
      <c r="I107">
        <v>5</v>
      </c>
      <c r="J107">
        <v>20</v>
      </c>
      <c r="K107">
        <f t="shared" si="6"/>
        <v>41</v>
      </c>
      <c r="L107">
        <f t="shared" si="7"/>
        <v>204999999.99999997</v>
      </c>
    </row>
    <row r="108" spans="1:12">
      <c r="A108" t="s">
        <v>23</v>
      </c>
      <c r="B108" t="s">
        <v>8</v>
      </c>
      <c r="C108">
        <f t="shared" si="8"/>
        <v>6</v>
      </c>
      <c r="D108" s="1" t="s">
        <v>16</v>
      </c>
      <c r="E108" s="1">
        <f t="shared" si="9"/>
        <v>7</v>
      </c>
      <c r="F108">
        <v>31</v>
      </c>
      <c r="H108">
        <f t="shared" si="5"/>
        <v>1.0000000000000001E-5</v>
      </c>
      <c r="I108">
        <v>5</v>
      </c>
      <c r="J108">
        <v>20</v>
      </c>
      <c r="K108">
        <f t="shared" si="6"/>
        <v>31</v>
      </c>
      <c r="L108">
        <f t="shared" si="7"/>
        <v>155000000</v>
      </c>
    </row>
    <row r="109" spans="1:12">
      <c r="A109" t="s">
        <v>23</v>
      </c>
      <c r="B109" t="s">
        <v>8</v>
      </c>
      <c r="C109">
        <f t="shared" si="8"/>
        <v>6</v>
      </c>
      <c r="D109" s="1" t="s">
        <v>16</v>
      </c>
      <c r="E109" s="1">
        <f t="shared" si="9"/>
        <v>8</v>
      </c>
      <c r="F109">
        <v>42</v>
      </c>
      <c r="H109">
        <f t="shared" si="5"/>
        <v>1.0000000000000001E-5</v>
      </c>
      <c r="I109">
        <v>5</v>
      </c>
      <c r="J109">
        <v>20</v>
      </c>
      <c r="K109">
        <f t="shared" si="6"/>
        <v>42</v>
      </c>
      <c r="L109">
        <f t="shared" si="7"/>
        <v>209999999.99999997</v>
      </c>
    </row>
    <row r="110" spans="1:12">
      <c r="A110" t="s">
        <v>23</v>
      </c>
      <c r="B110" t="s">
        <v>8</v>
      </c>
      <c r="C110">
        <f t="shared" si="8"/>
        <v>6</v>
      </c>
      <c r="D110" s="1" t="s">
        <v>16</v>
      </c>
      <c r="E110" s="1">
        <f t="shared" si="9"/>
        <v>9</v>
      </c>
      <c r="F110">
        <v>42</v>
      </c>
      <c r="H110">
        <f t="shared" si="5"/>
        <v>1.0000000000000001E-5</v>
      </c>
      <c r="I110">
        <v>5</v>
      </c>
      <c r="J110">
        <v>20</v>
      </c>
      <c r="K110">
        <f t="shared" si="6"/>
        <v>42</v>
      </c>
      <c r="L110">
        <f t="shared" si="7"/>
        <v>209999999.99999997</v>
      </c>
    </row>
    <row r="111" spans="1:12">
      <c r="A111" t="s">
        <v>23</v>
      </c>
      <c r="B111" t="s">
        <v>8</v>
      </c>
      <c r="C111">
        <f t="shared" si="8"/>
        <v>6</v>
      </c>
      <c r="D111" s="1" t="s">
        <v>16</v>
      </c>
      <c r="E111" s="1">
        <f t="shared" si="9"/>
        <v>10</v>
      </c>
      <c r="F111">
        <v>44</v>
      </c>
      <c r="H111">
        <f t="shared" si="5"/>
        <v>1.0000000000000001E-5</v>
      </c>
      <c r="I111">
        <v>5</v>
      </c>
      <c r="J111">
        <v>20</v>
      </c>
      <c r="K111">
        <f t="shared" si="6"/>
        <v>44</v>
      </c>
      <c r="L111">
        <f t="shared" si="7"/>
        <v>219999999.99999997</v>
      </c>
    </row>
    <row r="112" spans="1:12">
      <c r="A112" t="s">
        <v>23</v>
      </c>
      <c r="B112" t="s">
        <v>8</v>
      </c>
      <c r="C112">
        <f t="shared" si="8"/>
        <v>6.5</v>
      </c>
      <c r="D112" s="1" t="s">
        <v>16</v>
      </c>
      <c r="E112" s="1">
        <f t="shared" si="9"/>
        <v>1</v>
      </c>
      <c r="F112">
        <v>7</v>
      </c>
      <c r="H112">
        <f t="shared" si="5"/>
        <v>0.01</v>
      </c>
      <c r="I112">
        <v>2</v>
      </c>
      <c r="J112">
        <v>20</v>
      </c>
      <c r="K112">
        <f t="shared" si="6"/>
        <v>7</v>
      </c>
      <c r="L112">
        <f t="shared" si="7"/>
        <v>35000</v>
      </c>
    </row>
    <row r="113" spans="1:12">
      <c r="A113" t="s">
        <v>23</v>
      </c>
      <c r="B113" t="s">
        <v>8</v>
      </c>
      <c r="C113">
        <f t="shared" si="8"/>
        <v>6.5</v>
      </c>
      <c r="D113" s="1" t="s">
        <v>16</v>
      </c>
      <c r="E113" s="1">
        <f t="shared" si="9"/>
        <v>2</v>
      </c>
      <c r="F113">
        <v>17</v>
      </c>
      <c r="H113">
        <f t="shared" si="5"/>
        <v>1E-3</v>
      </c>
      <c r="I113">
        <v>3</v>
      </c>
      <c r="J113">
        <v>20</v>
      </c>
      <c r="K113">
        <f t="shared" si="6"/>
        <v>17</v>
      </c>
      <c r="L113">
        <f t="shared" si="7"/>
        <v>849999.99999999988</v>
      </c>
    </row>
    <row r="114" spans="1:12">
      <c r="A114" t="s">
        <v>23</v>
      </c>
      <c r="B114" t="s">
        <v>8</v>
      </c>
      <c r="C114">
        <f t="shared" si="8"/>
        <v>6.5</v>
      </c>
      <c r="D114" s="1" t="s">
        <v>16</v>
      </c>
      <c r="E114" s="1">
        <f t="shared" si="9"/>
        <v>3</v>
      </c>
      <c r="F114">
        <v>25</v>
      </c>
      <c r="H114">
        <f t="shared" si="5"/>
        <v>0.01</v>
      </c>
      <c r="I114">
        <v>2</v>
      </c>
      <c r="J114">
        <v>20</v>
      </c>
      <c r="K114">
        <f t="shared" si="6"/>
        <v>25</v>
      </c>
      <c r="L114">
        <f t="shared" si="7"/>
        <v>125000</v>
      </c>
    </row>
    <row r="115" spans="1:12">
      <c r="A115" t="s">
        <v>23</v>
      </c>
      <c r="B115" t="s">
        <v>8</v>
      </c>
      <c r="C115">
        <f t="shared" si="8"/>
        <v>6.5</v>
      </c>
      <c r="D115" s="1" t="s">
        <v>16</v>
      </c>
      <c r="E115" s="1">
        <f t="shared" si="9"/>
        <v>4</v>
      </c>
      <c r="F115">
        <v>23</v>
      </c>
      <c r="H115">
        <f t="shared" si="5"/>
        <v>1E-4</v>
      </c>
      <c r="I115">
        <v>4</v>
      </c>
      <c r="J115">
        <v>20</v>
      </c>
      <c r="K115">
        <f t="shared" si="6"/>
        <v>23</v>
      </c>
      <c r="L115">
        <f t="shared" si="7"/>
        <v>11499999.999999998</v>
      </c>
    </row>
    <row r="116" spans="1:12">
      <c r="A116" t="s">
        <v>23</v>
      </c>
      <c r="B116" t="s">
        <v>8</v>
      </c>
      <c r="C116">
        <f t="shared" si="8"/>
        <v>6.5</v>
      </c>
      <c r="D116" s="1" t="s">
        <v>16</v>
      </c>
      <c r="E116" s="1">
        <f t="shared" si="9"/>
        <v>5</v>
      </c>
      <c r="F116">
        <v>46</v>
      </c>
      <c r="H116">
        <f t="shared" si="5"/>
        <v>0.01</v>
      </c>
      <c r="I116">
        <v>2</v>
      </c>
      <c r="J116">
        <v>20</v>
      </c>
      <c r="K116">
        <f t="shared" si="6"/>
        <v>46</v>
      </c>
      <c r="L116">
        <f t="shared" si="7"/>
        <v>230000</v>
      </c>
    </row>
    <row r="117" spans="1:12">
      <c r="A117" t="s">
        <v>23</v>
      </c>
      <c r="B117" t="s">
        <v>8</v>
      </c>
      <c r="C117">
        <f t="shared" si="8"/>
        <v>6.5</v>
      </c>
      <c r="D117" s="1" t="s">
        <v>16</v>
      </c>
      <c r="E117" s="1">
        <f t="shared" si="9"/>
        <v>6</v>
      </c>
      <c r="F117">
        <v>54</v>
      </c>
      <c r="H117">
        <f t="shared" si="5"/>
        <v>1E-3</v>
      </c>
      <c r="I117">
        <v>3</v>
      </c>
      <c r="J117">
        <v>20</v>
      </c>
      <c r="K117">
        <f t="shared" si="6"/>
        <v>54</v>
      </c>
      <c r="L117">
        <f t="shared" si="7"/>
        <v>2700000</v>
      </c>
    </row>
    <row r="118" spans="1:12">
      <c r="A118" t="s">
        <v>23</v>
      </c>
      <c r="B118" t="s">
        <v>8</v>
      </c>
      <c r="C118">
        <f t="shared" si="8"/>
        <v>6.5</v>
      </c>
      <c r="D118" s="1" t="s">
        <v>16</v>
      </c>
      <c r="E118" s="1">
        <f t="shared" si="9"/>
        <v>7</v>
      </c>
      <c r="F118">
        <v>42</v>
      </c>
      <c r="H118">
        <f t="shared" si="5"/>
        <v>0.01</v>
      </c>
      <c r="I118">
        <v>2</v>
      </c>
      <c r="J118">
        <v>20</v>
      </c>
      <c r="K118">
        <f t="shared" si="6"/>
        <v>42</v>
      </c>
      <c r="L118">
        <f t="shared" si="7"/>
        <v>210000</v>
      </c>
    </row>
    <row r="119" spans="1:12">
      <c r="A119" t="s">
        <v>23</v>
      </c>
      <c r="B119" t="s">
        <v>8</v>
      </c>
      <c r="C119">
        <f t="shared" si="8"/>
        <v>6.5</v>
      </c>
      <c r="D119" s="1" t="s">
        <v>16</v>
      </c>
      <c r="E119" s="1">
        <f t="shared" si="9"/>
        <v>8</v>
      </c>
      <c r="F119">
        <v>46</v>
      </c>
      <c r="H119">
        <f t="shared" si="5"/>
        <v>1E-3</v>
      </c>
      <c r="I119">
        <v>3</v>
      </c>
      <c r="J119">
        <v>20</v>
      </c>
      <c r="K119">
        <f t="shared" si="6"/>
        <v>46</v>
      </c>
      <c r="L119">
        <f t="shared" si="7"/>
        <v>2300000</v>
      </c>
    </row>
    <row r="120" spans="1:12">
      <c r="A120" t="s">
        <v>23</v>
      </c>
      <c r="B120" t="s">
        <v>8</v>
      </c>
      <c r="C120">
        <f t="shared" si="8"/>
        <v>6.5</v>
      </c>
      <c r="D120" s="1" t="s">
        <v>16</v>
      </c>
      <c r="E120" s="1">
        <f t="shared" si="9"/>
        <v>9</v>
      </c>
      <c r="F120">
        <v>16</v>
      </c>
      <c r="H120">
        <f t="shared" si="5"/>
        <v>0.01</v>
      </c>
      <c r="I120">
        <v>2</v>
      </c>
      <c r="J120">
        <v>20</v>
      </c>
      <c r="K120">
        <f t="shared" si="6"/>
        <v>16</v>
      </c>
      <c r="L120">
        <f t="shared" si="7"/>
        <v>80000</v>
      </c>
    </row>
    <row r="121" spans="1:12">
      <c r="A121" t="s">
        <v>23</v>
      </c>
      <c r="B121" t="s">
        <v>8</v>
      </c>
      <c r="C121">
        <f t="shared" si="8"/>
        <v>6.5</v>
      </c>
      <c r="D121" s="1" t="s">
        <v>16</v>
      </c>
      <c r="E121" s="1">
        <f t="shared" si="9"/>
        <v>10</v>
      </c>
      <c r="F121">
        <v>28</v>
      </c>
      <c r="H121">
        <f t="shared" si="5"/>
        <v>1E-3</v>
      </c>
      <c r="I121">
        <v>3</v>
      </c>
      <c r="J121">
        <v>20</v>
      </c>
      <c r="K121">
        <f t="shared" si="6"/>
        <v>28</v>
      </c>
      <c r="L121">
        <f t="shared" si="7"/>
        <v>1400000</v>
      </c>
    </row>
    <row r="122" spans="1:12">
      <c r="A122" t="s">
        <v>23</v>
      </c>
      <c r="B122" t="s">
        <v>8</v>
      </c>
      <c r="C122">
        <f t="shared" si="8"/>
        <v>7</v>
      </c>
      <c r="D122" s="1" t="s">
        <v>16</v>
      </c>
      <c r="E122" s="1">
        <f t="shared" si="9"/>
        <v>1</v>
      </c>
      <c r="F122">
        <v>49</v>
      </c>
      <c r="H122">
        <f t="shared" si="5"/>
        <v>1.0000000000000001E-5</v>
      </c>
      <c r="I122">
        <v>5</v>
      </c>
      <c r="J122">
        <v>20</v>
      </c>
      <c r="K122">
        <f t="shared" si="6"/>
        <v>49</v>
      </c>
      <c r="L122">
        <f t="shared" si="7"/>
        <v>244999999.99999997</v>
      </c>
    </row>
    <row r="123" spans="1:12">
      <c r="A123" t="s">
        <v>23</v>
      </c>
      <c r="B123" t="s">
        <v>8</v>
      </c>
      <c r="C123">
        <f t="shared" si="8"/>
        <v>7</v>
      </c>
      <c r="D123" s="1" t="s">
        <v>16</v>
      </c>
      <c r="E123" s="1">
        <f t="shared" si="9"/>
        <v>2</v>
      </c>
      <c r="F123">
        <v>31</v>
      </c>
      <c r="H123">
        <f t="shared" si="5"/>
        <v>1.0000000000000001E-5</v>
      </c>
      <c r="I123">
        <v>5</v>
      </c>
      <c r="J123">
        <v>20</v>
      </c>
      <c r="K123">
        <f t="shared" si="6"/>
        <v>31</v>
      </c>
      <c r="L123">
        <f t="shared" si="7"/>
        <v>155000000</v>
      </c>
    </row>
    <row r="124" spans="1:12">
      <c r="A124" t="s">
        <v>23</v>
      </c>
      <c r="B124" t="s">
        <v>8</v>
      </c>
      <c r="C124">
        <f t="shared" si="8"/>
        <v>7</v>
      </c>
      <c r="D124" s="1" t="s">
        <v>16</v>
      </c>
      <c r="E124" s="1">
        <f t="shared" si="9"/>
        <v>3</v>
      </c>
      <c r="F124">
        <v>46</v>
      </c>
      <c r="H124">
        <f t="shared" si="5"/>
        <v>1.0000000000000001E-5</v>
      </c>
      <c r="I124">
        <v>5</v>
      </c>
      <c r="J124">
        <v>20</v>
      </c>
      <c r="K124">
        <f t="shared" si="6"/>
        <v>46</v>
      </c>
      <c r="L124">
        <f t="shared" si="7"/>
        <v>229999999.99999997</v>
      </c>
    </row>
    <row r="125" spans="1:12">
      <c r="A125" t="s">
        <v>23</v>
      </c>
      <c r="B125" t="s">
        <v>8</v>
      </c>
      <c r="C125">
        <f t="shared" si="8"/>
        <v>7</v>
      </c>
      <c r="D125" s="1" t="s">
        <v>16</v>
      </c>
      <c r="E125" s="1">
        <f t="shared" si="9"/>
        <v>4</v>
      </c>
      <c r="F125">
        <v>31</v>
      </c>
      <c r="H125">
        <f t="shared" si="5"/>
        <v>1.0000000000000001E-5</v>
      </c>
      <c r="I125">
        <v>5</v>
      </c>
      <c r="J125">
        <v>20</v>
      </c>
      <c r="K125">
        <f t="shared" si="6"/>
        <v>31</v>
      </c>
      <c r="L125">
        <f t="shared" si="7"/>
        <v>155000000</v>
      </c>
    </row>
    <row r="126" spans="1:12">
      <c r="A126" t="s">
        <v>23</v>
      </c>
      <c r="B126" t="s">
        <v>8</v>
      </c>
      <c r="C126">
        <f t="shared" si="8"/>
        <v>7</v>
      </c>
      <c r="D126" s="1" t="s">
        <v>16</v>
      </c>
      <c r="E126" s="1">
        <f t="shared" si="9"/>
        <v>5</v>
      </c>
      <c r="F126">
        <v>32</v>
      </c>
      <c r="H126">
        <f t="shared" si="5"/>
        <v>1.0000000000000001E-5</v>
      </c>
      <c r="I126">
        <v>5</v>
      </c>
      <c r="J126">
        <v>20</v>
      </c>
      <c r="K126">
        <f t="shared" si="6"/>
        <v>32</v>
      </c>
      <c r="L126">
        <f t="shared" si="7"/>
        <v>160000000</v>
      </c>
    </row>
    <row r="127" spans="1:12">
      <c r="A127" t="s">
        <v>23</v>
      </c>
      <c r="B127" t="s">
        <v>8</v>
      </c>
      <c r="C127">
        <f t="shared" si="8"/>
        <v>7</v>
      </c>
      <c r="D127" s="1" t="s">
        <v>16</v>
      </c>
      <c r="E127" s="1">
        <f t="shared" si="9"/>
        <v>6</v>
      </c>
      <c r="F127">
        <v>39</v>
      </c>
      <c r="H127">
        <f t="shared" si="5"/>
        <v>1.0000000000000001E-5</v>
      </c>
      <c r="I127">
        <v>5</v>
      </c>
      <c r="J127">
        <v>20</v>
      </c>
      <c r="K127">
        <f t="shared" si="6"/>
        <v>39</v>
      </c>
      <c r="L127">
        <f t="shared" si="7"/>
        <v>194999999.99999997</v>
      </c>
    </row>
    <row r="128" spans="1:12">
      <c r="A128" t="s">
        <v>23</v>
      </c>
      <c r="B128" t="s">
        <v>8</v>
      </c>
      <c r="C128">
        <f t="shared" si="8"/>
        <v>7</v>
      </c>
      <c r="D128" s="1" t="s">
        <v>16</v>
      </c>
      <c r="E128" s="1">
        <f t="shared" si="9"/>
        <v>7</v>
      </c>
      <c r="F128">
        <v>51</v>
      </c>
      <c r="H128">
        <f t="shared" si="5"/>
        <v>1.0000000000000001E-5</v>
      </c>
      <c r="I128">
        <v>5</v>
      </c>
      <c r="J128">
        <v>20</v>
      </c>
      <c r="K128">
        <f t="shared" si="6"/>
        <v>51</v>
      </c>
      <c r="L128">
        <f t="shared" si="7"/>
        <v>254999999.99999997</v>
      </c>
    </row>
    <row r="129" spans="1:12">
      <c r="A129" t="s">
        <v>23</v>
      </c>
      <c r="B129" t="s">
        <v>8</v>
      </c>
      <c r="C129">
        <f t="shared" si="8"/>
        <v>7</v>
      </c>
      <c r="D129" s="1" t="s">
        <v>16</v>
      </c>
      <c r="E129" s="1">
        <f t="shared" si="9"/>
        <v>8</v>
      </c>
      <c r="F129">
        <v>50</v>
      </c>
      <c r="H129">
        <f t="shared" si="5"/>
        <v>1.0000000000000001E-5</v>
      </c>
      <c r="I129">
        <v>5</v>
      </c>
      <c r="J129">
        <v>20</v>
      </c>
      <c r="K129">
        <f t="shared" si="6"/>
        <v>50</v>
      </c>
      <c r="L129">
        <f t="shared" si="7"/>
        <v>249999999.99999997</v>
      </c>
    </row>
    <row r="130" spans="1:12">
      <c r="A130" t="s">
        <v>23</v>
      </c>
      <c r="B130" t="s">
        <v>8</v>
      </c>
      <c r="C130">
        <f t="shared" si="8"/>
        <v>7</v>
      </c>
      <c r="D130" s="1" t="s">
        <v>16</v>
      </c>
      <c r="E130" s="1">
        <f t="shared" si="9"/>
        <v>9</v>
      </c>
      <c r="F130">
        <v>51</v>
      </c>
      <c r="H130">
        <f t="shared" ref="H130:H193" si="10">1/(10^I130)</f>
        <v>1.0000000000000001E-5</v>
      </c>
      <c r="I130">
        <v>5</v>
      </c>
      <c r="J130">
        <v>20</v>
      </c>
      <c r="K130">
        <f t="shared" si="6"/>
        <v>51</v>
      </c>
      <c r="L130">
        <f t="shared" si="7"/>
        <v>254999999.99999997</v>
      </c>
    </row>
    <row r="131" spans="1:12">
      <c r="A131" t="s">
        <v>23</v>
      </c>
      <c r="B131" t="s">
        <v>8</v>
      </c>
      <c r="C131">
        <f t="shared" si="8"/>
        <v>7</v>
      </c>
      <c r="D131" s="1" t="s">
        <v>16</v>
      </c>
      <c r="E131" s="1">
        <f t="shared" si="9"/>
        <v>10</v>
      </c>
      <c r="F131">
        <v>33</v>
      </c>
      <c r="H131">
        <f t="shared" si="10"/>
        <v>1.0000000000000001E-5</v>
      </c>
      <c r="I131">
        <v>5</v>
      </c>
      <c r="J131">
        <v>20</v>
      </c>
      <c r="K131">
        <f t="shared" ref="K131:K194" si="11">F131</f>
        <v>33</v>
      </c>
      <c r="L131">
        <f t="shared" ref="L131:L194" si="12">K131/(H131*(J131/1000))</f>
        <v>165000000</v>
      </c>
    </row>
    <row r="132" spans="1:12">
      <c r="A132" t="s">
        <v>23</v>
      </c>
      <c r="B132" t="s">
        <v>8</v>
      </c>
      <c r="C132">
        <f t="shared" si="8"/>
        <v>7.5</v>
      </c>
      <c r="D132" s="1" t="s">
        <v>16</v>
      </c>
      <c r="E132" s="1">
        <f t="shared" si="9"/>
        <v>1</v>
      </c>
      <c r="F132">
        <v>43</v>
      </c>
      <c r="H132">
        <f t="shared" si="10"/>
        <v>1E-4</v>
      </c>
      <c r="I132">
        <v>4</v>
      </c>
      <c r="J132">
        <v>20</v>
      </c>
      <c r="K132">
        <f t="shared" si="11"/>
        <v>43</v>
      </c>
      <c r="L132">
        <f t="shared" si="12"/>
        <v>21499999.999999996</v>
      </c>
    </row>
    <row r="133" spans="1:12">
      <c r="A133" t="s">
        <v>23</v>
      </c>
      <c r="B133" t="s">
        <v>8</v>
      </c>
      <c r="C133">
        <f t="shared" si="8"/>
        <v>7.5</v>
      </c>
      <c r="D133" s="1" t="s">
        <v>16</v>
      </c>
      <c r="E133" s="1">
        <f t="shared" si="9"/>
        <v>2</v>
      </c>
      <c r="F133">
        <v>33</v>
      </c>
      <c r="H133">
        <f t="shared" si="10"/>
        <v>1E-3</v>
      </c>
      <c r="I133">
        <v>3</v>
      </c>
      <c r="J133">
        <v>20</v>
      </c>
      <c r="K133">
        <f t="shared" si="11"/>
        <v>33</v>
      </c>
      <c r="L133">
        <f t="shared" si="12"/>
        <v>1649999.9999999998</v>
      </c>
    </row>
    <row r="134" spans="1:12">
      <c r="A134" t="s">
        <v>23</v>
      </c>
      <c r="B134" t="s">
        <v>8</v>
      </c>
      <c r="C134">
        <f t="shared" si="8"/>
        <v>7.5</v>
      </c>
      <c r="D134" s="1" t="s">
        <v>16</v>
      </c>
      <c r="E134" s="1">
        <f t="shared" si="9"/>
        <v>3</v>
      </c>
      <c r="F134">
        <v>25</v>
      </c>
      <c r="H134">
        <f t="shared" si="10"/>
        <v>0.01</v>
      </c>
      <c r="I134">
        <v>2</v>
      </c>
      <c r="J134">
        <v>20</v>
      </c>
      <c r="K134">
        <f t="shared" si="11"/>
        <v>25</v>
      </c>
      <c r="L134">
        <f t="shared" si="12"/>
        <v>125000</v>
      </c>
    </row>
    <row r="135" spans="1:12">
      <c r="A135" t="s">
        <v>23</v>
      </c>
      <c r="B135" t="s">
        <v>8</v>
      </c>
      <c r="C135">
        <f t="shared" si="8"/>
        <v>7.5</v>
      </c>
      <c r="D135" s="1" t="s">
        <v>16</v>
      </c>
      <c r="E135" s="1">
        <f t="shared" si="9"/>
        <v>4</v>
      </c>
      <c r="F135">
        <v>18</v>
      </c>
      <c r="H135">
        <f t="shared" si="10"/>
        <v>1E-3</v>
      </c>
      <c r="I135">
        <v>3</v>
      </c>
      <c r="J135">
        <v>20</v>
      </c>
      <c r="K135">
        <f t="shared" si="11"/>
        <v>18</v>
      </c>
      <c r="L135">
        <f t="shared" si="12"/>
        <v>899999.99999999988</v>
      </c>
    </row>
    <row r="136" spans="1:12">
      <c r="A136" t="s">
        <v>23</v>
      </c>
      <c r="B136" t="s">
        <v>8</v>
      </c>
      <c r="C136">
        <f t="shared" si="8"/>
        <v>7.5</v>
      </c>
      <c r="D136" s="1" t="s">
        <v>16</v>
      </c>
      <c r="E136" s="1">
        <f t="shared" si="9"/>
        <v>5</v>
      </c>
      <c r="F136">
        <v>26</v>
      </c>
      <c r="H136">
        <f t="shared" si="10"/>
        <v>1E-3</v>
      </c>
      <c r="I136">
        <v>3</v>
      </c>
      <c r="J136">
        <v>20</v>
      </c>
      <c r="K136">
        <f t="shared" si="11"/>
        <v>26</v>
      </c>
      <c r="L136">
        <f t="shared" si="12"/>
        <v>1300000</v>
      </c>
    </row>
    <row r="137" spans="1:12">
      <c r="A137" t="s">
        <v>23</v>
      </c>
      <c r="B137" t="s">
        <v>8</v>
      </c>
      <c r="C137">
        <f t="shared" si="8"/>
        <v>7.5</v>
      </c>
      <c r="D137" s="1" t="s">
        <v>16</v>
      </c>
      <c r="E137" s="1">
        <f t="shared" si="9"/>
        <v>6</v>
      </c>
      <c r="F137">
        <v>13</v>
      </c>
      <c r="H137">
        <f t="shared" si="10"/>
        <v>0.01</v>
      </c>
      <c r="I137">
        <v>2</v>
      </c>
      <c r="J137">
        <v>20</v>
      </c>
      <c r="K137">
        <f t="shared" si="11"/>
        <v>13</v>
      </c>
      <c r="L137">
        <f t="shared" si="12"/>
        <v>65000</v>
      </c>
    </row>
    <row r="138" spans="1:12">
      <c r="A138" t="s">
        <v>23</v>
      </c>
      <c r="B138" t="s">
        <v>8</v>
      </c>
      <c r="C138">
        <f t="shared" si="8"/>
        <v>7.5</v>
      </c>
      <c r="D138" s="1" t="s">
        <v>16</v>
      </c>
      <c r="E138" s="1">
        <f t="shared" si="9"/>
        <v>7</v>
      </c>
      <c r="F138">
        <v>28</v>
      </c>
      <c r="H138">
        <f t="shared" si="10"/>
        <v>1E-4</v>
      </c>
      <c r="I138">
        <v>4</v>
      </c>
      <c r="J138">
        <v>20</v>
      </c>
      <c r="K138">
        <f t="shared" si="11"/>
        <v>28</v>
      </c>
      <c r="L138">
        <f t="shared" si="12"/>
        <v>13999999.999999998</v>
      </c>
    </row>
    <row r="139" spans="1:12">
      <c r="A139" t="s">
        <v>23</v>
      </c>
      <c r="B139" t="s">
        <v>8</v>
      </c>
      <c r="C139">
        <f t="shared" si="8"/>
        <v>7.5</v>
      </c>
      <c r="D139" s="1" t="s">
        <v>16</v>
      </c>
      <c r="E139" s="1">
        <f t="shared" si="9"/>
        <v>8</v>
      </c>
      <c r="F139">
        <v>50</v>
      </c>
      <c r="H139">
        <f t="shared" si="10"/>
        <v>1E-3</v>
      </c>
      <c r="I139">
        <v>3</v>
      </c>
      <c r="J139">
        <v>20</v>
      </c>
      <c r="K139">
        <f t="shared" si="11"/>
        <v>50</v>
      </c>
      <c r="L139">
        <f t="shared" si="12"/>
        <v>2500000</v>
      </c>
    </row>
    <row r="140" spans="1:12">
      <c r="A140" t="s">
        <v>23</v>
      </c>
      <c r="B140" t="s">
        <v>8</v>
      </c>
      <c r="C140">
        <f t="shared" si="8"/>
        <v>7.5</v>
      </c>
      <c r="D140" s="1" t="s">
        <v>16</v>
      </c>
      <c r="E140" s="1">
        <f t="shared" si="9"/>
        <v>9</v>
      </c>
      <c r="F140">
        <v>50</v>
      </c>
      <c r="H140">
        <f t="shared" si="10"/>
        <v>1E-3</v>
      </c>
      <c r="I140">
        <v>3</v>
      </c>
      <c r="J140">
        <v>20</v>
      </c>
      <c r="K140">
        <f t="shared" si="11"/>
        <v>50</v>
      </c>
      <c r="L140">
        <f t="shared" si="12"/>
        <v>2500000</v>
      </c>
    </row>
    <row r="141" spans="1:12">
      <c r="A141" t="s">
        <v>23</v>
      </c>
      <c r="B141" t="s">
        <v>8</v>
      </c>
      <c r="C141">
        <f t="shared" ref="C141:C204" si="13">C131+0.5</f>
        <v>7.5</v>
      </c>
      <c r="D141" s="1" t="s">
        <v>16</v>
      </c>
      <c r="E141" s="1">
        <f t="shared" ref="E141:E204" si="14">E131</f>
        <v>10</v>
      </c>
      <c r="F141">
        <v>51</v>
      </c>
      <c r="H141">
        <f t="shared" si="10"/>
        <v>0.01</v>
      </c>
      <c r="I141">
        <v>2</v>
      </c>
      <c r="J141">
        <v>20</v>
      </c>
      <c r="K141">
        <f t="shared" si="11"/>
        <v>51</v>
      </c>
      <c r="L141">
        <f t="shared" si="12"/>
        <v>255000</v>
      </c>
    </row>
    <row r="142" spans="1:12">
      <c r="A142" t="s">
        <v>23</v>
      </c>
      <c r="B142" t="s">
        <v>8</v>
      </c>
      <c r="C142">
        <f t="shared" si="13"/>
        <v>8</v>
      </c>
      <c r="D142" s="1" t="s">
        <v>16</v>
      </c>
      <c r="E142" s="1">
        <f t="shared" si="14"/>
        <v>1</v>
      </c>
      <c r="F142">
        <v>45</v>
      </c>
      <c r="H142">
        <f t="shared" si="10"/>
        <v>1.0000000000000001E-5</v>
      </c>
      <c r="I142">
        <v>5</v>
      </c>
      <c r="J142">
        <v>20</v>
      </c>
      <c r="K142">
        <f t="shared" si="11"/>
        <v>45</v>
      </c>
      <c r="L142">
        <f t="shared" si="12"/>
        <v>224999999.99999997</v>
      </c>
    </row>
    <row r="143" spans="1:12">
      <c r="A143" t="s">
        <v>23</v>
      </c>
      <c r="B143" t="s">
        <v>8</v>
      </c>
      <c r="C143">
        <f t="shared" si="13"/>
        <v>8</v>
      </c>
      <c r="D143" s="1" t="s">
        <v>16</v>
      </c>
      <c r="E143" s="1">
        <f t="shared" si="14"/>
        <v>2</v>
      </c>
      <c r="F143">
        <v>30</v>
      </c>
      <c r="H143">
        <f t="shared" si="10"/>
        <v>1.0000000000000001E-5</v>
      </c>
      <c r="I143">
        <v>5</v>
      </c>
      <c r="J143">
        <v>20</v>
      </c>
      <c r="K143">
        <f t="shared" si="11"/>
        <v>30</v>
      </c>
      <c r="L143">
        <f t="shared" si="12"/>
        <v>150000000</v>
      </c>
    </row>
    <row r="144" spans="1:12">
      <c r="A144" t="s">
        <v>23</v>
      </c>
      <c r="B144" t="s">
        <v>8</v>
      </c>
      <c r="C144">
        <f t="shared" si="13"/>
        <v>8</v>
      </c>
      <c r="D144" s="1" t="s">
        <v>16</v>
      </c>
      <c r="E144" s="1">
        <f t="shared" si="14"/>
        <v>3</v>
      </c>
      <c r="F144">
        <v>41</v>
      </c>
      <c r="H144">
        <f t="shared" si="10"/>
        <v>1.0000000000000001E-5</v>
      </c>
      <c r="I144">
        <v>5</v>
      </c>
      <c r="J144">
        <v>20</v>
      </c>
      <c r="K144">
        <f t="shared" si="11"/>
        <v>41</v>
      </c>
      <c r="L144">
        <f t="shared" si="12"/>
        <v>204999999.99999997</v>
      </c>
    </row>
    <row r="145" spans="1:12">
      <c r="A145" t="s">
        <v>23</v>
      </c>
      <c r="B145" t="s">
        <v>8</v>
      </c>
      <c r="C145">
        <f t="shared" si="13"/>
        <v>8</v>
      </c>
      <c r="D145" s="1" t="s">
        <v>16</v>
      </c>
      <c r="E145" s="1">
        <f t="shared" si="14"/>
        <v>4</v>
      </c>
      <c r="F145">
        <v>32</v>
      </c>
      <c r="H145">
        <f t="shared" si="10"/>
        <v>1.0000000000000001E-5</v>
      </c>
      <c r="I145">
        <v>5</v>
      </c>
      <c r="J145">
        <v>20</v>
      </c>
      <c r="K145">
        <f t="shared" si="11"/>
        <v>32</v>
      </c>
      <c r="L145">
        <f t="shared" si="12"/>
        <v>160000000</v>
      </c>
    </row>
    <row r="146" spans="1:12">
      <c r="A146" t="s">
        <v>23</v>
      </c>
      <c r="B146" t="s">
        <v>8</v>
      </c>
      <c r="C146">
        <f t="shared" si="13"/>
        <v>8</v>
      </c>
      <c r="D146" s="1" t="s">
        <v>16</v>
      </c>
      <c r="E146" s="1">
        <f t="shared" si="14"/>
        <v>5</v>
      </c>
      <c r="F146">
        <v>37</v>
      </c>
      <c r="H146">
        <f t="shared" si="10"/>
        <v>1.0000000000000001E-5</v>
      </c>
      <c r="I146">
        <v>5</v>
      </c>
      <c r="J146">
        <v>20</v>
      </c>
      <c r="K146">
        <f t="shared" si="11"/>
        <v>37</v>
      </c>
      <c r="L146">
        <f t="shared" si="12"/>
        <v>184999999.99999997</v>
      </c>
    </row>
    <row r="147" spans="1:12">
      <c r="A147" t="s">
        <v>23</v>
      </c>
      <c r="B147" t="s">
        <v>8</v>
      </c>
      <c r="C147">
        <f t="shared" si="13"/>
        <v>8</v>
      </c>
      <c r="D147" s="1" t="s">
        <v>16</v>
      </c>
      <c r="E147" s="1">
        <f t="shared" si="14"/>
        <v>6</v>
      </c>
      <c r="F147">
        <v>40</v>
      </c>
      <c r="H147">
        <f t="shared" si="10"/>
        <v>1.0000000000000001E-5</v>
      </c>
      <c r="I147">
        <v>5</v>
      </c>
      <c r="J147">
        <v>20</v>
      </c>
      <c r="K147">
        <f t="shared" si="11"/>
        <v>40</v>
      </c>
      <c r="L147">
        <f t="shared" si="12"/>
        <v>199999999.99999997</v>
      </c>
    </row>
    <row r="148" spans="1:12">
      <c r="A148" t="s">
        <v>23</v>
      </c>
      <c r="B148" t="s">
        <v>8</v>
      </c>
      <c r="C148">
        <f t="shared" si="13"/>
        <v>8</v>
      </c>
      <c r="D148" s="1" t="s">
        <v>16</v>
      </c>
      <c r="E148" s="1">
        <f t="shared" si="14"/>
        <v>7</v>
      </c>
      <c r="F148">
        <v>38</v>
      </c>
      <c r="H148">
        <f t="shared" si="10"/>
        <v>1.0000000000000001E-5</v>
      </c>
      <c r="I148">
        <v>5</v>
      </c>
      <c r="J148">
        <v>20</v>
      </c>
      <c r="K148">
        <f t="shared" si="11"/>
        <v>38</v>
      </c>
      <c r="L148">
        <f t="shared" si="12"/>
        <v>189999999.99999997</v>
      </c>
    </row>
    <row r="149" spans="1:12">
      <c r="A149" t="s">
        <v>23</v>
      </c>
      <c r="B149" t="s">
        <v>8</v>
      </c>
      <c r="C149">
        <f t="shared" si="13"/>
        <v>8</v>
      </c>
      <c r="D149" s="1" t="s">
        <v>16</v>
      </c>
      <c r="E149" s="1">
        <f t="shared" si="14"/>
        <v>8</v>
      </c>
      <c r="F149">
        <v>40</v>
      </c>
      <c r="H149">
        <f t="shared" si="10"/>
        <v>1.0000000000000001E-5</v>
      </c>
      <c r="I149">
        <v>5</v>
      </c>
      <c r="J149">
        <v>20</v>
      </c>
      <c r="K149">
        <f t="shared" si="11"/>
        <v>40</v>
      </c>
      <c r="L149">
        <f t="shared" si="12"/>
        <v>199999999.99999997</v>
      </c>
    </row>
    <row r="150" spans="1:12">
      <c r="A150" t="s">
        <v>23</v>
      </c>
      <c r="B150" t="s">
        <v>8</v>
      </c>
      <c r="C150">
        <f t="shared" si="13"/>
        <v>8</v>
      </c>
      <c r="D150" s="1" t="s">
        <v>16</v>
      </c>
      <c r="E150" s="1">
        <f t="shared" si="14"/>
        <v>9</v>
      </c>
      <c r="F150">
        <v>36</v>
      </c>
      <c r="H150">
        <f t="shared" si="10"/>
        <v>1.0000000000000001E-5</v>
      </c>
      <c r="I150">
        <v>5</v>
      </c>
      <c r="J150">
        <v>20</v>
      </c>
      <c r="K150">
        <f t="shared" si="11"/>
        <v>36</v>
      </c>
      <c r="L150">
        <f t="shared" si="12"/>
        <v>179999999.99999997</v>
      </c>
    </row>
    <row r="151" spans="1:12">
      <c r="A151" t="s">
        <v>23</v>
      </c>
      <c r="B151" t="s">
        <v>8</v>
      </c>
      <c r="C151">
        <f t="shared" si="13"/>
        <v>8</v>
      </c>
      <c r="D151" s="1" t="s">
        <v>16</v>
      </c>
      <c r="E151" s="1">
        <f t="shared" si="14"/>
        <v>10</v>
      </c>
      <c r="F151">
        <v>41</v>
      </c>
      <c r="H151">
        <f t="shared" si="10"/>
        <v>1.0000000000000001E-5</v>
      </c>
      <c r="I151">
        <v>5</v>
      </c>
      <c r="J151">
        <v>20</v>
      </c>
      <c r="K151">
        <f t="shared" si="11"/>
        <v>41</v>
      </c>
      <c r="L151">
        <f t="shared" si="12"/>
        <v>204999999.99999997</v>
      </c>
    </row>
    <row r="152" spans="1:12">
      <c r="A152" t="s">
        <v>23</v>
      </c>
      <c r="B152" t="s">
        <v>8</v>
      </c>
      <c r="C152">
        <f t="shared" si="13"/>
        <v>8.5</v>
      </c>
      <c r="D152" s="1" t="s">
        <v>16</v>
      </c>
      <c r="E152" s="1">
        <f t="shared" si="14"/>
        <v>1</v>
      </c>
      <c r="F152">
        <v>32</v>
      </c>
      <c r="H152">
        <f t="shared" si="10"/>
        <v>0.01</v>
      </c>
      <c r="I152">
        <v>2</v>
      </c>
      <c r="J152">
        <v>20</v>
      </c>
      <c r="K152">
        <f t="shared" si="11"/>
        <v>32</v>
      </c>
      <c r="L152">
        <f t="shared" si="12"/>
        <v>160000</v>
      </c>
    </row>
    <row r="153" spans="1:12">
      <c r="A153" t="s">
        <v>23</v>
      </c>
      <c r="B153" t="s">
        <v>8</v>
      </c>
      <c r="C153">
        <f t="shared" si="13"/>
        <v>8.5</v>
      </c>
      <c r="D153" s="1" t="s">
        <v>16</v>
      </c>
      <c r="E153" s="1">
        <f t="shared" si="14"/>
        <v>2</v>
      </c>
      <c r="F153">
        <v>32</v>
      </c>
      <c r="H153">
        <f t="shared" si="10"/>
        <v>1E-4</v>
      </c>
      <c r="I153">
        <v>4</v>
      </c>
      <c r="J153">
        <v>20</v>
      </c>
      <c r="K153">
        <f t="shared" si="11"/>
        <v>32</v>
      </c>
      <c r="L153">
        <f t="shared" si="12"/>
        <v>15999999.999999998</v>
      </c>
    </row>
    <row r="154" spans="1:12">
      <c r="A154" t="s">
        <v>23</v>
      </c>
      <c r="B154" t="s">
        <v>8</v>
      </c>
      <c r="C154">
        <f t="shared" si="13"/>
        <v>8.5</v>
      </c>
      <c r="D154" s="1" t="s">
        <v>16</v>
      </c>
      <c r="E154" s="1">
        <f t="shared" si="14"/>
        <v>3</v>
      </c>
      <c r="F154">
        <v>51</v>
      </c>
      <c r="H154">
        <f t="shared" si="10"/>
        <v>0.01</v>
      </c>
      <c r="I154">
        <v>2</v>
      </c>
      <c r="J154">
        <v>20</v>
      </c>
      <c r="K154">
        <f t="shared" si="11"/>
        <v>51</v>
      </c>
      <c r="L154">
        <f t="shared" si="12"/>
        <v>255000</v>
      </c>
    </row>
    <row r="155" spans="1:12">
      <c r="A155" t="s">
        <v>23</v>
      </c>
      <c r="B155" t="s">
        <v>8</v>
      </c>
      <c r="C155">
        <f t="shared" si="13"/>
        <v>8.5</v>
      </c>
      <c r="D155" s="1" t="s">
        <v>16</v>
      </c>
      <c r="E155" s="1">
        <f t="shared" si="14"/>
        <v>4</v>
      </c>
      <c r="F155">
        <v>29</v>
      </c>
      <c r="H155">
        <f t="shared" si="10"/>
        <v>1E-4</v>
      </c>
      <c r="I155">
        <v>4</v>
      </c>
      <c r="J155">
        <v>20</v>
      </c>
      <c r="K155">
        <f t="shared" si="11"/>
        <v>29</v>
      </c>
      <c r="L155">
        <f t="shared" si="12"/>
        <v>14499999.999999998</v>
      </c>
    </row>
    <row r="156" spans="1:12">
      <c r="A156" t="s">
        <v>23</v>
      </c>
      <c r="B156" t="s">
        <v>8</v>
      </c>
      <c r="C156">
        <f t="shared" si="13"/>
        <v>8.5</v>
      </c>
      <c r="D156" s="1" t="s">
        <v>16</v>
      </c>
      <c r="E156" s="1">
        <f t="shared" si="14"/>
        <v>5</v>
      </c>
      <c r="F156">
        <v>9</v>
      </c>
      <c r="H156">
        <f t="shared" si="10"/>
        <v>1E-3</v>
      </c>
      <c r="I156">
        <v>3</v>
      </c>
      <c r="J156">
        <v>20</v>
      </c>
      <c r="K156">
        <f t="shared" si="11"/>
        <v>9</v>
      </c>
      <c r="L156">
        <f t="shared" si="12"/>
        <v>449999.99999999994</v>
      </c>
    </row>
    <row r="157" spans="1:12">
      <c r="A157" t="s">
        <v>23</v>
      </c>
      <c r="B157" t="s">
        <v>8</v>
      </c>
      <c r="C157">
        <f t="shared" si="13"/>
        <v>8.5</v>
      </c>
      <c r="D157" s="1" t="s">
        <v>16</v>
      </c>
      <c r="E157" s="1">
        <f t="shared" si="14"/>
        <v>6</v>
      </c>
      <c r="F157">
        <v>30</v>
      </c>
      <c r="H157">
        <f t="shared" si="10"/>
        <v>1E-4</v>
      </c>
      <c r="I157">
        <v>4</v>
      </c>
      <c r="J157">
        <v>20</v>
      </c>
      <c r="K157">
        <f t="shared" si="11"/>
        <v>30</v>
      </c>
      <c r="L157">
        <f t="shared" si="12"/>
        <v>14999999.999999998</v>
      </c>
    </row>
    <row r="158" spans="1:12">
      <c r="A158" t="s">
        <v>23</v>
      </c>
      <c r="B158" t="s">
        <v>8</v>
      </c>
      <c r="C158">
        <f t="shared" si="13"/>
        <v>8.5</v>
      </c>
      <c r="D158" s="1" t="s">
        <v>16</v>
      </c>
      <c r="E158" s="1">
        <f t="shared" si="14"/>
        <v>7</v>
      </c>
      <c r="F158">
        <v>37</v>
      </c>
      <c r="H158">
        <f t="shared" si="10"/>
        <v>1E-4</v>
      </c>
      <c r="I158">
        <v>4</v>
      </c>
      <c r="J158">
        <v>20</v>
      </c>
      <c r="K158">
        <f t="shared" si="11"/>
        <v>37</v>
      </c>
      <c r="L158">
        <f t="shared" si="12"/>
        <v>18499999.999999996</v>
      </c>
    </row>
    <row r="159" spans="1:12">
      <c r="A159" t="s">
        <v>23</v>
      </c>
      <c r="B159" t="s">
        <v>8</v>
      </c>
      <c r="C159">
        <f t="shared" si="13"/>
        <v>8.5</v>
      </c>
      <c r="D159" s="1" t="s">
        <v>16</v>
      </c>
      <c r="E159" s="1">
        <f t="shared" si="14"/>
        <v>8</v>
      </c>
      <c r="F159">
        <v>11</v>
      </c>
      <c r="H159">
        <f t="shared" si="10"/>
        <v>1E-4</v>
      </c>
      <c r="I159">
        <v>4</v>
      </c>
      <c r="J159">
        <v>20</v>
      </c>
      <c r="K159">
        <f t="shared" si="11"/>
        <v>11</v>
      </c>
      <c r="L159">
        <f t="shared" si="12"/>
        <v>5499999.9999999991</v>
      </c>
    </row>
    <row r="160" spans="1:12">
      <c r="A160" t="s">
        <v>23</v>
      </c>
      <c r="B160" t="s">
        <v>8</v>
      </c>
      <c r="C160">
        <f t="shared" si="13"/>
        <v>8.5</v>
      </c>
      <c r="D160" s="1" t="s">
        <v>16</v>
      </c>
      <c r="E160" s="1">
        <f t="shared" si="14"/>
        <v>9</v>
      </c>
      <c r="F160">
        <v>37</v>
      </c>
      <c r="H160">
        <f t="shared" si="10"/>
        <v>1E-4</v>
      </c>
      <c r="I160">
        <v>4</v>
      </c>
      <c r="J160">
        <v>20</v>
      </c>
      <c r="K160">
        <f t="shared" si="11"/>
        <v>37</v>
      </c>
      <c r="L160">
        <f t="shared" si="12"/>
        <v>18499999.999999996</v>
      </c>
    </row>
    <row r="161" spans="1:12">
      <c r="A161" t="s">
        <v>23</v>
      </c>
      <c r="B161" t="s">
        <v>8</v>
      </c>
      <c r="C161">
        <f t="shared" si="13"/>
        <v>8.5</v>
      </c>
      <c r="D161" s="1" t="s">
        <v>16</v>
      </c>
      <c r="E161" s="1">
        <f t="shared" si="14"/>
        <v>10</v>
      </c>
      <c r="F161">
        <v>39</v>
      </c>
      <c r="H161">
        <f t="shared" si="10"/>
        <v>1E-3</v>
      </c>
      <c r="I161">
        <v>3</v>
      </c>
      <c r="J161">
        <v>20</v>
      </c>
      <c r="K161">
        <f t="shared" si="11"/>
        <v>39</v>
      </c>
      <c r="L161">
        <f t="shared" si="12"/>
        <v>1949999.9999999998</v>
      </c>
    </row>
    <row r="162" spans="1:12">
      <c r="A162" t="s">
        <v>23</v>
      </c>
      <c r="B162" t="s">
        <v>8</v>
      </c>
      <c r="C162">
        <f t="shared" si="13"/>
        <v>9</v>
      </c>
      <c r="D162" s="1" t="s">
        <v>16</v>
      </c>
      <c r="E162" s="1">
        <f t="shared" si="14"/>
        <v>1</v>
      </c>
      <c r="F162">
        <v>41</v>
      </c>
      <c r="H162">
        <f t="shared" si="10"/>
        <v>1.0000000000000001E-5</v>
      </c>
      <c r="I162">
        <v>5</v>
      </c>
      <c r="J162">
        <v>20</v>
      </c>
      <c r="K162">
        <f t="shared" si="11"/>
        <v>41</v>
      </c>
      <c r="L162">
        <f t="shared" si="12"/>
        <v>204999999.99999997</v>
      </c>
    </row>
    <row r="163" spans="1:12">
      <c r="A163" t="s">
        <v>23</v>
      </c>
      <c r="B163" t="s">
        <v>8</v>
      </c>
      <c r="C163">
        <f t="shared" si="13"/>
        <v>9</v>
      </c>
      <c r="D163" s="1" t="s">
        <v>16</v>
      </c>
      <c r="E163" s="1">
        <f t="shared" si="14"/>
        <v>2</v>
      </c>
      <c r="F163">
        <v>35</v>
      </c>
      <c r="H163">
        <f t="shared" si="10"/>
        <v>1.0000000000000001E-5</v>
      </c>
      <c r="I163">
        <v>5</v>
      </c>
      <c r="J163">
        <v>20</v>
      </c>
      <c r="K163">
        <f t="shared" si="11"/>
        <v>35</v>
      </c>
      <c r="L163">
        <f t="shared" si="12"/>
        <v>174999999.99999997</v>
      </c>
    </row>
    <row r="164" spans="1:12">
      <c r="A164" t="s">
        <v>23</v>
      </c>
      <c r="B164" t="s">
        <v>8</v>
      </c>
      <c r="C164">
        <f t="shared" si="13"/>
        <v>9</v>
      </c>
      <c r="D164" s="1" t="s">
        <v>16</v>
      </c>
      <c r="E164" s="1">
        <f t="shared" si="14"/>
        <v>3</v>
      </c>
      <c r="F164">
        <v>51</v>
      </c>
      <c r="H164">
        <f t="shared" si="10"/>
        <v>1.0000000000000001E-5</v>
      </c>
      <c r="I164">
        <v>5</v>
      </c>
      <c r="J164">
        <v>20</v>
      </c>
      <c r="K164">
        <f t="shared" si="11"/>
        <v>51</v>
      </c>
      <c r="L164">
        <f t="shared" si="12"/>
        <v>254999999.99999997</v>
      </c>
    </row>
    <row r="165" spans="1:12">
      <c r="A165" t="s">
        <v>23</v>
      </c>
      <c r="B165" t="s">
        <v>8</v>
      </c>
      <c r="C165">
        <f t="shared" si="13"/>
        <v>9</v>
      </c>
      <c r="D165" s="1" t="s">
        <v>16</v>
      </c>
      <c r="E165" s="1">
        <f t="shared" si="14"/>
        <v>4</v>
      </c>
      <c r="F165">
        <v>35</v>
      </c>
      <c r="H165">
        <f t="shared" si="10"/>
        <v>1.0000000000000001E-5</v>
      </c>
      <c r="I165">
        <v>5</v>
      </c>
      <c r="J165">
        <v>20</v>
      </c>
      <c r="K165">
        <f t="shared" si="11"/>
        <v>35</v>
      </c>
      <c r="L165">
        <f t="shared" si="12"/>
        <v>174999999.99999997</v>
      </c>
    </row>
    <row r="166" spans="1:12">
      <c r="A166" t="s">
        <v>23</v>
      </c>
      <c r="B166" t="s">
        <v>8</v>
      </c>
      <c r="C166">
        <f t="shared" si="13"/>
        <v>9</v>
      </c>
      <c r="D166" s="1" t="s">
        <v>16</v>
      </c>
      <c r="E166" s="1">
        <f t="shared" si="14"/>
        <v>5</v>
      </c>
      <c r="F166">
        <v>55</v>
      </c>
      <c r="H166">
        <f t="shared" si="10"/>
        <v>1.0000000000000001E-5</v>
      </c>
      <c r="I166">
        <v>5</v>
      </c>
      <c r="J166">
        <v>20</v>
      </c>
      <c r="K166">
        <f t="shared" si="11"/>
        <v>55</v>
      </c>
      <c r="L166">
        <f t="shared" si="12"/>
        <v>275000000</v>
      </c>
    </row>
    <row r="167" spans="1:12">
      <c r="A167" t="s">
        <v>23</v>
      </c>
      <c r="B167" t="s">
        <v>8</v>
      </c>
      <c r="C167">
        <f t="shared" si="13"/>
        <v>9</v>
      </c>
      <c r="D167" s="1" t="s">
        <v>16</v>
      </c>
      <c r="E167" s="1">
        <f t="shared" si="14"/>
        <v>6</v>
      </c>
      <c r="F167">
        <v>12</v>
      </c>
      <c r="H167">
        <f t="shared" si="10"/>
        <v>1.0000000000000001E-5</v>
      </c>
      <c r="I167">
        <v>5</v>
      </c>
      <c r="J167">
        <v>20</v>
      </c>
      <c r="K167">
        <f t="shared" si="11"/>
        <v>12</v>
      </c>
      <c r="L167">
        <f t="shared" si="12"/>
        <v>59999999.999999993</v>
      </c>
    </row>
    <row r="168" spans="1:12">
      <c r="A168" t="s">
        <v>23</v>
      </c>
      <c r="B168" t="s">
        <v>8</v>
      </c>
      <c r="C168">
        <f t="shared" si="13"/>
        <v>9</v>
      </c>
      <c r="D168" s="1" t="s">
        <v>16</v>
      </c>
      <c r="E168" s="1">
        <f t="shared" si="14"/>
        <v>7</v>
      </c>
      <c r="F168">
        <v>58</v>
      </c>
      <c r="H168">
        <f t="shared" si="10"/>
        <v>1.0000000000000001E-5</v>
      </c>
      <c r="I168">
        <v>5</v>
      </c>
      <c r="J168">
        <v>20</v>
      </c>
      <c r="K168">
        <f t="shared" si="11"/>
        <v>58</v>
      </c>
      <c r="L168">
        <f t="shared" si="12"/>
        <v>290000000</v>
      </c>
    </row>
    <row r="169" spans="1:12">
      <c r="A169" t="s">
        <v>23</v>
      </c>
      <c r="B169" t="s">
        <v>8</v>
      </c>
      <c r="C169">
        <f t="shared" si="13"/>
        <v>9</v>
      </c>
      <c r="D169" s="1" t="s">
        <v>16</v>
      </c>
      <c r="E169" s="1">
        <f t="shared" si="14"/>
        <v>8</v>
      </c>
      <c r="F169">
        <v>16</v>
      </c>
      <c r="H169">
        <f t="shared" si="10"/>
        <v>1.0000000000000001E-5</v>
      </c>
      <c r="I169">
        <v>5</v>
      </c>
      <c r="J169">
        <v>20</v>
      </c>
      <c r="K169">
        <f t="shared" si="11"/>
        <v>16</v>
      </c>
      <c r="L169">
        <f t="shared" si="12"/>
        <v>80000000</v>
      </c>
    </row>
    <row r="170" spans="1:12">
      <c r="A170" t="s">
        <v>23</v>
      </c>
      <c r="B170" t="s">
        <v>8</v>
      </c>
      <c r="C170">
        <f t="shared" si="13"/>
        <v>9</v>
      </c>
      <c r="D170" s="1" t="s">
        <v>16</v>
      </c>
      <c r="E170" s="1">
        <f t="shared" si="14"/>
        <v>9</v>
      </c>
      <c r="F170">
        <v>32</v>
      </c>
      <c r="H170">
        <f t="shared" si="10"/>
        <v>1.0000000000000001E-5</v>
      </c>
      <c r="I170">
        <v>5</v>
      </c>
      <c r="J170">
        <v>20</v>
      </c>
      <c r="K170">
        <f t="shared" si="11"/>
        <v>32</v>
      </c>
      <c r="L170">
        <f t="shared" si="12"/>
        <v>160000000</v>
      </c>
    </row>
    <row r="171" spans="1:12">
      <c r="A171" t="s">
        <v>23</v>
      </c>
      <c r="B171" t="s">
        <v>8</v>
      </c>
      <c r="C171">
        <f t="shared" si="13"/>
        <v>9</v>
      </c>
      <c r="D171" s="1" t="s">
        <v>16</v>
      </c>
      <c r="E171" s="1">
        <f t="shared" si="14"/>
        <v>10</v>
      </c>
      <c r="F171">
        <v>25</v>
      </c>
      <c r="H171">
        <f t="shared" si="10"/>
        <v>1.0000000000000001E-5</v>
      </c>
      <c r="I171">
        <v>5</v>
      </c>
      <c r="J171">
        <v>20</v>
      </c>
      <c r="K171">
        <f t="shared" si="11"/>
        <v>25</v>
      </c>
      <c r="L171">
        <f t="shared" si="12"/>
        <v>124999999.99999999</v>
      </c>
    </row>
    <row r="172" spans="1:12">
      <c r="A172" t="s">
        <v>23</v>
      </c>
      <c r="B172" t="s">
        <v>8</v>
      </c>
      <c r="C172">
        <f t="shared" si="13"/>
        <v>9.5</v>
      </c>
      <c r="D172" s="1" t="s">
        <v>16</v>
      </c>
      <c r="E172" s="1">
        <f t="shared" si="14"/>
        <v>1</v>
      </c>
      <c r="F172">
        <v>26</v>
      </c>
      <c r="H172">
        <f t="shared" si="10"/>
        <v>1E-3</v>
      </c>
      <c r="I172">
        <v>3</v>
      </c>
      <c r="J172">
        <v>20</v>
      </c>
      <c r="K172">
        <f t="shared" si="11"/>
        <v>26</v>
      </c>
      <c r="L172">
        <f t="shared" si="12"/>
        <v>1300000</v>
      </c>
    </row>
    <row r="173" spans="1:12">
      <c r="A173" t="s">
        <v>23</v>
      </c>
      <c r="B173" t="s">
        <v>8</v>
      </c>
      <c r="C173">
        <f t="shared" si="13"/>
        <v>9.5</v>
      </c>
      <c r="D173" s="1" t="s">
        <v>16</v>
      </c>
      <c r="E173" s="1">
        <f t="shared" si="14"/>
        <v>2</v>
      </c>
      <c r="F173">
        <v>5</v>
      </c>
      <c r="H173">
        <f t="shared" si="10"/>
        <v>0.01</v>
      </c>
      <c r="I173">
        <v>2</v>
      </c>
      <c r="J173">
        <v>20</v>
      </c>
      <c r="K173">
        <f t="shared" si="11"/>
        <v>5</v>
      </c>
      <c r="L173">
        <f t="shared" si="12"/>
        <v>25000</v>
      </c>
    </row>
    <row r="174" spans="1:12">
      <c r="A174" t="s">
        <v>23</v>
      </c>
      <c r="B174" t="s">
        <v>8</v>
      </c>
      <c r="C174">
        <f t="shared" si="13"/>
        <v>9.5</v>
      </c>
      <c r="D174" s="1" t="s">
        <v>16</v>
      </c>
      <c r="E174" s="1">
        <f t="shared" si="14"/>
        <v>3</v>
      </c>
      <c r="F174">
        <v>4</v>
      </c>
      <c r="H174">
        <f t="shared" si="10"/>
        <v>1E-4</v>
      </c>
      <c r="I174">
        <v>4</v>
      </c>
      <c r="J174">
        <v>20</v>
      </c>
      <c r="K174">
        <f t="shared" si="11"/>
        <v>4</v>
      </c>
      <c r="L174">
        <f t="shared" si="12"/>
        <v>1999999.9999999998</v>
      </c>
    </row>
    <row r="175" spans="1:12">
      <c r="A175" t="s">
        <v>23</v>
      </c>
      <c r="B175" t="s">
        <v>8</v>
      </c>
      <c r="C175">
        <f t="shared" si="13"/>
        <v>9.5</v>
      </c>
      <c r="D175" s="1" t="s">
        <v>16</v>
      </c>
      <c r="E175" s="1">
        <f t="shared" si="14"/>
        <v>4</v>
      </c>
      <c r="F175">
        <v>29</v>
      </c>
      <c r="H175">
        <f t="shared" si="10"/>
        <v>1E-3</v>
      </c>
      <c r="I175">
        <v>3</v>
      </c>
      <c r="J175">
        <v>20</v>
      </c>
      <c r="K175">
        <f t="shared" si="11"/>
        <v>29</v>
      </c>
      <c r="L175">
        <f t="shared" si="12"/>
        <v>1449999.9999999998</v>
      </c>
    </row>
    <row r="176" spans="1:12">
      <c r="A176" t="s">
        <v>23</v>
      </c>
      <c r="B176" t="s">
        <v>8</v>
      </c>
      <c r="C176">
        <f t="shared" si="13"/>
        <v>9.5</v>
      </c>
      <c r="D176" s="1" t="s">
        <v>16</v>
      </c>
      <c r="E176" s="1">
        <f t="shared" si="14"/>
        <v>5</v>
      </c>
      <c r="F176">
        <v>3</v>
      </c>
      <c r="H176">
        <f t="shared" si="10"/>
        <v>1E-4</v>
      </c>
      <c r="I176">
        <v>4</v>
      </c>
      <c r="J176">
        <v>20</v>
      </c>
      <c r="K176">
        <f t="shared" si="11"/>
        <v>3</v>
      </c>
      <c r="L176">
        <f t="shared" si="12"/>
        <v>1499999.9999999998</v>
      </c>
    </row>
    <row r="177" spans="1:12">
      <c r="A177" t="s">
        <v>23</v>
      </c>
      <c r="B177" t="s">
        <v>8</v>
      </c>
      <c r="C177">
        <f t="shared" si="13"/>
        <v>9.5</v>
      </c>
      <c r="D177" s="1" t="s">
        <v>16</v>
      </c>
      <c r="E177" s="1">
        <f t="shared" si="14"/>
        <v>6</v>
      </c>
      <c r="F177">
        <v>12</v>
      </c>
      <c r="H177">
        <f t="shared" si="10"/>
        <v>1E-3</v>
      </c>
      <c r="I177">
        <v>3</v>
      </c>
      <c r="J177">
        <v>20</v>
      </c>
      <c r="K177">
        <f t="shared" si="11"/>
        <v>12</v>
      </c>
      <c r="L177">
        <f t="shared" si="12"/>
        <v>600000</v>
      </c>
    </row>
    <row r="178" spans="1:12">
      <c r="A178" t="s">
        <v>23</v>
      </c>
      <c r="B178" t="s">
        <v>8</v>
      </c>
      <c r="C178">
        <f t="shared" si="13"/>
        <v>9.5</v>
      </c>
      <c r="D178" s="1" t="s">
        <v>16</v>
      </c>
      <c r="E178" s="1">
        <f t="shared" si="14"/>
        <v>7</v>
      </c>
      <c r="F178">
        <v>30</v>
      </c>
      <c r="H178">
        <f t="shared" si="10"/>
        <v>1E-3</v>
      </c>
      <c r="I178">
        <v>3</v>
      </c>
      <c r="J178">
        <v>20</v>
      </c>
      <c r="K178">
        <f t="shared" si="11"/>
        <v>30</v>
      </c>
      <c r="L178">
        <f t="shared" si="12"/>
        <v>1499999.9999999998</v>
      </c>
    </row>
    <row r="179" spans="1:12">
      <c r="A179" t="s">
        <v>23</v>
      </c>
      <c r="B179" t="s">
        <v>8</v>
      </c>
      <c r="C179">
        <f t="shared" si="13"/>
        <v>9.5</v>
      </c>
      <c r="D179" s="1" t="s">
        <v>16</v>
      </c>
      <c r="E179" s="1">
        <f t="shared" si="14"/>
        <v>8</v>
      </c>
      <c r="F179">
        <v>17</v>
      </c>
      <c r="H179">
        <f t="shared" si="10"/>
        <v>1E-4</v>
      </c>
      <c r="I179">
        <v>4</v>
      </c>
      <c r="J179">
        <v>20</v>
      </c>
      <c r="K179">
        <f t="shared" si="11"/>
        <v>17</v>
      </c>
      <c r="L179">
        <f t="shared" si="12"/>
        <v>8499999.9999999981</v>
      </c>
    </row>
    <row r="180" spans="1:12">
      <c r="A180" t="s">
        <v>23</v>
      </c>
      <c r="B180" t="s">
        <v>8</v>
      </c>
      <c r="C180">
        <f t="shared" si="13"/>
        <v>9.5</v>
      </c>
      <c r="D180" s="1" t="s">
        <v>16</v>
      </c>
      <c r="E180" s="1">
        <f t="shared" si="14"/>
        <v>9</v>
      </c>
      <c r="F180">
        <v>6</v>
      </c>
      <c r="H180">
        <f t="shared" si="10"/>
        <v>1E-4</v>
      </c>
      <c r="I180">
        <v>4</v>
      </c>
      <c r="J180">
        <v>20</v>
      </c>
      <c r="K180">
        <f t="shared" si="11"/>
        <v>6</v>
      </c>
      <c r="L180">
        <f t="shared" si="12"/>
        <v>2999999.9999999995</v>
      </c>
    </row>
    <row r="181" spans="1:12">
      <c r="A181" t="s">
        <v>23</v>
      </c>
      <c r="B181" t="s">
        <v>8</v>
      </c>
      <c r="C181">
        <f t="shared" si="13"/>
        <v>9.5</v>
      </c>
      <c r="D181" s="1" t="s">
        <v>16</v>
      </c>
      <c r="E181" s="1">
        <f t="shared" si="14"/>
        <v>10</v>
      </c>
      <c r="F181">
        <v>18</v>
      </c>
      <c r="H181">
        <f t="shared" si="10"/>
        <v>1E-4</v>
      </c>
      <c r="I181">
        <v>4</v>
      </c>
      <c r="J181">
        <v>20</v>
      </c>
      <c r="K181">
        <f t="shared" si="11"/>
        <v>18</v>
      </c>
      <c r="L181">
        <f t="shared" si="12"/>
        <v>8999999.9999999981</v>
      </c>
    </row>
    <row r="182" spans="1:12">
      <c r="A182" t="s">
        <v>23</v>
      </c>
      <c r="B182" t="s">
        <v>8</v>
      </c>
      <c r="C182">
        <f t="shared" si="13"/>
        <v>10</v>
      </c>
      <c r="D182" s="1" t="s">
        <v>16</v>
      </c>
      <c r="E182" s="1">
        <f t="shared" si="14"/>
        <v>1</v>
      </c>
      <c r="F182">
        <v>45</v>
      </c>
      <c r="H182">
        <f t="shared" si="10"/>
        <v>1.0000000000000001E-5</v>
      </c>
      <c r="I182">
        <v>5</v>
      </c>
      <c r="J182">
        <v>20</v>
      </c>
      <c r="K182">
        <f t="shared" si="11"/>
        <v>45</v>
      </c>
      <c r="L182">
        <f t="shared" si="12"/>
        <v>224999999.99999997</v>
      </c>
    </row>
    <row r="183" spans="1:12">
      <c r="A183" t="s">
        <v>23</v>
      </c>
      <c r="B183" t="s">
        <v>8</v>
      </c>
      <c r="C183">
        <f t="shared" si="13"/>
        <v>10</v>
      </c>
      <c r="D183" s="1" t="s">
        <v>16</v>
      </c>
      <c r="E183" s="1">
        <f t="shared" si="14"/>
        <v>2</v>
      </c>
      <c r="F183">
        <v>36</v>
      </c>
      <c r="H183">
        <f t="shared" si="10"/>
        <v>1.0000000000000001E-5</v>
      </c>
      <c r="I183">
        <v>5</v>
      </c>
      <c r="J183">
        <v>20</v>
      </c>
      <c r="K183">
        <f t="shared" si="11"/>
        <v>36</v>
      </c>
      <c r="L183">
        <f t="shared" si="12"/>
        <v>179999999.99999997</v>
      </c>
    </row>
    <row r="184" spans="1:12">
      <c r="A184" t="s">
        <v>23</v>
      </c>
      <c r="B184" t="s">
        <v>8</v>
      </c>
      <c r="C184">
        <f t="shared" si="13"/>
        <v>10</v>
      </c>
      <c r="D184" s="1" t="s">
        <v>16</v>
      </c>
      <c r="E184" s="1">
        <f t="shared" si="14"/>
        <v>3</v>
      </c>
      <c r="F184">
        <v>48</v>
      </c>
      <c r="H184">
        <f t="shared" si="10"/>
        <v>1.0000000000000001E-5</v>
      </c>
      <c r="I184">
        <v>5</v>
      </c>
      <c r="J184">
        <v>20</v>
      </c>
      <c r="K184">
        <f t="shared" si="11"/>
        <v>48</v>
      </c>
      <c r="L184">
        <f t="shared" si="12"/>
        <v>239999999.99999997</v>
      </c>
    </row>
    <row r="185" spans="1:12">
      <c r="A185" t="s">
        <v>23</v>
      </c>
      <c r="B185" t="s">
        <v>8</v>
      </c>
      <c r="C185">
        <f t="shared" si="13"/>
        <v>10</v>
      </c>
      <c r="D185" s="1" t="s">
        <v>16</v>
      </c>
      <c r="E185" s="1">
        <f t="shared" si="14"/>
        <v>4</v>
      </c>
      <c r="F185">
        <v>38</v>
      </c>
      <c r="H185">
        <f t="shared" si="10"/>
        <v>1.0000000000000001E-5</v>
      </c>
      <c r="I185">
        <v>5</v>
      </c>
      <c r="J185">
        <v>20</v>
      </c>
      <c r="K185">
        <f t="shared" si="11"/>
        <v>38</v>
      </c>
      <c r="L185">
        <f t="shared" si="12"/>
        <v>189999999.99999997</v>
      </c>
    </row>
    <row r="186" spans="1:12">
      <c r="A186" t="s">
        <v>23</v>
      </c>
      <c r="B186" t="s">
        <v>8</v>
      </c>
      <c r="C186">
        <f t="shared" si="13"/>
        <v>10</v>
      </c>
      <c r="D186" s="1" t="s">
        <v>16</v>
      </c>
      <c r="E186" s="1">
        <f t="shared" si="14"/>
        <v>5</v>
      </c>
      <c r="F186">
        <v>51</v>
      </c>
      <c r="H186">
        <f t="shared" si="10"/>
        <v>1.0000000000000001E-5</v>
      </c>
      <c r="I186">
        <v>5</v>
      </c>
      <c r="J186">
        <v>20</v>
      </c>
      <c r="K186">
        <f t="shared" si="11"/>
        <v>51</v>
      </c>
      <c r="L186">
        <f t="shared" si="12"/>
        <v>254999999.99999997</v>
      </c>
    </row>
    <row r="187" spans="1:12">
      <c r="A187" t="s">
        <v>23</v>
      </c>
      <c r="B187" t="s">
        <v>8</v>
      </c>
      <c r="C187">
        <f t="shared" si="13"/>
        <v>10</v>
      </c>
      <c r="D187" s="1" t="s">
        <v>16</v>
      </c>
      <c r="E187" s="1">
        <f t="shared" si="14"/>
        <v>6</v>
      </c>
      <c r="F187">
        <v>22</v>
      </c>
      <c r="H187">
        <f t="shared" si="10"/>
        <v>1.0000000000000001E-5</v>
      </c>
      <c r="I187">
        <v>5</v>
      </c>
      <c r="J187">
        <v>20</v>
      </c>
      <c r="K187">
        <f t="shared" si="11"/>
        <v>22</v>
      </c>
      <c r="L187">
        <f t="shared" si="12"/>
        <v>109999999.99999999</v>
      </c>
    </row>
    <row r="188" spans="1:12">
      <c r="A188" t="s">
        <v>23</v>
      </c>
      <c r="B188" t="s">
        <v>8</v>
      </c>
      <c r="C188">
        <f t="shared" si="13"/>
        <v>10</v>
      </c>
      <c r="D188" s="1" t="s">
        <v>16</v>
      </c>
      <c r="E188" s="1">
        <f t="shared" si="14"/>
        <v>7</v>
      </c>
      <c r="F188">
        <v>56</v>
      </c>
      <c r="H188">
        <f t="shared" si="10"/>
        <v>1.0000000000000001E-5</v>
      </c>
      <c r="I188">
        <v>5</v>
      </c>
      <c r="J188">
        <v>20</v>
      </c>
      <c r="K188">
        <f t="shared" si="11"/>
        <v>56</v>
      </c>
      <c r="L188">
        <f t="shared" si="12"/>
        <v>280000000</v>
      </c>
    </row>
    <row r="189" spans="1:12">
      <c r="A189" t="s">
        <v>23</v>
      </c>
      <c r="B189" t="s">
        <v>8</v>
      </c>
      <c r="C189">
        <f t="shared" si="13"/>
        <v>10</v>
      </c>
      <c r="D189" s="1" t="s">
        <v>16</v>
      </c>
      <c r="E189" s="1">
        <f t="shared" si="14"/>
        <v>8</v>
      </c>
      <c r="F189">
        <v>35</v>
      </c>
      <c r="H189">
        <f t="shared" si="10"/>
        <v>1.0000000000000001E-5</v>
      </c>
      <c r="I189">
        <v>5</v>
      </c>
      <c r="J189">
        <v>20</v>
      </c>
      <c r="K189">
        <f t="shared" si="11"/>
        <v>35</v>
      </c>
      <c r="L189">
        <f t="shared" si="12"/>
        <v>174999999.99999997</v>
      </c>
    </row>
    <row r="190" spans="1:12">
      <c r="A190" t="s">
        <v>23</v>
      </c>
      <c r="B190" t="s">
        <v>8</v>
      </c>
      <c r="C190">
        <f t="shared" si="13"/>
        <v>10</v>
      </c>
      <c r="D190" s="1" t="s">
        <v>16</v>
      </c>
      <c r="E190" s="1">
        <f t="shared" si="14"/>
        <v>9</v>
      </c>
      <c r="F190">
        <v>25</v>
      </c>
      <c r="H190">
        <f t="shared" si="10"/>
        <v>1.0000000000000001E-5</v>
      </c>
      <c r="I190">
        <v>5</v>
      </c>
      <c r="J190">
        <v>20</v>
      </c>
      <c r="K190">
        <f t="shared" si="11"/>
        <v>25</v>
      </c>
      <c r="L190">
        <f t="shared" si="12"/>
        <v>124999999.99999999</v>
      </c>
    </row>
    <row r="191" spans="1:12">
      <c r="A191" t="s">
        <v>23</v>
      </c>
      <c r="B191" t="s">
        <v>8</v>
      </c>
      <c r="C191">
        <f t="shared" si="13"/>
        <v>10</v>
      </c>
      <c r="D191" s="1" t="s">
        <v>16</v>
      </c>
      <c r="E191" s="1">
        <f t="shared" si="14"/>
        <v>10</v>
      </c>
      <c r="F191">
        <v>36</v>
      </c>
      <c r="H191">
        <f t="shared" si="10"/>
        <v>1.0000000000000001E-5</v>
      </c>
      <c r="I191">
        <v>5</v>
      </c>
      <c r="J191">
        <v>20</v>
      </c>
      <c r="K191">
        <f t="shared" si="11"/>
        <v>36</v>
      </c>
      <c r="L191">
        <f t="shared" si="12"/>
        <v>179999999.99999997</v>
      </c>
    </row>
    <row r="192" spans="1:12">
      <c r="A192" t="s">
        <v>23</v>
      </c>
      <c r="B192" t="s">
        <v>8</v>
      </c>
      <c r="C192">
        <f t="shared" si="13"/>
        <v>10.5</v>
      </c>
      <c r="D192" s="1" t="s">
        <v>16</v>
      </c>
      <c r="E192" s="1">
        <f t="shared" si="14"/>
        <v>1</v>
      </c>
      <c r="F192">
        <v>11</v>
      </c>
      <c r="H192">
        <f t="shared" si="10"/>
        <v>1E-4</v>
      </c>
      <c r="I192">
        <v>4</v>
      </c>
      <c r="J192">
        <v>20</v>
      </c>
      <c r="K192">
        <f t="shared" si="11"/>
        <v>11</v>
      </c>
      <c r="L192">
        <f t="shared" si="12"/>
        <v>5499999.9999999991</v>
      </c>
    </row>
    <row r="193" spans="1:12">
      <c r="A193" t="s">
        <v>23</v>
      </c>
      <c r="B193" t="s">
        <v>8</v>
      </c>
      <c r="C193">
        <f t="shared" si="13"/>
        <v>10.5</v>
      </c>
      <c r="D193" s="1" t="s">
        <v>16</v>
      </c>
      <c r="E193" s="1">
        <f t="shared" si="14"/>
        <v>2</v>
      </c>
      <c r="F193">
        <v>21</v>
      </c>
      <c r="H193">
        <f t="shared" si="10"/>
        <v>1E-4</v>
      </c>
      <c r="I193">
        <v>4</v>
      </c>
      <c r="J193">
        <v>20</v>
      </c>
      <c r="K193">
        <f t="shared" si="11"/>
        <v>21</v>
      </c>
      <c r="L193">
        <f t="shared" si="12"/>
        <v>10499999.999999998</v>
      </c>
    </row>
    <row r="194" spans="1:12">
      <c r="A194" t="s">
        <v>23</v>
      </c>
      <c r="B194" t="s">
        <v>8</v>
      </c>
      <c r="C194">
        <f t="shared" si="13"/>
        <v>10.5</v>
      </c>
      <c r="D194" s="1" t="s">
        <v>16</v>
      </c>
      <c r="E194" s="1">
        <f t="shared" si="14"/>
        <v>3</v>
      </c>
      <c r="F194">
        <v>48</v>
      </c>
      <c r="H194">
        <f t="shared" ref="H194:H257" si="15">1/(10^I194)</f>
        <v>1E-3</v>
      </c>
      <c r="I194">
        <v>3</v>
      </c>
      <c r="J194">
        <v>20</v>
      </c>
      <c r="K194">
        <f t="shared" si="11"/>
        <v>48</v>
      </c>
      <c r="L194">
        <f t="shared" si="12"/>
        <v>2400000</v>
      </c>
    </row>
    <row r="195" spans="1:12">
      <c r="A195" t="s">
        <v>23</v>
      </c>
      <c r="B195" t="s">
        <v>8</v>
      </c>
      <c r="C195">
        <f t="shared" si="13"/>
        <v>10.5</v>
      </c>
      <c r="D195" s="1" t="s">
        <v>16</v>
      </c>
      <c r="E195" s="1">
        <f t="shared" si="14"/>
        <v>4</v>
      </c>
      <c r="F195">
        <v>21</v>
      </c>
      <c r="H195">
        <f t="shared" si="15"/>
        <v>1E-3</v>
      </c>
      <c r="I195">
        <v>3</v>
      </c>
      <c r="J195">
        <v>20</v>
      </c>
      <c r="K195">
        <f t="shared" ref="K195:K258" si="16">F195</f>
        <v>21</v>
      </c>
      <c r="L195">
        <f t="shared" ref="L195:L258" si="17">K195/(H195*(J195/1000))</f>
        <v>1050000</v>
      </c>
    </row>
    <row r="196" spans="1:12">
      <c r="A196" t="s">
        <v>23</v>
      </c>
      <c r="B196" t="s">
        <v>8</v>
      </c>
      <c r="C196">
        <f t="shared" si="13"/>
        <v>10.5</v>
      </c>
      <c r="D196" s="1" t="s">
        <v>16</v>
      </c>
      <c r="E196" s="1">
        <f t="shared" si="14"/>
        <v>5</v>
      </c>
      <c r="F196">
        <v>11</v>
      </c>
      <c r="H196">
        <f t="shared" si="15"/>
        <v>1E-4</v>
      </c>
      <c r="I196">
        <v>4</v>
      </c>
      <c r="J196">
        <v>20</v>
      </c>
      <c r="K196">
        <f t="shared" si="16"/>
        <v>11</v>
      </c>
      <c r="L196">
        <f t="shared" si="17"/>
        <v>5499999.9999999991</v>
      </c>
    </row>
    <row r="197" spans="1:12">
      <c r="A197" t="s">
        <v>23</v>
      </c>
      <c r="B197" t="s">
        <v>8</v>
      </c>
      <c r="C197">
        <f t="shared" si="13"/>
        <v>10.5</v>
      </c>
      <c r="D197" s="1" t="s">
        <v>16</v>
      </c>
      <c r="E197" s="1">
        <f t="shared" si="14"/>
        <v>6</v>
      </c>
      <c r="F197">
        <v>33</v>
      </c>
      <c r="H197">
        <f t="shared" si="15"/>
        <v>1E-3</v>
      </c>
      <c r="I197">
        <v>3</v>
      </c>
      <c r="J197">
        <v>20</v>
      </c>
      <c r="K197">
        <f t="shared" si="16"/>
        <v>33</v>
      </c>
      <c r="L197">
        <f t="shared" si="17"/>
        <v>1649999.9999999998</v>
      </c>
    </row>
    <row r="198" spans="1:12">
      <c r="A198" t="s">
        <v>23</v>
      </c>
      <c r="B198" t="s">
        <v>8</v>
      </c>
      <c r="C198">
        <f t="shared" si="13"/>
        <v>10.5</v>
      </c>
      <c r="D198" s="1" t="s">
        <v>16</v>
      </c>
      <c r="E198" s="1">
        <f t="shared" si="14"/>
        <v>7</v>
      </c>
      <c r="F198">
        <v>62</v>
      </c>
      <c r="H198">
        <f t="shared" si="15"/>
        <v>1E-3</v>
      </c>
      <c r="I198">
        <v>3</v>
      </c>
      <c r="J198">
        <v>20</v>
      </c>
      <c r="K198">
        <f t="shared" si="16"/>
        <v>62</v>
      </c>
      <c r="L198">
        <f t="shared" si="17"/>
        <v>3099999.9999999995</v>
      </c>
    </row>
    <row r="199" spans="1:12">
      <c r="A199" t="s">
        <v>23</v>
      </c>
      <c r="B199" t="s">
        <v>8</v>
      </c>
      <c r="C199">
        <f t="shared" si="13"/>
        <v>10.5</v>
      </c>
      <c r="D199" s="1" t="s">
        <v>16</v>
      </c>
      <c r="E199" s="1">
        <f t="shared" si="14"/>
        <v>8</v>
      </c>
      <c r="F199">
        <v>5</v>
      </c>
      <c r="H199">
        <f t="shared" si="15"/>
        <v>1.0000000000000001E-5</v>
      </c>
      <c r="I199">
        <v>5</v>
      </c>
      <c r="J199">
        <v>20</v>
      </c>
      <c r="K199">
        <f t="shared" si="16"/>
        <v>5</v>
      </c>
      <c r="L199">
        <f t="shared" si="17"/>
        <v>24999999.999999996</v>
      </c>
    </row>
    <row r="200" spans="1:12">
      <c r="A200" t="s">
        <v>23</v>
      </c>
      <c r="B200" t="s">
        <v>8</v>
      </c>
      <c r="C200">
        <f t="shared" si="13"/>
        <v>10.5</v>
      </c>
      <c r="D200" s="1" t="s">
        <v>16</v>
      </c>
      <c r="E200" s="1">
        <f t="shared" si="14"/>
        <v>9</v>
      </c>
      <c r="F200">
        <v>48</v>
      </c>
      <c r="H200">
        <f t="shared" si="15"/>
        <v>1E-3</v>
      </c>
      <c r="I200">
        <v>3</v>
      </c>
      <c r="J200">
        <v>20</v>
      </c>
      <c r="K200">
        <f t="shared" si="16"/>
        <v>48</v>
      </c>
      <c r="L200">
        <f t="shared" si="17"/>
        <v>2400000</v>
      </c>
    </row>
    <row r="201" spans="1:12">
      <c r="A201" t="s">
        <v>23</v>
      </c>
      <c r="B201" t="s">
        <v>8</v>
      </c>
      <c r="C201">
        <f t="shared" si="13"/>
        <v>10.5</v>
      </c>
      <c r="D201" s="1" t="s">
        <v>16</v>
      </c>
      <c r="E201" s="1">
        <f t="shared" si="14"/>
        <v>10</v>
      </c>
      <c r="F201">
        <v>15</v>
      </c>
      <c r="H201">
        <f t="shared" si="15"/>
        <v>1E-4</v>
      </c>
      <c r="I201">
        <v>4</v>
      </c>
      <c r="J201">
        <v>20</v>
      </c>
      <c r="K201">
        <f t="shared" si="16"/>
        <v>15</v>
      </c>
      <c r="L201">
        <f t="shared" si="17"/>
        <v>7499999.9999999991</v>
      </c>
    </row>
    <row r="202" spans="1:12">
      <c r="A202" t="s">
        <v>23</v>
      </c>
      <c r="B202" t="s">
        <v>8</v>
      </c>
      <c r="C202">
        <f t="shared" si="13"/>
        <v>11</v>
      </c>
      <c r="D202" s="1" t="s">
        <v>16</v>
      </c>
      <c r="E202" s="1">
        <f t="shared" si="14"/>
        <v>1</v>
      </c>
      <c r="F202">
        <v>40</v>
      </c>
      <c r="H202">
        <f t="shared" si="15"/>
        <v>1.0000000000000001E-5</v>
      </c>
      <c r="I202">
        <v>5</v>
      </c>
      <c r="J202">
        <v>20</v>
      </c>
      <c r="K202">
        <f t="shared" si="16"/>
        <v>40</v>
      </c>
      <c r="L202">
        <f t="shared" si="17"/>
        <v>199999999.99999997</v>
      </c>
    </row>
    <row r="203" spans="1:12">
      <c r="A203" t="s">
        <v>23</v>
      </c>
      <c r="B203" t="s">
        <v>8</v>
      </c>
      <c r="C203">
        <f t="shared" si="13"/>
        <v>11</v>
      </c>
      <c r="D203" s="1" t="s">
        <v>16</v>
      </c>
      <c r="E203" s="1">
        <f t="shared" si="14"/>
        <v>2</v>
      </c>
      <c r="F203">
        <v>46</v>
      </c>
      <c r="H203">
        <f t="shared" si="15"/>
        <v>1.0000000000000001E-5</v>
      </c>
      <c r="I203">
        <v>5</v>
      </c>
      <c r="J203">
        <v>20</v>
      </c>
      <c r="K203">
        <f t="shared" si="16"/>
        <v>46</v>
      </c>
      <c r="L203">
        <f t="shared" si="17"/>
        <v>229999999.99999997</v>
      </c>
    </row>
    <row r="204" spans="1:12">
      <c r="A204" t="s">
        <v>23</v>
      </c>
      <c r="B204" t="s">
        <v>8</v>
      </c>
      <c r="C204">
        <f t="shared" si="13"/>
        <v>11</v>
      </c>
      <c r="D204" s="1" t="s">
        <v>16</v>
      </c>
      <c r="E204" s="1">
        <f t="shared" si="14"/>
        <v>3</v>
      </c>
      <c r="F204">
        <v>40</v>
      </c>
      <c r="H204">
        <f t="shared" si="15"/>
        <v>1.0000000000000001E-5</v>
      </c>
      <c r="I204">
        <v>5</v>
      </c>
      <c r="J204">
        <v>20</v>
      </c>
      <c r="K204">
        <f t="shared" si="16"/>
        <v>40</v>
      </c>
      <c r="L204">
        <f t="shared" si="17"/>
        <v>199999999.99999997</v>
      </c>
    </row>
    <row r="205" spans="1:12">
      <c r="A205" t="s">
        <v>23</v>
      </c>
      <c r="B205" t="s">
        <v>8</v>
      </c>
      <c r="C205">
        <f t="shared" ref="C205:C268" si="18">C195+0.5</f>
        <v>11</v>
      </c>
      <c r="D205" s="1" t="s">
        <v>16</v>
      </c>
      <c r="E205" s="1">
        <f t="shared" ref="E205:E268" si="19">E195</f>
        <v>4</v>
      </c>
      <c r="F205">
        <v>27</v>
      </c>
      <c r="H205">
        <f t="shared" si="15"/>
        <v>1.0000000000000001E-5</v>
      </c>
      <c r="I205">
        <v>5</v>
      </c>
      <c r="J205">
        <v>20</v>
      </c>
      <c r="K205">
        <f t="shared" si="16"/>
        <v>27</v>
      </c>
      <c r="L205">
        <f t="shared" si="17"/>
        <v>135000000</v>
      </c>
    </row>
    <row r="206" spans="1:12">
      <c r="A206" t="s">
        <v>23</v>
      </c>
      <c r="B206" t="s">
        <v>8</v>
      </c>
      <c r="C206">
        <f t="shared" si="18"/>
        <v>11</v>
      </c>
      <c r="D206" s="1" t="s">
        <v>16</v>
      </c>
      <c r="E206" s="1">
        <f t="shared" si="19"/>
        <v>5</v>
      </c>
      <c r="F206">
        <v>40</v>
      </c>
      <c r="H206">
        <f t="shared" si="15"/>
        <v>1.0000000000000001E-5</v>
      </c>
      <c r="I206">
        <v>5</v>
      </c>
      <c r="J206">
        <v>20</v>
      </c>
      <c r="K206">
        <f t="shared" si="16"/>
        <v>40</v>
      </c>
      <c r="L206">
        <f t="shared" si="17"/>
        <v>199999999.99999997</v>
      </c>
    </row>
    <row r="207" spans="1:12">
      <c r="A207" t="s">
        <v>23</v>
      </c>
      <c r="B207" t="s">
        <v>8</v>
      </c>
      <c r="C207">
        <f t="shared" si="18"/>
        <v>11</v>
      </c>
      <c r="D207" s="1" t="s">
        <v>16</v>
      </c>
      <c r="E207" s="1">
        <f t="shared" si="19"/>
        <v>6</v>
      </c>
      <c r="F207">
        <v>30</v>
      </c>
      <c r="H207">
        <f t="shared" si="15"/>
        <v>1.0000000000000001E-5</v>
      </c>
      <c r="I207">
        <v>5</v>
      </c>
      <c r="J207">
        <v>20</v>
      </c>
      <c r="K207">
        <f t="shared" si="16"/>
        <v>30</v>
      </c>
      <c r="L207">
        <f t="shared" si="17"/>
        <v>150000000</v>
      </c>
    </row>
    <row r="208" spans="1:12">
      <c r="A208" t="s">
        <v>23</v>
      </c>
      <c r="B208" t="s">
        <v>8</v>
      </c>
      <c r="C208">
        <f t="shared" si="18"/>
        <v>11</v>
      </c>
      <c r="D208" s="1" t="s">
        <v>16</v>
      </c>
      <c r="E208" s="1">
        <f t="shared" si="19"/>
        <v>7</v>
      </c>
      <c r="F208">
        <v>48</v>
      </c>
      <c r="H208">
        <f t="shared" si="15"/>
        <v>1.0000000000000001E-5</v>
      </c>
      <c r="I208">
        <v>5</v>
      </c>
      <c r="J208">
        <v>20</v>
      </c>
      <c r="K208">
        <f t="shared" si="16"/>
        <v>48</v>
      </c>
      <c r="L208">
        <f t="shared" si="17"/>
        <v>239999999.99999997</v>
      </c>
    </row>
    <row r="209" spans="1:12">
      <c r="A209" t="s">
        <v>23</v>
      </c>
      <c r="B209" t="s">
        <v>8</v>
      </c>
      <c r="C209">
        <f t="shared" si="18"/>
        <v>11</v>
      </c>
      <c r="D209" s="1" t="s">
        <v>16</v>
      </c>
      <c r="E209" s="1">
        <f t="shared" si="19"/>
        <v>8</v>
      </c>
      <c r="F209">
        <v>60</v>
      </c>
      <c r="H209">
        <f t="shared" si="15"/>
        <v>1.0000000000000001E-5</v>
      </c>
      <c r="I209">
        <v>5</v>
      </c>
      <c r="J209">
        <v>20</v>
      </c>
      <c r="K209">
        <f t="shared" si="16"/>
        <v>60</v>
      </c>
      <c r="L209">
        <f t="shared" si="17"/>
        <v>300000000</v>
      </c>
    </row>
    <row r="210" spans="1:12">
      <c r="A210" t="s">
        <v>23</v>
      </c>
      <c r="B210" t="s">
        <v>8</v>
      </c>
      <c r="C210">
        <f t="shared" si="18"/>
        <v>11</v>
      </c>
      <c r="D210" s="1" t="s">
        <v>16</v>
      </c>
      <c r="E210" s="1">
        <f t="shared" si="19"/>
        <v>9</v>
      </c>
      <c r="F210">
        <v>65</v>
      </c>
      <c r="H210">
        <f t="shared" si="15"/>
        <v>1.0000000000000001E-5</v>
      </c>
      <c r="I210">
        <v>5</v>
      </c>
      <c r="J210">
        <v>20</v>
      </c>
      <c r="K210">
        <f t="shared" si="16"/>
        <v>65</v>
      </c>
      <c r="L210">
        <f t="shared" si="17"/>
        <v>325000000</v>
      </c>
    </row>
    <row r="211" spans="1:12">
      <c r="A211" t="s">
        <v>23</v>
      </c>
      <c r="B211" t="s">
        <v>8</v>
      </c>
      <c r="C211">
        <f t="shared" si="18"/>
        <v>11</v>
      </c>
      <c r="D211" s="1" t="s">
        <v>16</v>
      </c>
      <c r="E211" s="1">
        <f t="shared" si="19"/>
        <v>10</v>
      </c>
      <c r="F211">
        <v>28</v>
      </c>
      <c r="H211">
        <f t="shared" si="15"/>
        <v>1.0000000000000001E-5</v>
      </c>
      <c r="I211">
        <v>5</v>
      </c>
      <c r="J211">
        <v>20</v>
      </c>
      <c r="K211">
        <f t="shared" si="16"/>
        <v>28</v>
      </c>
      <c r="L211">
        <f t="shared" si="17"/>
        <v>140000000</v>
      </c>
    </row>
    <row r="212" spans="1:12">
      <c r="A212" t="s">
        <v>23</v>
      </c>
      <c r="B212" t="s">
        <v>8</v>
      </c>
      <c r="C212">
        <f t="shared" si="18"/>
        <v>11.5</v>
      </c>
      <c r="D212" s="1" t="s">
        <v>16</v>
      </c>
      <c r="E212" s="1">
        <f t="shared" si="19"/>
        <v>1</v>
      </c>
      <c r="F212">
        <v>47</v>
      </c>
      <c r="H212">
        <f t="shared" si="15"/>
        <v>1E-3</v>
      </c>
      <c r="I212">
        <v>3</v>
      </c>
      <c r="J212">
        <v>20</v>
      </c>
      <c r="K212">
        <f t="shared" si="16"/>
        <v>47</v>
      </c>
      <c r="L212">
        <f t="shared" si="17"/>
        <v>2350000</v>
      </c>
    </row>
    <row r="213" spans="1:12">
      <c r="A213" t="s">
        <v>23</v>
      </c>
      <c r="B213" t="s">
        <v>8</v>
      </c>
      <c r="C213">
        <f t="shared" si="18"/>
        <v>11.5</v>
      </c>
      <c r="D213" s="1" t="s">
        <v>16</v>
      </c>
      <c r="E213" s="1">
        <f t="shared" si="19"/>
        <v>2</v>
      </c>
      <c r="F213">
        <v>44</v>
      </c>
      <c r="H213">
        <f t="shared" si="15"/>
        <v>1E-3</v>
      </c>
      <c r="I213">
        <v>3</v>
      </c>
      <c r="J213">
        <v>20</v>
      </c>
      <c r="K213">
        <f t="shared" si="16"/>
        <v>44</v>
      </c>
      <c r="L213">
        <f t="shared" si="17"/>
        <v>2200000</v>
      </c>
    </row>
    <row r="214" spans="1:12">
      <c r="A214" t="s">
        <v>23</v>
      </c>
      <c r="B214" t="s">
        <v>8</v>
      </c>
      <c r="C214">
        <f t="shared" si="18"/>
        <v>11.5</v>
      </c>
      <c r="D214" s="1" t="s">
        <v>16</v>
      </c>
      <c r="E214" s="1">
        <f t="shared" si="19"/>
        <v>3</v>
      </c>
      <c r="F214">
        <v>69</v>
      </c>
      <c r="H214">
        <f t="shared" si="15"/>
        <v>1E-3</v>
      </c>
      <c r="I214">
        <v>3</v>
      </c>
      <c r="J214">
        <v>20</v>
      </c>
      <c r="K214">
        <f t="shared" si="16"/>
        <v>69</v>
      </c>
      <c r="L214">
        <f t="shared" si="17"/>
        <v>3449999.9999999995</v>
      </c>
    </row>
    <row r="215" spans="1:12">
      <c r="A215" t="s">
        <v>23</v>
      </c>
      <c r="B215" t="s">
        <v>8</v>
      </c>
      <c r="C215">
        <f t="shared" si="18"/>
        <v>11.5</v>
      </c>
      <c r="D215" s="1" t="s">
        <v>16</v>
      </c>
      <c r="E215" s="1">
        <f t="shared" si="19"/>
        <v>4</v>
      </c>
      <c r="F215">
        <v>30</v>
      </c>
      <c r="H215">
        <f t="shared" si="15"/>
        <v>1E-3</v>
      </c>
      <c r="I215">
        <v>3</v>
      </c>
      <c r="J215">
        <v>20</v>
      </c>
      <c r="K215">
        <f t="shared" si="16"/>
        <v>30</v>
      </c>
      <c r="L215">
        <f t="shared" si="17"/>
        <v>1499999.9999999998</v>
      </c>
    </row>
    <row r="216" spans="1:12">
      <c r="A216" t="s">
        <v>23</v>
      </c>
      <c r="B216" t="s">
        <v>8</v>
      </c>
      <c r="C216">
        <f t="shared" si="18"/>
        <v>11.5</v>
      </c>
      <c r="D216" s="1" t="s">
        <v>16</v>
      </c>
      <c r="E216" s="1">
        <f t="shared" si="19"/>
        <v>5</v>
      </c>
      <c r="F216">
        <v>13</v>
      </c>
      <c r="H216">
        <f t="shared" si="15"/>
        <v>1E-4</v>
      </c>
      <c r="I216">
        <v>4</v>
      </c>
      <c r="J216">
        <v>20</v>
      </c>
      <c r="K216">
        <f t="shared" si="16"/>
        <v>13</v>
      </c>
      <c r="L216">
        <f t="shared" si="17"/>
        <v>6499999.9999999991</v>
      </c>
    </row>
    <row r="217" spans="1:12">
      <c r="A217" t="s">
        <v>23</v>
      </c>
      <c r="B217" t="s">
        <v>8</v>
      </c>
      <c r="C217">
        <f t="shared" si="18"/>
        <v>11.5</v>
      </c>
      <c r="D217" s="1" t="s">
        <v>16</v>
      </c>
      <c r="E217" s="1">
        <f t="shared" si="19"/>
        <v>6</v>
      </c>
      <c r="F217">
        <v>33</v>
      </c>
      <c r="H217">
        <f t="shared" si="15"/>
        <v>1E-3</v>
      </c>
      <c r="I217">
        <v>3</v>
      </c>
      <c r="J217">
        <v>20</v>
      </c>
      <c r="K217">
        <f t="shared" si="16"/>
        <v>33</v>
      </c>
      <c r="L217">
        <f t="shared" si="17"/>
        <v>1649999.9999999998</v>
      </c>
    </row>
    <row r="218" spans="1:12">
      <c r="A218" t="s">
        <v>23</v>
      </c>
      <c r="B218" t="s">
        <v>8</v>
      </c>
      <c r="C218">
        <f t="shared" si="18"/>
        <v>11.5</v>
      </c>
      <c r="D218" s="1" t="s">
        <v>16</v>
      </c>
      <c r="E218" s="1">
        <f t="shared" si="19"/>
        <v>7</v>
      </c>
      <c r="F218">
        <v>64</v>
      </c>
      <c r="H218">
        <f t="shared" si="15"/>
        <v>1E-3</v>
      </c>
      <c r="I218">
        <v>3</v>
      </c>
      <c r="J218">
        <v>20</v>
      </c>
      <c r="K218">
        <f t="shared" si="16"/>
        <v>64</v>
      </c>
      <c r="L218">
        <f t="shared" si="17"/>
        <v>3199999.9999999995</v>
      </c>
    </row>
    <row r="219" spans="1:12">
      <c r="A219" t="s">
        <v>23</v>
      </c>
      <c r="B219" t="s">
        <v>8</v>
      </c>
      <c r="C219">
        <f t="shared" si="18"/>
        <v>11.5</v>
      </c>
      <c r="D219" s="1" t="s">
        <v>16</v>
      </c>
      <c r="E219" s="1">
        <f t="shared" si="19"/>
        <v>8</v>
      </c>
      <c r="F219">
        <v>19</v>
      </c>
      <c r="H219">
        <f t="shared" si="15"/>
        <v>1E-4</v>
      </c>
      <c r="I219">
        <v>4</v>
      </c>
      <c r="J219">
        <v>20</v>
      </c>
      <c r="K219">
        <f t="shared" si="16"/>
        <v>19</v>
      </c>
      <c r="L219">
        <f t="shared" si="17"/>
        <v>9499999.9999999981</v>
      </c>
    </row>
    <row r="220" spans="1:12">
      <c r="A220" t="s">
        <v>23</v>
      </c>
      <c r="B220" t="s">
        <v>8</v>
      </c>
      <c r="C220">
        <f t="shared" si="18"/>
        <v>11.5</v>
      </c>
      <c r="D220" s="1" t="s">
        <v>16</v>
      </c>
      <c r="E220" s="1">
        <f t="shared" si="19"/>
        <v>9</v>
      </c>
      <c r="F220">
        <v>11</v>
      </c>
      <c r="H220">
        <f t="shared" si="15"/>
        <v>1E-3</v>
      </c>
      <c r="I220">
        <v>3</v>
      </c>
      <c r="J220">
        <v>20</v>
      </c>
      <c r="K220">
        <f t="shared" si="16"/>
        <v>11</v>
      </c>
      <c r="L220">
        <f t="shared" si="17"/>
        <v>550000</v>
      </c>
    </row>
    <row r="221" spans="1:12">
      <c r="A221" t="s">
        <v>23</v>
      </c>
      <c r="B221" t="s">
        <v>8</v>
      </c>
      <c r="C221">
        <f t="shared" si="18"/>
        <v>11.5</v>
      </c>
      <c r="D221" s="1" t="s">
        <v>16</v>
      </c>
      <c r="E221" s="1">
        <f t="shared" si="19"/>
        <v>10</v>
      </c>
      <c r="F221">
        <v>11</v>
      </c>
      <c r="H221">
        <f t="shared" si="15"/>
        <v>1E-4</v>
      </c>
      <c r="I221">
        <v>4</v>
      </c>
      <c r="J221">
        <v>20</v>
      </c>
      <c r="K221">
        <f t="shared" si="16"/>
        <v>11</v>
      </c>
      <c r="L221">
        <f t="shared" si="17"/>
        <v>5499999.9999999991</v>
      </c>
    </row>
    <row r="222" spans="1:12">
      <c r="A222" t="s">
        <v>23</v>
      </c>
      <c r="B222" t="s">
        <v>8</v>
      </c>
      <c r="C222">
        <f t="shared" si="18"/>
        <v>12</v>
      </c>
      <c r="D222" s="1" t="s">
        <v>16</v>
      </c>
      <c r="E222" s="1">
        <f t="shared" si="19"/>
        <v>1</v>
      </c>
      <c r="F222">
        <v>43</v>
      </c>
      <c r="H222">
        <f t="shared" si="15"/>
        <v>1.0000000000000001E-5</v>
      </c>
      <c r="I222">
        <v>5</v>
      </c>
      <c r="J222">
        <v>20</v>
      </c>
      <c r="K222">
        <f t="shared" si="16"/>
        <v>43</v>
      </c>
      <c r="L222">
        <f t="shared" si="17"/>
        <v>214999999.99999997</v>
      </c>
    </row>
    <row r="223" spans="1:12">
      <c r="A223" t="s">
        <v>23</v>
      </c>
      <c r="B223" t="s">
        <v>8</v>
      </c>
      <c r="C223">
        <f t="shared" si="18"/>
        <v>12</v>
      </c>
      <c r="D223" s="1" t="s">
        <v>16</v>
      </c>
      <c r="E223" s="1">
        <f t="shared" si="19"/>
        <v>2</v>
      </c>
      <c r="F223">
        <v>35</v>
      </c>
      <c r="H223">
        <f t="shared" si="15"/>
        <v>1.0000000000000001E-5</v>
      </c>
      <c r="I223">
        <v>5</v>
      </c>
      <c r="J223">
        <v>20</v>
      </c>
      <c r="K223">
        <f t="shared" si="16"/>
        <v>35</v>
      </c>
      <c r="L223">
        <f t="shared" si="17"/>
        <v>174999999.99999997</v>
      </c>
    </row>
    <row r="224" spans="1:12">
      <c r="A224" t="s">
        <v>23</v>
      </c>
      <c r="B224" t="s">
        <v>8</v>
      </c>
      <c r="C224">
        <f t="shared" si="18"/>
        <v>12</v>
      </c>
      <c r="D224" s="1" t="s">
        <v>16</v>
      </c>
      <c r="E224" s="1">
        <f t="shared" si="19"/>
        <v>3</v>
      </c>
      <c r="F224">
        <v>65</v>
      </c>
      <c r="H224">
        <f t="shared" si="15"/>
        <v>1.0000000000000001E-5</v>
      </c>
      <c r="I224">
        <v>5</v>
      </c>
      <c r="J224">
        <v>20</v>
      </c>
      <c r="K224">
        <f t="shared" si="16"/>
        <v>65</v>
      </c>
      <c r="L224">
        <f t="shared" si="17"/>
        <v>325000000</v>
      </c>
    </row>
    <row r="225" spans="1:12">
      <c r="A225" t="s">
        <v>23</v>
      </c>
      <c r="B225" t="s">
        <v>8</v>
      </c>
      <c r="C225">
        <f t="shared" si="18"/>
        <v>12</v>
      </c>
      <c r="D225" s="1" t="s">
        <v>16</v>
      </c>
      <c r="E225" s="1">
        <f t="shared" si="19"/>
        <v>4</v>
      </c>
      <c r="F225">
        <v>35</v>
      </c>
      <c r="H225">
        <f t="shared" si="15"/>
        <v>1.0000000000000001E-5</v>
      </c>
      <c r="I225">
        <v>5</v>
      </c>
      <c r="J225">
        <v>20</v>
      </c>
      <c r="K225">
        <f t="shared" si="16"/>
        <v>35</v>
      </c>
      <c r="L225">
        <f t="shared" si="17"/>
        <v>174999999.99999997</v>
      </c>
    </row>
    <row r="226" spans="1:12">
      <c r="A226" t="s">
        <v>23</v>
      </c>
      <c r="B226" t="s">
        <v>8</v>
      </c>
      <c r="C226">
        <f t="shared" si="18"/>
        <v>12</v>
      </c>
      <c r="D226" s="1" t="s">
        <v>16</v>
      </c>
      <c r="E226" s="1">
        <f t="shared" si="19"/>
        <v>5</v>
      </c>
      <c r="F226">
        <v>52</v>
      </c>
      <c r="H226">
        <f t="shared" si="15"/>
        <v>1.0000000000000001E-5</v>
      </c>
      <c r="I226">
        <v>5</v>
      </c>
      <c r="J226">
        <v>20</v>
      </c>
      <c r="K226">
        <f t="shared" si="16"/>
        <v>52</v>
      </c>
      <c r="L226">
        <f t="shared" si="17"/>
        <v>259999999.99999997</v>
      </c>
    </row>
    <row r="227" spans="1:12">
      <c r="A227" t="s">
        <v>23</v>
      </c>
      <c r="B227" t="s">
        <v>8</v>
      </c>
      <c r="C227">
        <f t="shared" si="18"/>
        <v>12</v>
      </c>
      <c r="D227" s="1" t="s">
        <v>16</v>
      </c>
      <c r="E227" s="1">
        <f t="shared" si="19"/>
        <v>6</v>
      </c>
      <c r="F227">
        <v>33</v>
      </c>
      <c r="H227">
        <f t="shared" si="15"/>
        <v>1.0000000000000001E-5</v>
      </c>
      <c r="I227">
        <v>5</v>
      </c>
      <c r="J227">
        <v>20</v>
      </c>
      <c r="K227">
        <f t="shared" si="16"/>
        <v>33</v>
      </c>
      <c r="L227">
        <f t="shared" si="17"/>
        <v>165000000</v>
      </c>
    </row>
    <row r="228" spans="1:12">
      <c r="A228" t="s">
        <v>23</v>
      </c>
      <c r="B228" t="s">
        <v>8</v>
      </c>
      <c r="C228">
        <f t="shared" si="18"/>
        <v>12</v>
      </c>
      <c r="D228" s="1" t="s">
        <v>16</v>
      </c>
      <c r="E228" s="1">
        <f t="shared" si="19"/>
        <v>7</v>
      </c>
      <c r="F228">
        <v>30</v>
      </c>
      <c r="H228">
        <f t="shared" si="15"/>
        <v>1.0000000000000001E-5</v>
      </c>
      <c r="I228">
        <v>5</v>
      </c>
      <c r="J228">
        <v>20</v>
      </c>
      <c r="K228">
        <f t="shared" si="16"/>
        <v>30</v>
      </c>
      <c r="L228">
        <f t="shared" si="17"/>
        <v>150000000</v>
      </c>
    </row>
    <row r="229" spans="1:12">
      <c r="A229" t="s">
        <v>23</v>
      </c>
      <c r="B229" t="s">
        <v>8</v>
      </c>
      <c r="C229">
        <f t="shared" si="18"/>
        <v>12</v>
      </c>
      <c r="D229" s="1" t="s">
        <v>16</v>
      </c>
      <c r="E229" s="1">
        <f t="shared" si="19"/>
        <v>8</v>
      </c>
      <c r="F229">
        <v>37</v>
      </c>
      <c r="H229">
        <f t="shared" si="15"/>
        <v>1.0000000000000001E-5</v>
      </c>
      <c r="I229">
        <v>5</v>
      </c>
      <c r="J229">
        <v>20</v>
      </c>
      <c r="K229">
        <f t="shared" si="16"/>
        <v>37</v>
      </c>
      <c r="L229">
        <f t="shared" si="17"/>
        <v>184999999.99999997</v>
      </c>
    </row>
    <row r="230" spans="1:12">
      <c r="A230" t="s">
        <v>23</v>
      </c>
      <c r="B230" t="s">
        <v>8</v>
      </c>
      <c r="C230">
        <f t="shared" si="18"/>
        <v>12</v>
      </c>
      <c r="D230" s="1" t="s">
        <v>16</v>
      </c>
      <c r="E230" s="1">
        <f t="shared" si="19"/>
        <v>9</v>
      </c>
      <c r="F230">
        <v>47</v>
      </c>
      <c r="H230">
        <f t="shared" si="15"/>
        <v>1.0000000000000001E-5</v>
      </c>
      <c r="I230">
        <v>5</v>
      </c>
      <c r="J230">
        <v>20</v>
      </c>
      <c r="K230">
        <f t="shared" si="16"/>
        <v>47</v>
      </c>
      <c r="L230">
        <f t="shared" si="17"/>
        <v>234999999.99999997</v>
      </c>
    </row>
    <row r="231" spans="1:12">
      <c r="A231" t="s">
        <v>23</v>
      </c>
      <c r="B231" t="s">
        <v>8</v>
      </c>
      <c r="C231">
        <f t="shared" si="18"/>
        <v>12</v>
      </c>
      <c r="D231" s="1" t="s">
        <v>16</v>
      </c>
      <c r="E231" s="1">
        <f t="shared" si="19"/>
        <v>10</v>
      </c>
      <c r="F231">
        <v>41</v>
      </c>
      <c r="H231">
        <f t="shared" si="15"/>
        <v>1.0000000000000001E-5</v>
      </c>
      <c r="I231">
        <v>5</v>
      </c>
      <c r="J231">
        <v>20</v>
      </c>
      <c r="K231">
        <f t="shared" si="16"/>
        <v>41</v>
      </c>
      <c r="L231">
        <f t="shared" si="17"/>
        <v>204999999.99999997</v>
      </c>
    </row>
    <row r="232" spans="1:12">
      <c r="A232" t="s">
        <v>23</v>
      </c>
      <c r="B232" t="s">
        <v>8</v>
      </c>
      <c r="C232">
        <f t="shared" si="18"/>
        <v>12.5</v>
      </c>
      <c r="D232" s="1" t="s">
        <v>16</v>
      </c>
      <c r="E232" s="1">
        <f t="shared" si="19"/>
        <v>1</v>
      </c>
      <c r="F232">
        <v>12</v>
      </c>
      <c r="H232">
        <f t="shared" si="15"/>
        <v>1E-3</v>
      </c>
      <c r="I232">
        <v>3</v>
      </c>
      <c r="J232">
        <v>20</v>
      </c>
      <c r="K232">
        <f t="shared" si="16"/>
        <v>12</v>
      </c>
      <c r="L232">
        <f t="shared" si="17"/>
        <v>600000</v>
      </c>
    </row>
    <row r="233" spans="1:12">
      <c r="A233" t="s">
        <v>23</v>
      </c>
      <c r="B233" t="s">
        <v>8</v>
      </c>
      <c r="C233">
        <f t="shared" si="18"/>
        <v>12.5</v>
      </c>
      <c r="D233" s="1" t="s">
        <v>16</v>
      </c>
      <c r="E233" s="1">
        <f t="shared" si="19"/>
        <v>2</v>
      </c>
      <c r="F233">
        <v>41</v>
      </c>
      <c r="H233">
        <f t="shared" si="15"/>
        <v>1E-4</v>
      </c>
      <c r="I233">
        <v>4</v>
      </c>
      <c r="J233">
        <v>20</v>
      </c>
      <c r="K233">
        <f t="shared" si="16"/>
        <v>41</v>
      </c>
      <c r="L233">
        <f t="shared" si="17"/>
        <v>20499999.999999996</v>
      </c>
    </row>
    <row r="234" spans="1:12">
      <c r="A234" t="s">
        <v>23</v>
      </c>
      <c r="B234" t="s">
        <v>8</v>
      </c>
      <c r="C234">
        <f t="shared" si="18"/>
        <v>12.5</v>
      </c>
      <c r="D234" s="1" t="s">
        <v>16</v>
      </c>
      <c r="E234" s="1">
        <f t="shared" si="19"/>
        <v>3</v>
      </c>
      <c r="F234">
        <v>33</v>
      </c>
      <c r="H234">
        <f t="shared" si="15"/>
        <v>1E-3</v>
      </c>
      <c r="I234">
        <v>3</v>
      </c>
      <c r="J234">
        <v>20</v>
      </c>
      <c r="K234">
        <f t="shared" si="16"/>
        <v>33</v>
      </c>
      <c r="L234">
        <f t="shared" si="17"/>
        <v>1649999.9999999998</v>
      </c>
    </row>
    <row r="235" spans="1:12">
      <c r="A235" t="s">
        <v>23</v>
      </c>
      <c r="B235" t="s">
        <v>8</v>
      </c>
      <c r="C235">
        <f t="shared" si="18"/>
        <v>12.5</v>
      </c>
      <c r="D235" s="1" t="s">
        <v>16</v>
      </c>
      <c r="E235" s="1">
        <f t="shared" si="19"/>
        <v>4</v>
      </c>
      <c r="F235">
        <v>45</v>
      </c>
      <c r="H235">
        <f t="shared" si="15"/>
        <v>1E-3</v>
      </c>
      <c r="I235">
        <v>3</v>
      </c>
      <c r="J235">
        <v>20</v>
      </c>
      <c r="K235">
        <f t="shared" si="16"/>
        <v>45</v>
      </c>
      <c r="L235">
        <f t="shared" si="17"/>
        <v>2250000</v>
      </c>
    </row>
    <row r="236" spans="1:12">
      <c r="A236" t="s">
        <v>23</v>
      </c>
      <c r="B236" t="s">
        <v>8</v>
      </c>
      <c r="C236">
        <f t="shared" si="18"/>
        <v>12.5</v>
      </c>
      <c r="D236" s="1" t="s">
        <v>16</v>
      </c>
      <c r="E236" s="1">
        <f t="shared" si="19"/>
        <v>5</v>
      </c>
      <c r="F236">
        <v>42</v>
      </c>
      <c r="H236">
        <f t="shared" si="15"/>
        <v>1E-4</v>
      </c>
      <c r="I236">
        <v>4</v>
      </c>
      <c r="J236">
        <v>20</v>
      </c>
      <c r="K236">
        <f t="shared" si="16"/>
        <v>42</v>
      </c>
      <c r="L236">
        <f t="shared" si="17"/>
        <v>20999999.999999996</v>
      </c>
    </row>
    <row r="237" spans="1:12">
      <c r="A237" t="s">
        <v>23</v>
      </c>
      <c r="B237" t="s">
        <v>8</v>
      </c>
      <c r="C237">
        <f t="shared" si="18"/>
        <v>12.5</v>
      </c>
      <c r="D237" s="1" t="s">
        <v>16</v>
      </c>
      <c r="E237" s="1">
        <f t="shared" si="19"/>
        <v>6</v>
      </c>
      <c r="F237">
        <v>51</v>
      </c>
      <c r="H237">
        <f t="shared" si="15"/>
        <v>1E-3</v>
      </c>
      <c r="I237">
        <v>3</v>
      </c>
      <c r="J237">
        <v>20</v>
      </c>
      <c r="K237">
        <f t="shared" si="16"/>
        <v>51</v>
      </c>
      <c r="L237">
        <f t="shared" si="17"/>
        <v>2550000</v>
      </c>
    </row>
    <row r="238" spans="1:12">
      <c r="A238" t="s">
        <v>23</v>
      </c>
      <c r="B238" t="s">
        <v>8</v>
      </c>
      <c r="C238">
        <f t="shared" si="18"/>
        <v>12.5</v>
      </c>
      <c r="D238" s="1" t="s">
        <v>16</v>
      </c>
      <c r="E238" s="1">
        <f t="shared" si="19"/>
        <v>7</v>
      </c>
      <c r="F238">
        <v>50</v>
      </c>
      <c r="H238">
        <f t="shared" si="15"/>
        <v>1E-3</v>
      </c>
      <c r="I238">
        <v>3</v>
      </c>
      <c r="J238">
        <v>20</v>
      </c>
      <c r="K238">
        <f t="shared" si="16"/>
        <v>50</v>
      </c>
      <c r="L238">
        <f t="shared" si="17"/>
        <v>2500000</v>
      </c>
    </row>
    <row r="239" spans="1:12">
      <c r="A239" t="s">
        <v>23</v>
      </c>
      <c r="B239" t="s">
        <v>8</v>
      </c>
      <c r="C239">
        <f t="shared" si="18"/>
        <v>12.5</v>
      </c>
      <c r="D239" s="1" t="s">
        <v>16</v>
      </c>
      <c r="E239" s="1">
        <f t="shared" si="19"/>
        <v>8</v>
      </c>
      <c r="F239">
        <v>8</v>
      </c>
      <c r="H239">
        <f t="shared" si="15"/>
        <v>1.0000000000000001E-5</v>
      </c>
      <c r="I239">
        <v>5</v>
      </c>
      <c r="J239">
        <v>20</v>
      </c>
      <c r="K239">
        <f t="shared" si="16"/>
        <v>8</v>
      </c>
      <c r="L239">
        <f t="shared" si="17"/>
        <v>40000000</v>
      </c>
    </row>
    <row r="240" spans="1:12">
      <c r="A240" t="s">
        <v>23</v>
      </c>
      <c r="B240" t="s">
        <v>8</v>
      </c>
      <c r="C240">
        <f t="shared" si="18"/>
        <v>12.5</v>
      </c>
      <c r="D240" s="1" t="s">
        <v>16</v>
      </c>
      <c r="E240" s="1">
        <f t="shared" si="19"/>
        <v>9</v>
      </c>
      <c r="F240">
        <v>68</v>
      </c>
      <c r="H240">
        <f t="shared" si="15"/>
        <v>1E-3</v>
      </c>
      <c r="I240">
        <v>3</v>
      </c>
      <c r="J240">
        <v>20</v>
      </c>
      <c r="K240">
        <f t="shared" si="16"/>
        <v>68</v>
      </c>
      <c r="L240">
        <f t="shared" si="17"/>
        <v>3399999.9999999995</v>
      </c>
    </row>
    <row r="241" spans="1:12">
      <c r="A241" t="s">
        <v>23</v>
      </c>
      <c r="B241" t="s">
        <v>8</v>
      </c>
      <c r="C241">
        <f t="shared" si="18"/>
        <v>12.5</v>
      </c>
      <c r="D241" s="1" t="s">
        <v>16</v>
      </c>
      <c r="E241" s="1">
        <f t="shared" si="19"/>
        <v>10</v>
      </c>
      <c r="F241">
        <v>32</v>
      </c>
      <c r="H241">
        <f t="shared" si="15"/>
        <v>1E-4</v>
      </c>
      <c r="I241">
        <v>4</v>
      </c>
      <c r="J241">
        <v>20</v>
      </c>
      <c r="K241">
        <f t="shared" si="16"/>
        <v>32</v>
      </c>
      <c r="L241">
        <f t="shared" si="17"/>
        <v>15999999.999999998</v>
      </c>
    </row>
    <row r="242" spans="1:12">
      <c r="A242" t="s">
        <v>23</v>
      </c>
      <c r="B242" t="s">
        <v>8</v>
      </c>
      <c r="C242">
        <f t="shared" si="18"/>
        <v>13</v>
      </c>
      <c r="D242" s="1" t="s">
        <v>16</v>
      </c>
      <c r="E242" s="1">
        <f t="shared" si="19"/>
        <v>1</v>
      </c>
      <c r="F242">
        <v>41</v>
      </c>
      <c r="H242">
        <f t="shared" si="15"/>
        <v>1.0000000000000001E-5</v>
      </c>
      <c r="I242">
        <v>5</v>
      </c>
      <c r="J242">
        <v>20</v>
      </c>
      <c r="K242">
        <f t="shared" si="16"/>
        <v>41</v>
      </c>
      <c r="L242">
        <f t="shared" si="17"/>
        <v>204999999.99999997</v>
      </c>
    </row>
    <row r="243" spans="1:12">
      <c r="A243" t="s">
        <v>23</v>
      </c>
      <c r="B243" t="s">
        <v>8</v>
      </c>
      <c r="C243">
        <f t="shared" si="18"/>
        <v>13</v>
      </c>
      <c r="D243" s="1" t="s">
        <v>16</v>
      </c>
      <c r="E243" s="1">
        <f t="shared" si="19"/>
        <v>2</v>
      </c>
      <c r="F243">
        <v>33</v>
      </c>
      <c r="H243">
        <f t="shared" si="15"/>
        <v>1.0000000000000001E-5</v>
      </c>
      <c r="I243">
        <v>5</v>
      </c>
      <c r="J243">
        <v>20</v>
      </c>
      <c r="K243">
        <f t="shared" si="16"/>
        <v>33</v>
      </c>
      <c r="L243">
        <f t="shared" si="17"/>
        <v>165000000</v>
      </c>
    </row>
    <row r="244" spans="1:12">
      <c r="A244" t="s">
        <v>23</v>
      </c>
      <c r="B244" t="s">
        <v>8</v>
      </c>
      <c r="C244">
        <f t="shared" si="18"/>
        <v>13</v>
      </c>
      <c r="D244" s="1" t="s">
        <v>16</v>
      </c>
      <c r="E244" s="1">
        <f t="shared" si="19"/>
        <v>3</v>
      </c>
      <c r="F244">
        <v>56</v>
      </c>
      <c r="H244">
        <f t="shared" si="15"/>
        <v>1.0000000000000001E-5</v>
      </c>
      <c r="I244">
        <v>5</v>
      </c>
      <c r="J244">
        <v>20</v>
      </c>
      <c r="K244">
        <f t="shared" si="16"/>
        <v>56</v>
      </c>
      <c r="L244">
        <f t="shared" si="17"/>
        <v>280000000</v>
      </c>
    </row>
    <row r="245" spans="1:12">
      <c r="A245" t="s">
        <v>23</v>
      </c>
      <c r="B245" t="s">
        <v>8</v>
      </c>
      <c r="C245">
        <f t="shared" si="18"/>
        <v>13</v>
      </c>
      <c r="D245" s="1" t="s">
        <v>16</v>
      </c>
      <c r="E245" s="1">
        <f t="shared" si="19"/>
        <v>4</v>
      </c>
      <c r="F245">
        <v>53</v>
      </c>
      <c r="H245">
        <f t="shared" si="15"/>
        <v>1.0000000000000001E-5</v>
      </c>
      <c r="I245">
        <v>5</v>
      </c>
      <c r="J245">
        <v>20</v>
      </c>
      <c r="K245">
        <f t="shared" si="16"/>
        <v>53</v>
      </c>
      <c r="L245">
        <f t="shared" si="17"/>
        <v>264999999.99999997</v>
      </c>
    </row>
    <row r="246" spans="1:12">
      <c r="A246" t="s">
        <v>23</v>
      </c>
      <c r="B246" t="s">
        <v>8</v>
      </c>
      <c r="C246">
        <f t="shared" si="18"/>
        <v>13</v>
      </c>
      <c r="D246" s="1" t="s">
        <v>16</v>
      </c>
      <c r="E246" s="1">
        <f t="shared" si="19"/>
        <v>5</v>
      </c>
      <c r="F246">
        <v>46</v>
      </c>
      <c r="H246">
        <f t="shared" si="15"/>
        <v>1.0000000000000001E-5</v>
      </c>
      <c r="I246">
        <v>5</v>
      </c>
      <c r="J246">
        <v>20</v>
      </c>
      <c r="K246">
        <f t="shared" si="16"/>
        <v>46</v>
      </c>
      <c r="L246">
        <f t="shared" si="17"/>
        <v>229999999.99999997</v>
      </c>
    </row>
    <row r="247" spans="1:12">
      <c r="A247" t="s">
        <v>23</v>
      </c>
      <c r="B247" t="s">
        <v>8</v>
      </c>
      <c r="C247">
        <f t="shared" si="18"/>
        <v>13</v>
      </c>
      <c r="D247" s="1" t="s">
        <v>16</v>
      </c>
      <c r="E247" s="1">
        <f t="shared" si="19"/>
        <v>6</v>
      </c>
      <c r="F247">
        <v>48</v>
      </c>
      <c r="H247">
        <f t="shared" si="15"/>
        <v>1.0000000000000001E-5</v>
      </c>
      <c r="I247">
        <v>5</v>
      </c>
      <c r="J247">
        <v>20</v>
      </c>
      <c r="K247">
        <f t="shared" si="16"/>
        <v>48</v>
      </c>
      <c r="L247">
        <f t="shared" si="17"/>
        <v>239999999.99999997</v>
      </c>
    </row>
    <row r="248" spans="1:12">
      <c r="A248" t="s">
        <v>23</v>
      </c>
      <c r="B248" t="s">
        <v>8</v>
      </c>
      <c r="C248">
        <f t="shared" si="18"/>
        <v>13</v>
      </c>
      <c r="D248" s="1" t="s">
        <v>16</v>
      </c>
      <c r="E248" s="1">
        <f t="shared" si="19"/>
        <v>7</v>
      </c>
      <c r="F248">
        <v>47</v>
      </c>
      <c r="H248">
        <f t="shared" si="15"/>
        <v>1.0000000000000001E-5</v>
      </c>
      <c r="I248">
        <v>5</v>
      </c>
      <c r="J248">
        <v>20</v>
      </c>
      <c r="K248">
        <f t="shared" si="16"/>
        <v>47</v>
      </c>
      <c r="L248">
        <f t="shared" si="17"/>
        <v>234999999.99999997</v>
      </c>
    </row>
    <row r="249" spans="1:12">
      <c r="A249" t="s">
        <v>23</v>
      </c>
      <c r="B249" t="s">
        <v>8</v>
      </c>
      <c r="C249">
        <f t="shared" si="18"/>
        <v>13</v>
      </c>
      <c r="D249" s="1" t="s">
        <v>16</v>
      </c>
      <c r="E249" s="1">
        <f t="shared" si="19"/>
        <v>8</v>
      </c>
      <c r="F249">
        <v>27</v>
      </c>
      <c r="H249">
        <f t="shared" si="15"/>
        <v>1.0000000000000001E-5</v>
      </c>
      <c r="I249">
        <v>5</v>
      </c>
      <c r="J249">
        <v>20</v>
      </c>
      <c r="K249">
        <f t="shared" si="16"/>
        <v>27</v>
      </c>
      <c r="L249">
        <f t="shared" si="17"/>
        <v>135000000</v>
      </c>
    </row>
    <row r="250" spans="1:12">
      <c r="A250" t="s">
        <v>23</v>
      </c>
      <c r="B250" t="s">
        <v>8</v>
      </c>
      <c r="C250">
        <f t="shared" si="18"/>
        <v>13</v>
      </c>
      <c r="D250" s="1" t="s">
        <v>16</v>
      </c>
      <c r="E250" s="1">
        <f t="shared" si="19"/>
        <v>9</v>
      </c>
      <c r="F250">
        <v>43</v>
      </c>
      <c r="H250">
        <f t="shared" si="15"/>
        <v>1.0000000000000001E-5</v>
      </c>
      <c r="I250">
        <v>5</v>
      </c>
      <c r="J250">
        <v>20</v>
      </c>
      <c r="K250">
        <f t="shared" si="16"/>
        <v>43</v>
      </c>
      <c r="L250">
        <f t="shared" si="17"/>
        <v>214999999.99999997</v>
      </c>
    </row>
    <row r="251" spans="1:12">
      <c r="A251" t="s">
        <v>23</v>
      </c>
      <c r="B251" t="s">
        <v>8</v>
      </c>
      <c r="C251">
        <f t="shared" si="18"/>
        <v>13</v>
      </c>
      <c r="D251" s="1" t="s">
        <v>16</v>
      </c>
      <c r="E251" s="1">
        <f t="shared" si="19"/>
        <v>10</v>
      </c>
      <c r="F251">
        <v>48</v>
      </c>
      <c r="H251">
        <f t="shared" si="15"/>
        <v>1.0000000000000001E-5</v>
      </c>
      <c r="I251">
        <v>5</v>
      </c>
      <c r="J251">
        <v>20</v>
      </c>
      <c r="K251">
        <f t="shared" si="16"/>
        <v>48</v>
      </c>
      <c r="L251">
        <f t="shared" si="17"/>
        <v>239999999.99999997</v>
      </c>
    </row>
    <row r="252" spans="1:12">
      <c r="A252" t="s">
        <v>23</v>
      </c>
      <c r="B252" t="s">
        <v>8</v>
      </c>
      <c r="C252">
        <f t="shared" si="18"/>
        <v>13.5</v>
      </c>
      <c r="D252" s="1" t="s">
        <v>16</v>
      </c>
      <c r="E252" s="1">
        <f t="shared" si="19"/>
        <v>1</v>
      </c>
      <c r="F252">
        <v>62</v>
      </c>
      <c r="H252">
        <f t="shared" si="15"/>
        <v>1E-3</v>
      </c>
      <c r="I252">
        <v>3</v>
      </c>
      <c r="J252">
        <v>20</v>
      </c>
      <c r="K252">
        <f t="shared" si="16"/>
        <v>62</v>
      </c>
      <c r="L252">
        <f t="shared" si="17"/>
        <v>3099999.9999999995</v>
      </c>
    </row>
    <row r="253" spans="1:12">
      <c r="A253" t="s">
        <v>23</v>
      </c>
      <c r="B253" t="s">
        <v>8</v>
      </c>
      <c r="C253">
        <f t="shared" si="18"/>
        <v>13.5</v>
      </c>
      <c r="D253" s="1" t="s">
        <v>16</v>
      </c>
      <c r="E253" s="1">
        <f t="shared" si="19"/>
        <v>2</v>
      </c>
      <c r="F253">
        <v>22</v>
      </c>
      <c r="H253">
        <f t="shared" si="15"/>
        <v>1.0000000000000001E-5</v>
      </c>
      <c r="I253">
        <v>5</v>
      </c>
      <c r="J253">
        <v>20</v>
      </c>
      <c r="K253">
        <f t="shared" si="16"/>
        <v>22</v>
      </c>
      <c r="L253">
        <f t="shared" si="17"/>
        <v>109999999.99999999</v>
      </c>
    </row>
    <row r="254" spans="1:12">
      <c r="A254" t="s">
        <v>23</v>
      </c>
      <c r="B254" t="s">
        <v>8</v>
      </c>
      <c r="C254">
        <f t="shared" si="18"/>
        <v>13.5</v>
      </c>
      <c r="D254" s="1" t="s">
        <v>16</v>
      </c>
      <c r="E254" s="1">
        <f t="shared" si="19"/>
        <v>3</v>
      </c>
      <c r="F254">
        <v>55</v>
      </c>
      <c r="H254">
        <f t="shared" si="15"/>
        <v>1E-3</v>
      </c>
      <c r="I254">
        <v>3</v>
      </c>
      <c r="J254">
        <v>20</v>
      </c>
      <c r="K254">
        <f t="shared" si="16"/>
        <v>55</v>
      </c>
      <c r="L254">
        <f t="shared" si="17"/>
        <v>2750000</v>
      </c>
    </row>
    <row r="255" spans="1:12">
      <c r="A255" t="s">
        <v>23</v>
      </c>
      <c r="B255" t="s">
        <v>8</v>
      </c>
      <c r="C255">
        <f t="shared" si="18"/>
        <v>13.5</v>
      </c>
      <c r="D255" s="1" t="s">
        <v>16</v>
      </c>
      <c r="E255" s="1">
        <f t="shared" si="19"/>
        <v>4</v>
      </c>
      <c r="F255">
        <v>84</v>
      </c>
      <c r="H255">
        <f t="shared" si="15"/>
        <v>1E-4</v>
      </c>
      <c r="I255">
        <v>4</v>
      </c>
      <c r="J255">
        <v>20</v>
      </c>
      <c r="K255">
        <f t="shared" si="16"/>
        <v>84</v>
      </c>
      <c r="L255">
        <f t="shared" si="17"/>
        <v>41999999.999999993</v>
      </c>
    </row>
    <row r="256" spans="1:12">
      <c r="A256" t="s">
        <v>23</v>
      </c>
      <c r="B256" t="s">
        <v>8</v>
      </c>
      <c r="C256">
        <f t="shared" si="18"/>
        <v>13.5</v>
      </c>
      <c r="D256" s="1" t="s">
        <v>16</v>
      </c>
      <c r="E256" s="1">
        <f t="shared" si="19"/>
        <v>5</v>
      </c>
      <c r="F256">
        <v>55</v>
      </c>
      <c r="H256">
        <f t="shared" si="15"/>
        <v>1E-3</v>
      </c>
      <c r="I256">
        <v>3</v>
      </c>
      <c r="J256">
        <v>20</v>
      </c>
      <c r="K256">
        <f t="shared" si="16"/>
        <v>55</v>
      </c>
      <c r="L256">
        <f t="shared" si="17"/>
        <v>2750000</v>
      </c>
    </row>
    <row r="257" spans="1:12">
      <c r="A257" t="s">
        <v>23</v>
      </c>
      <c r="B257" t="s">
        <v>8</v>
      </c>
      <c r="C257">
        <f t="shared" si="18"/>
        <v>13.5</v>
      </c>
      <c r="D257" s="1" t="s">
        <v>16</v>
      </c>
      <c r="E257" s="1">
        <f t="shared" si="19"/>
        <v>6</v>
      </c>
      <c r="F257">
        <v>39</v>
      </c>
      <c r="H257">
        <f t="shared" si="15"/>
        <v>1E-3</v>
      </c>
      <c r="I257">
        <v>3</v>
      </c>
      <c r="J257">
        <v>20</v>
      </c>
      <c r="K257">
        <f t="shared" si="16"/>
        <v>39</v>
      </c>
      <c r="L257">
        <f t="shared" si="17"/>
        <v>1949999.9999999998</v>
      </c>
    </row>
    <row r="258" spans="1:12">
      <c r="A258" t="s">
        <v>23</v>
      </c>
      <c r="B258" t="s">
        <v>8</v>
      </c>
      <c r="C258">
        <f t="shared" si="18"/>
        <v>13.5</v>
      </c>
      <c r="D258" s="1" t="s">
        <v>16</v>
      </c>
      <c r="E258" s="1">
        <f t="shared" si="19"/>
        <v>7</v>
      </c>
      <c r="F258">
        <v>35</v>
      </c>
      <c r="H258">
        <f t="shared" ref="H258:H321" si="20">1/(10^I258)</f>
        <v>1E-3</v>
      </c>
      <c r="I258">
        <v>3</v>
      </c>
      <c r="J258">
        <v>20</v>
      </c>
      <c r="K258">
        <f t="shared" si="16"/>
        <v>35</v>
      </c>
      <c r="L258">
        <f t="shared" si="17"/>
        <v>1749999.9999999998</v>
      </c>
    </row>
    <row r="259" spans="1:12">
      <c r="A259" t="s">
        <v>23</v>
      </c>
      <c r="B259" t="s">
        <v>8</v>
      </c>
      <c r="C259">
        <f t="shared" si="18"/>
        <v>13.5</v>
      </c>
      <c r="D259" s="1" t="s">
        <v>16</v>
      </c>
      <c r="E259" s="1">
        <f t="shared" si="19"/>
        <v>8</v>
      </c>
      <c r="F259">
        <v>29</v>
      </c>
      <c r="H259">
        <f t="shared" si="20"/>
        <v>1.0000000000000001E-5</v>
      </c>
      <c r="I259">
        <v>5</v>
      </c>
      <c r="J259">
        <v>20</v>
      </c>
      <c r="K259">
        <f t="shared" ref="K259:K322" si="21">F259</f>
        <v>29</v>
      </c>
      <c r="L259">
        <f t="shared" ref="L259:L322" si="22">K259/(H259*(J259/1000))</f>
        <v>145000000</v>
      </c>
    </row>
    <row r="260" spans="1:12">
      <c r="A260" t="s">
        <v>23</v>
      </c>
      <c r="B260" t="s">
        <v>8</v>
      </c>
      <c r="C260">
        <f t="shared" si="18"/>
        <v>13.5</v>
      </c>
      <c r="D260" s="1" t="s">
        <v>16</v>
      </c>
      <c r="E260" s="1">
        <f t="shared" si="19"/>
        <v>9</v>
      </c>
      <c r="F260">
        <v>40</v>
      </c>
      <c r="H260">
        <f t="shared" si="20"/>
        <v>1E-3</v>
      </c>
      <c r="I260">
        <v>3</v>
      </c>
      <c r="J260">
        <v>20</v>
      </c>
      <c r="K260">
        <f t="shared" si="21"/>
        <v>40</v>
      </c>
      <c r="L260">
        <f t="shared" si="22"/>
        <v>1999999.9999999998</v>
      </c>
    </row>
    <row r="261" spans="1:12">
      <c r="A261" t="s">
        <v>23</v>
      </c>
      <c r="B261" t="s">
        <v>8</v>
      </c>
      <c r="C261">
        <f t="shared" si="18"/>
        <v>13.5</v>
      </c>
      <c r="D261" s="1" t="s">
        <v>16</v>
      </c>
      <c r="E261" s="1">
        <f t="shared" si="19"/>
        <v>10</v>
      </c>
      <c r="F261">
        <v>35</v>
      </c>
      <c r="H261">
        <f t="shared" si="20"/>
        <v>1E-4</v>
      </c>
      <c r="I261">
        <v>4</v>
      </c>
      <c r="J261">
        <v>20</v>
      </c>
      <c r="K261">
        <f t="shared" si="21"/>
        <v>35</v>
      </c>
      <c r="L261">
        <f t="shared" si="22"/>
        <v>17499999.999999996</v>
      </c>
    </row>
    <row r="262" spans="1:12">
      <c r="A262" t="s">
        <v>23</v>
      </c>
      <c r="B262" t="s">
        <v>8</v>
      </c>
      <c r="C262">
        <f t="shared" si="18"/>
        <v>14</v>
      </c>
      <c r="D262" s="1" t="s">
        <v>16</v>
      </c>
      <c r="E262" s="1">
        <f t="shared" si="19"/>
        <v>1</v>
      </c>
      <c r="F262">
        <v>43</v>
      </c>
      <c r="H262">
        <f t="shared" si="20"/>
        <v>1.0000000000000001E-5</v>
      </c>
      <c r="I262">
        <v>5</v>
      </c>
      <c r="J262">
        <v>20</v>
      </c>
      <c r="K262">
        <f t="shared" si="21"/>
        <v>43</v>
      </c>
      <c r="L262">
        <f t="shared" si="22"/>
        <v>214999999.99999997</v>
      </c>
    </row>
    <row r="263" spans="1:12">
      <c r="A263" t="s">
        <v>23</v>
      </c>
      <c r="B263" t="s">
        <v>8</v>
      </c>
      <c r="C263">
        <f t="shared" si="18"/>
        <v>14</v>
      </c>
      <c r="D263" s="1" t="s">
        <v>16</v>
      </c>
      <c r="E263" s="1">
        <f t="shared" si="19"/>
        <v>2</v>
      </c>
      <c r="F263">
        <v>34</v>
      </c>
      <c r="H263">
        <f t="shared" si="20"/>
        <v>1.0000000000000001E-5</v>
      </c>
      <c r="I263">
        <v>5</v>
      </c>
      <c r="J263">
        <v>20</v>
      </c>
      <c r="K263">
        <f t="shared" si="21"/>
        <v>34</v>
      </c>
      <c r="L263">
        <f t="shared" si="22"/>
        <v>170000000</v>
      </c>
    </row>
    <row r="264" spans="1:12">
      <c r="A264" t="s">
        <v>23</v>
      </c>
      <c r="B264" t="s">
        <v>8</v>
      </c>
      <c r="C264">
        <f t="shared" si="18"/>
        <v>14</v>
      </c>
      <c r="D264" s="1" t="s">
        <v>16</v>
      </c>
      <c r="E264" s="1">
        <f t="shared" si="19"/>
        <v>3</v>
      </c>
      <c r="F264">
        <v>16</v>
      </c>
      <c r="H264">
        <f t="shared" si="20"/>
        <v>1.0000000000000001E-5</v>
      </c>
      <c r="I264">
        <v>5</v>
      </c>
      <c r="J264">
        <v>20</v>
      </c>
      <c r="K264">
        <f t="shared" si="21"/>
        <v>16</v>
      </c>
      <c r="L264">
        <f t="shared" si="22"/>
        <v>80000000</v>
      </c>
    </row>
    <row r="265" spans="1:12">
      <c r="A265" t="s">
        <v>23</v>
      </c>
      <c r="B265" t="s">
        <v>8</v>
      </c>
      <c r="C265">
        <f t="shared" si="18"/>
        <v>14</v>
      </c>
      <c r="D265" s="1" t="s">
        <v>16</v>
      </c>
      <c r="E265" s="1">
        <f t="shared" si="19"/>
        <v>4</v>
      </c>
      <c r="F265">
        <v>13</v>
      </c>
      <c r="H265">
        <f t="shared" si="20"/>
        <v>1.0000000000000001E-5</v>
      </c>
      <c r="I265">
        <v>5</v>
      </c>
      <c r="J265">
        <v>20</v>
      </c>
      <c r="K265">
        <f t="shared" si="21"/>
        <v>13</v>
      </c>
      <c r="L265">
        <f t="shared" si="22"/>
        <v>64999999.999999993</v>
      </c>
    </row>
    <row r="266" spans="1:12">
      <c r="A266" t="s">
        <v>23</v>
      </c>
      <c r="B266" t="s">
        <v>8</v>
      </c>
      <c r="C266">
        <f t="shared" si="18"/>
        <v>14</v>
      </c>
      <c r="D266" s="1" t="s">
        <v>16</v>
      </c>
      <c r="E266" s="1">
        <f t="shared" si="19"/>
        <v>5</v>
      </c>
      <c r="F266">
        <v>34</v>
      </c>
      <c r="H266">
        <f t="shared" si="20"/>
        <v>1.0000000000000001E-5</v>
      </c>
      <c r="I266">
        <v>5</v>
      </c>
      <c r="J266">
        <v>20</v>
      </c>
      <c r="K266">
        <f t="shared" si="21"/>
        <v>34</v>
      </c>
      <c r="L266">
        <f t="shared" si="22"/>
        <v>170000000</v>
      </c>
    </row>
    <row r="267" spans="1:12">
      <c r="A267" t="s">
        <v>23</v>
      </c>
      <c r="B267" t="s">
        <v>8</v>
      </c>
      <c r="C267">
        <f t="shared" si="18"/>
        <v>14</v>
      </c>
      <c r="D267" s="1" t="s">
        <v>16</v>
      </c>
      <c r="E267" s="1">
        <f t="shared" si="19"/>
        <v>6</v>
      </c>
      <c r="F267">
        <v>13</v>
      </c>
      <c r="H267">
        <f t="shared" si="20"/>
        <v>1.0000000000000001E-5</v>
      </c>
      <c r="I267">
        <v>5</v>
      </c>
      <c r="J267">
        <v>20</v>
      </c>
      <c r="K267">
        <f t="shared" si="21"/>
        <v>13</v>
      </c>
      <c r="L267">
        <f t="shared" si="22"/>
        <v>64999999.999999993</v>
      </c>
    </row>
    <row r="268" spans="1:12">
      <c r="A268" t="s">
        <v>23</v>
      </c>
      <c r="B268" t="s">
        <v>8</v>
      </c>
      <c r="C268">
        <f t="shared" si="18"/>
        <v>14</v>
      </c>
      <c r="D268" s="1" t="s">
        <v>16</v>
      </c>
      <c r="E268" s="1">
        <f t="shared" si="19"/>
        <v>7</v>
      </c>
      <c r="F268">
        <v>9</v>
      </c>
      <c r="H268">
        <f t="shared" si="20"/>
        <v>1.0000000000000001E-5</v>
      </c>
      <c r="I268">
        <v>5</v>
      </c>
      <c r="J268">
        <v>20</v>
      </c>
      <c r="K268">
        <f t="shared" si="21"/>
        <v>9</v>
      </c>
      <c r="L268">
        <f t="shared" si="22"/>
        <v>44999999.999999993</v>
      </c>
    </row>
    <row r="269" spans="1:12">
      <c r="A269" t="s">
        <v>23</v>
      </c>
      <c r="B269" t="s">
        <v>8</v>
      </c>
      <c r="C269">
        <f t="shared" ref="C269:C332" si="23">C259+0.5</f>
        <v>14</v>
      </c>
      <c r="D269" s="1" t="s">
        <v>16</v>
      </c>
      <c r="E269" s="1">
        <f t="shared" ref="E269:E332" si="24">E259</f>
        <v>8</v>
      </c>
      <c r="F269">
        <v>4</v>
      </c>
      <c r="H269">
        <f t="shared" si="20"/>
        <v>9.9999999999999995E-7</v>
      </c>
      <c r="I269">
        <v>6</v>
      </c>
      <c r="J269">
        <v>20</v>
      </c>
      <c r="K269">
        <f t="shared" si="21"/>
        <v>4</v>
      </c>
      <c r="L269">
        <f t="shared" si="22"/>
        <v>200000000</v>
      </c>
    </row>
    <row r="270" spans="1:12">
      <c r="A270" t="s">
        <v>23</v>
      </c>
      <c r="B270" t="s">
        <v>8</v>
      </c>
      <c r="C270">
        <f t="shared" si="23"/>
        <v>14</v>
      </c>
      <c r="D270" s="1" t="s">
        <v>16</v>
      </c>
      <c r="E270" s="1">
        <f t="shared" si="24"/>
        <v>9</v>
      </c>
      <c r="F270">
        <v>14</v>
      </c>
      <c r="H270">
        <f t="shared" si="20"/>
        <v>1.0000000000000001E-5</v>
      </c>
      <c r="I270">
        <v>5</v>
      </c>
      <c r="J270">
        <v>20</v>
      </c>
      <c r="K270">
        <f t="shared" si="21"/>
        <v>14</v>
      </c>
      <c r="L270">
        <f t="shared" si="22"/>
        <v>70000000</v>
      </c>
    </row>
    <row r="271" spans="1:12">
      <c r="A271" t="s">
        <v>23</v>
      </c>
      <c r="B271" t="s">
        <v>8</v>
      </c>
      <c r="C271">
        <f t="shared" si="23"/>
        <v>14</v>
      </c>
      <c r="D271" s="1" t="s">
        <v>16</v>
      </c>
      <c r="E271" s="1">
        <f t="shared" si="24"/>
        <v>10</v>
      </c>
      <c r="F271">
        <v>27</v>
      </c>
      <c r="H271">
        <f t="shared" si="20"/>
        <v>1.0000000000000001E-5</v>
      </c>
      <c r="I271">
        <v>5</v>
      </c>
      <c r="J271">
        <v>20</v>
      </c>
      <c r="K271">
        <f t="shared" si="21"/>
        <v>27</v>
      </c>
      <c r="L271">
        <f t="shared" si="22"/>
        <v>135000000</v>
      </c>
    </row>
    <row r="272" spans="1:12">
      <c r="A272" t="s">
        <v>23</v>
      </c>
      <c r="B272" t="s">
        <v>8</v>
      </c>
      <c r="C272">
        <f t="shared" si="23"/>
        <v>14.5</v>
      </c>
      <c r="D272" s="1" t="s">
        <v>16</v>
      </c>
      <c r="E272" s="1">
        <f t="shared" si="24"/>
        <v>1</v>
      </c>
      <c r="F272">
        <v>7</v>
      </c>
      <c r="H272">
        <f t="shared" si="20"/>
        <v>1E-4</v>
      </c>
      <c r="I272">
        <v>4</v>
      </c>
      <c r="J272">
        <v>20</v>
      </c>
      <c r="K272">
        <f t="shared" si="21"/>
        <v>7</v>
      </c>
      <c r="L272">
        <f t="shared" si="22"/>
        <v>3499999.9999999995</v>
      </c>
    </row>
    <row r="273" spans="1:12">
      <c r="A273" t="s">
        <v>23</v>
      </c>
      <c r="B273" t="s">
        <v>8</v>
      </c>
      <c r="C273">
        <f t="shared" si="23"/>
        <v>14.5</v>
      </c>
      <c r="D273" s="1" t="s">
        <v>16</v>
      </c>
      <c r="E273" s="1">
        <f t="shared" si="24"/>
        <v>2</v>
      </c>
      <c r="F273">
        <v>13</v>
      </c>
      <c r="H273">
        <f t="shared" si="20"/>
        <v>1.0000000000000001E-5</v>
      </c>
      <c r="I273">
        <v>5</v>
      </c>
      <c r="J273">
        <v>20</v>
      </c>
      <c r="K273">
        <f t="shared" si="21"/>
        <v>13</v>
      </c>
      <c r="L273">
        <f t="shared" si="22"/>
        <v>64999999.999999993</v>
      </c>
    </row>
    <row r="274" spans="1:12">
      <c r="A274" t="s">
        <v>23</v>
      </c>
      <c r="B274" t="s">
        <v>8</v>
      </c>
      <c r="C274">
        <f t="shared" si="23"/>
        <v>14.5</v>
      </c>
      <c r="D274" s="1" t="s">
        <v>16</v>
      </c>
      <c r="E274" s="1">
        <f t="shared" si="24"/>
        <v>3</v>
      </c>
      <c r="F274">
        <v>12</v>
      </c>
      <c r="H274">
        <f t="shared" si="20"/>
        <v>1E-4</v>
      </c>
      <c r="I274">
        <v>4</v>
      </c>
      <c r="J274">
        <v>20</v>
      </c>
      <c r="K274">
        <f t="shared" si="21"/>
        <v>12</v>
      </c>
      <c r="L274">
        <f t="shared" si="22"/>
        <v>5999999.9999999991</v>
      </c>
    </row>
    <row r="275" spans="1:12">
      <c r="A275" t="s">
        <v>23</v>
      </c>
      <c r="B275" t="s">
        <v>8</v>
      </c>
      <c r="C275">
        <f t="shared" si="23"/>
        <v>14.5</v>
      </c>
      <c r="D275" s="1" t="s">
        <v>16</v>
      </c>
      <c r="E275" s="1">
        <f t="shared" si="24"/>
        <v>4</v>
      </c>
      <c r="F275">
        <v>32</v>
      </c>
      <c r="H275">
        <f t="shared" si="20"/>
        <v>1E-3</v>
      </c>
      <c r="I275">
        <v>3</v>
      </c>
      <c r="J275">
        <v>20</v>
      </c>
      <c r="K275">
        <f t="shared" si="21"/>
        <v>32</v>
      </c>
      <c r="L275">
        <f t="shared" si="22"/>
        <v>1599999.9999999998</v>
      </c>
    </row>
    <row r="276" spans="1:12">
      <c r="A276" t="s">
        <v>23</v>
      </c>
      <c r="B276" t="s">
        <v>8</v>
      </c>
      <c r="C276">
        <f t="shared" si="23"/>
        <v>14.5</v>
      </c>
      <c r="D276" s="1" t="s">
        <v>16</v>
      </c>
      <c r="E276" s="1">
        <f t="shared" si="24"/>
        <v>5</v>
      </c>
      <c r="F276">
        <v>16</v>
      </c>
      <c r="H276">
        <f t="shared" si="20"/>
        <v>1.0000000000000001E-5</v>
      </c>
      <c r="I276">
        <v>5</v>
      </c>
      <c r="J276">
        <v>20</v>
      </c>
      <c r="K276">
        <f t="shared" si="21"/>
        <v>16</v>
      </c>
      <c r="L276">
        <f t="shared" si="22"/>
        <v>80000000</v>
      </c>
    </row>
    <row r="277" spans="1:12">
      <c r="A277" t="s">
        <v>23</v>
      </c>
      <c r="B277" t="s">
        <v>8</v>
      </c>
      <c r="C277">
        <f t="shared" si="23"/>
        <v>14.5</v>
      </c>
      <c r="D277" s="1" t="s">
        <v>16</v>
      </c>
      <c r="E277" s="1">
        <f t="shared" si="24"/>
        <v>6</v>
      </c>
      <c r="F277">
        <v>25</v>
      </c>
      <c r="H277">
        <f t="shared" si="20"/>
        <v>1E-3</v>
      </c>
      <c r="I277">
        <v>3</v>
      </c>
      <c r="J277">
        <v>20</v>
      </c>
      <c r="K277">
        <f t="shared" si="21"/>
        <v>25</v>
      </c>
      <c r="L277">
        <f t="shared" si="22"/>
        <v>1250000</v>
      </c>
    </row>
    <row r="278" spans="1:12">
      <c r="A278" t="s">
        <v>23</v>
      </c>
      <c r="B278" t="s">
        <v>8</v>
      </c>
      <c r="C278">
        <f t="shared" si="23"/>
        <v>14.5</v>
      </c>
      <c r="D278" s="1" t="s">
        <v>16</v>
      </c>
      <c r="E278" s="1">
        <f t="shared" si="24"/>
        <v>7</v>
      </c>
      <c r="F278">
        <v>22</v>
      </c>
      <c r="H278">
        <f t="shared" si="20"/>
        <v>1E-3</v>
      </c>
      <c r="I278">
        <v>3</v>
      </c>
      <c r="J278">
        <v>20</v>
      </c>
      <c r="K278">
        <f t="shared" si="21"/>
        <v>22</v>
      </c>
      <c r="L278">
        <f t="shared" si="22"/>
        <v>1100000</v>
      </c>
    </row>
    <row r="279" spans="1:12">
      <c r="A279" t="s">
        <v>23</v>
      </c>
      <c r="B279" t="s">
        <v>8</v>
      </c>
      <c r="C279">
        <f t="shared" si="23"/>
        <v>14.5</v>
      </c>
      <c r="D279" s="1" t="s">
        <v>16</v>
      </c>
      <c r="E279" s="1">
        <f t="shared" si="24"/>
        <v>8</v>
      </c>
      <c r="F279">
        <v>3</v>
      </c>
      <c r="H279">
        <f t="shared" si="20"/>
        <v>1.0000000000000001E-5</v>
      </c>
      <c r="I279">
        <v>5</v>
      </c>
      <c r="J279">
        <v>20</v>
      </c>
      <c r="K279">
        <f t="shared" si="21"/>
        <v>3</v>
      </c>
      <c r="L279">
        <f t="shared" si="22"/>
        <v>14999999.999999998</v>
      </c>
    </row>
    <row r="280" spans="1:12">
      <c r="A280" t="s">
        <v>23</v>
      </c>
      <c r="B280" t="s">
        <v>8</v>
      </c>
      <c r="C280">
        <f t="shared" si="23"/>
        <v>14.5</v>
      </c>
      <c r="D280" s="1" t="s">
        <v>16</v>
      </c>
      <c r="E280" s="1">
        <f t="shared" si="24"/>
        <v>9</v>
      </c>
      <c r="F280">
        <v>11</v>
      </c>
      <c r="H280">
        <f t="shared" si="20"/>
        <v>1E-4</v>
      </c>
      <c r="I280">
        <v>4</v>
      </c>
      <c r="J280">
        <v>20</v>
      </c>
      <c r="K280">
        <f t="shared" si="21"/>
        <v>11</v>
      </c>
      <c r="L280">
        <f t="shared" si="22"/>
        <v>5499999.9999999991</v>
      </c>
    </row>
    <row r="281" spans="1:12">
      <c r="A281" t="s">
        <v>23</v>
      </c>
      <c r="B281" t="s">
        <v>8</v>
      </c>
      <c r="C281">
        <f t="shared" si="23"/>
        <v>14.5</v>
      </c>
      <c r="D281" s="1" t="s">
        <v>16</v>
      </c>
      <c r="E281" s="1">
        <f t="shared" si="24"/>
        <v>10</v>
      </c>
      <c r="F281">
        <v>21</v>
      </c>
      <c r="H281">
        <f t="shared" si="20"/>
        <v>1.0000000000000001E-5</v>
      </c>
      <c r="I281">
        <v>5</v>
      </c>
      <c r="J281">
        <v>20</v>
      </c>
      <c r="K281">
        <f t="shared" si="21"/>
        <v>21</v>
      </c>
      <c r="L281">
        <f t="shared" si="22"/>
        <v>104999999.99999999</v>
      </c>
    </row>
    <row r="282" spans="1:12">
      <c r="A282" t="s">
        <v>23</v>
      </c>
      <c r="B282" t="s">
        <v>8</v>
      </c>
      <c r="C282">
        <f t="shared" si="23"/>
        <v>15</v>
      </c>
      <c r="D282" s="1" t="s">
        <v>16</v>
      </c>
      <c r="E282" s="1">
        <f t="shared" si="24"/>
        <v>1</v>
      </c>
      <c r="F282">
        <v>41</v>
      </c>
      <c r="H282">
        <f t="shared" si="20"/>
        <v>1.0000000000000001E-5</v>
      </c>
      <c r="I282">
        <v>5</v>
      </c>
      <c r="J282">
        <v>20</v>
      </c>
      <c r="K282">
        <f t="shared" si="21"/>
        <v>41</v>
      </c>
      <c r="L282">
        <f t="shared" si="22"/>
        <v>204999999.99999997</v>
      </c>
    </row>
    <row r="283" spans="1:12">
      <c r="A283" t="s">
        <v>23</v>
      </c>
      <c r="B283" t="s">
        <v>8</v>
      </c>
      <c r="C283">
        <f t="shared" si="23"/>
        <v>15</v>
      </c>
      <c r="D283" s="1" t="s">
        <v>16</v>
      </c>
      <c r="E283" s="1">
        <f t="shared" si="24"/>
        <v>2</v>
      </c>
      <c r="F283">
        <v>22</v>
      </c>
      <c r="H283">
        <f t="shared" si="20"/>
        <v>1.0000000000000001E-5</v>
      </c>
      <c r="I283">
        <v>5</v>
      </c>
      <c r="J283">
        <v>20</v>
      </c>
      <c r="K283">
        <f t="shared" si="21"/>
        <v>22</v>
      </c>
      <c r="L283">
        <f t="shared" si="22"/>
        <v>109999999.99999999</v>
      </c>
    </row>
    <row r="284" spans="1:12">
      <c r="A284" t="s">
        <v>23</v>
      </c>
      <c r="B284" t="s">
        <v>8</v>
      </c>
      <c r="C284">
        <f t="shared" si="23"/>
        <v>15</v>
      </c>
      <c r="D284" s="1" t="s">
        <v>16</v>
      </c>
      <c r="E284" s="1">
        <f t="shared" si="24"/>
        <v>3</v>
      </c>
      <c r="F284">
        <v>32</v>
      </c>
      <c r="H284">
        <f t="shared" si="20"/>
        <v>1.0000000000000001E-5</v>
      </c>
      <c r="I284">
        <v>5</v>
      </c>
      <c r="J284">
        <v>20</v>
      </c>
      <c r="K284">
        <f t="shared" si="21"/>
        <v>32</v>
      </c>
      <c r="L284">
        <f t="shared" si="22"/>
        <v>160000000</v>
      </c>
    </row>
    <row r="285" spans="1:12">
      <c r="A285" t="s">
        <v>23</v>
      </c>
      <c r="B285" t="s">
        <v>8</v>
      </c>
      <c r="C285">
        <f t="shared" si="23"/>
        <v>15</v>
      </c>
      <c r="D285" s="1" t="s">
        <v>16</v>
      </c>
      <c r="E285" s="1">
        <f t="shared" si="24"/>
        <v>4</v>
      </c>
      <c r="F285">
        <v>27</v>
      </c>
      <c r="H285">
        <f t="shared" si="20"/>
        <v>1.0000000000000001E-5</v>
      </c>
      <c r="I285">
        <v>5</v>
      </c>
      <c r="J285">
        <v>20</v>
      </c>
      <c r="K285">
        <f t="shared" si="21"/>
        <v>27</v>
      </c>
      <c r="L285">
        <f t="shared" si="22"/>
        <v>135000000</v>
      </c>
    </row>
    <row r="286" spans="1:12">
      <c r="A286" t="s">
        <v>23</v>
      </c>
      <c r="B286" t="s">
        <v>8</v>
      </c>
      <c r="C286">
        <f t="shared" si="23"/>
        <v>15</v>
      </c>
      <c r="D286" s="1" t="s">
        <v>16</v>
      </c>
      <c r="E286" s="1">
        <f t="shared" si="24"/>
        <v>5</v>
      </c>
      <c r="F286">
        <v>33</v>
      </c>
      <c r="H286">
        <f t="shared" si="20"/>
        <v>1.0000000000000001E-5</v>
      </c>
      <c r="I286">
        <v>5</v>
      </c>
      <c r="J286">
        <v>20</v>
      </c>
      <c r="K286">
        <f t="shared" si="21"/>
        <v>33</v>
      </c>
      <c r="L286">
        <f t="shared" si="22"/>
        <v>165000000</v>
      </c>
    </row>
    <row r="287" spans="1:12">
      <c r="A287" t="s">
        <v>23</v>
      </c>
      <c r="B287" t="s">
        <v>8</v>
      </c>
      <c r="C287">
        <f t="shared" si="23"/>
        <v>15</v>
      </c>
      <c r="D287" s="1" t="s">
        <v>16</v>
      </c>
      <c r="E287" s="1">
        <f t="shared" si="24"/>
        <v>6</v>
      </c>
      <c r="F287">
        <v>20</v>
      </c>
      <c r="H287">
        <f t="shared" si="20"/>
        <v>1.0000000000000001E-5</v>
      </c>
      <c r="I287">
        <v>5</v>
      </c>
      <c r="J287">
        <v>20</v>
      </c>
      <c r="K287">
        <f t="shared" si="21"/>
        <v>20</v>
      </c>
      <c r="L287">
        <f t="shared" si="22"/>
        <v>99999999.999999985</v>
      </c>
    </row>
    <row r="288" spans="1:12">
      <c r="A288" t="s">
        <v>23</v>
      </c>
      <c r="B288" t="s">
        <v>8</v>
      </c>
      <c r="C288">
        <f t="shared" si="23"/>
        <v>15</v>
      </c>
      <c r="D288" s="1" t="s">
        <v>16</v>
      </c>
      <c r="E288" s="1">
        <f t="shared" si="24"/>
        <v>7</v>
      </c>
      <c r="F288">
        <v>24</v>
      </c>
      <c r="H288">
        <f t="shared" si="20"/>
        <v>1.0000000000000001E-5</v>
      </c>
      <c r="I288">
        <v>5</v>
      </c>
      <c r="J288">
        <v>20</v>
      </c>
      <c r="K288">
        <f t="shared" si="21"/>
        <v>24</v>
      </c>
      <c r="L288">
        <f t="shared" si="22"/>
        <v>119999999.99999999</v>
      </c>
    </row>
    <row r="289" spans="1:12">
      <c r="A289" t="s">
        <v>23</v>
      </c>
      <c r="B289" t="s">
        <v>8</v>
      </c>
      <c r="C289">
        <f t="shared" si="23"/>
        <v>15</v>
      </c>
      <c r="D289" s="1" t="s">
        <v>16</v>
      </c>
      <c r="E289" s="1">
        <f t="shared" si="24"/>
        <v>8</v>
      </c>
      <c r="F289">
        <v>8</v>
      </c>
      <c r="H289">
        <f t="shared" si="20"/>
        <v>1.0000000000000001E-5</v>
      </c>
      <c r="I289">
        <v>5</v>
      </c>
      <c r="J289">
        <v>20</v>
      </c>
      <c r="K289">
        <f t="shared" si="21"/>
        <v>8</v>
      </c>
      <c r="L289">
        <f t="shared" si="22"/>
        <v>40000000</v>
      </c>
    </row>
    <row r="290" spans="1:12">
      <c r="A290" t="s">
        <v>23</v>
      </c>
      <c r="B290" t="s">
        <v>8</v>
      </c>
      <c r="C290">
        <f t="shared" si="23"/>
        <v>15</v>
      </c>
      <c r="D290" s="1" t="s">
        <v>16</v>
      </c>
      <c r="E290" s="1">
        <f t="shared" si="24"/>
        <v>9</v>
      </c>
      <c r="F290">
        <v>31</v>
      </c>
      <c r="H290">
        <f t="shared" si="20"/>
        <v>1.0000000000000001E-5</v>
      </c>
      <c r="I290">
        <v>5</v>
      </c>
      <c r="J290">
        <v>20</v>
      </c>
      <c r="K290">
        <f t="shared" si="21"/>
        <v>31</v>
      </c>
      <c r="L290">
        <f t="shared" si="22"/>
        <v>155000000</v>
      </c>
    </row>
    <row r="291" spans="1:12">
      <c r="A291" t="s">
        <v>23</v>
      </c>
      <c r="B291" t="s">
        <v>8</v>
      </c>
      <c r="C291">
        <f t="shared" si="23"/>
        <v>15</v>
      </c>
      <c r="D291" s="1" t="s">
        <v>16</v>
      </c>
      <c r="E291" s="1">
        <f t="shared" si="24"/>
        <v>10</v>
      </c>
      <c r="F291">
        <v>33</v>
      </c>
      <c r="H291">
        <f t="shared" si="20"/>
        <v>1.0000000000000001E-5</v>
      </c>
      <c r="I291">
        <v>5</v>
      </c>
      <c r="J291">
        <v>20</v>
      </c>
      <c r="K291">
        <f t="shared" si="21"/>
        <v>33</v>
      </c>
      <c r="L291">
        <f t="shared" si="22"/>
        <v>165000000</v>
      </c>
    </row>
    <row r="292" spans="1:12">
      <c r="A292" t="s">
        <v>23</v>
      </c>
      <c r="B292" t="s">
        <v>8</v>
      </c>
      <c r="C292">
        <f t="shared" si="23"/>
        <v>15.5</v>
      </c>
      <c r="D292" s="1" t="s">
        <v>16</v>
      </c>
      <c r="E292" s="1">
        <f t="shared" si="24"/>
        <v>1</v>
      </c>
      <c r="F292">
        <v>68</v>
      </c>
      <c r="H292">
        <f t="shared" si="20"/>
        <v>1E-3</v>
      </c>
      <c r="I292">
        <v>3</v>
      </c>
      <c r="J292">
        <v>20</v>
      </c>
      <c r="K292">
        <f t="shared" si="21"/>
        <v>68</v>
      </c>
      <c r="L292">
        <f t="shared" si="22"/>
        <v>3399999.9999999995</v>
      </c>
    </row>
    <row r="293" spans="1:12">
      <c r="A293" t="s">
        <v>23</v>
      </c>
      <c r="B293" t="s">
        <v>8</v>
      </c>
      <c r="C293">
        <f t="shared" si="23"/>
        <v>15.5</v>
      </c>
      <c r="D293" s="1" t="s">
        <v>16</v>
      </c>
      <c r="E293" s="1">
        <f t="shared" si="24"/>
        <v>2</v>
      </c>
      <c r="F293">
        <v>17</v>
      </c>
      <c r="H293">
        <f t="shared" si="20"/>
        <v>1.0000000000000001E-5</v>
      </c>
      <c r="I293">
        <v>5</v>
      </c>
      <c r="J293">
        <v>20</v>
      </c>
      <c r="K293">
        <f t="shared" si="21"/>
        <v>17</v>
      </c>
      <c r="L293">
        <f t="shared" si="22"/>
        <v>85000000</v>
      </c>
    </row>
    <row r="294" spans="1:12">
      <c r="A294" t="s">
        <v>23</v>
      </c>
      <c r="B294" t="s">
        <v>8</v>
      </c>
      <c r="C294">
        <f t="shared" si="23"/>
        <v>15.5</v>
      </c>
      <c r="D294" s="1" t="s">
        <v>16</v>
      </c>
      <c r="E294" s="1">
        <f t="shared" si="24"/>
        <v>3</v>
      </c>
      <c r="F294">
        <v>22</v>
      </c>
      <c r="H294">
        <f t="shared" si="20"/>
        <v>1E-4</v>
      </c>
      <c r="I294">
        <v>4</v>
      </c>
      <c r="J294">
        <v>20</v>
      </c>
      <c r="K294">
        <f t="shared" si="21"/>
        <v>22</v>
      </c>
      <c r="L294">
        <f t="shared" si="22"/>
        <v>10999999.999999998</v>
      </c>
    </row>
    <row r="295" spans="1:12">
      <c r="A295" t="s">
        <v>23</v>
      </c>
      <c r="B295" t="s">
        <v>8</v>
      </c>
      <c r="C295">
        <f t="shared" si="23"/>
        <v>15.5</v>
      </c>
      <c r="D295" s="1" t="s">
        <v>16</v>
      </c>
      <c r="E295" s="1">
        <f t="shared" si="24"/>
        <v>4</v>
      </c>
      <c r="F295">
        <v>19</v>
      </c>
      <c r="H295">
        <f t="shared" si="20"/>
        <v>1E-4</v>
      </c>
      <c r="I295">
        <v>4</v>
      </c>
      <c r="J295">
        <v>20</v>
      </c>
      <c r="K295">
        <f t="shared" si="21"/>
        <v>19</v>
      </c>
      <c r="L295">
        <f t="shared" si="22"/>
        <v>9499999.9999999981</v>
      </c>
    </row>
    <row r="296" spans="1:12">
      <c r="A296" t="s">
        <v>23</v>
      </c>
      <c r="B296" t="s">
        <v>8</v>
      </c>
      <c r="C296">
        <f t="shared" si="23"/>
        <v>15.5</v>
      </c>
      <c r="D296" s="1" t="s">
        <v>16</v>
      </c>
      <c r="E296" s="1">
        <f t="shared" si="24"/>
        <v>5</v>
      </c>
      <c r="F296">
        <v>20</v>
      </c>
      <c r="H296">
        <f t="shared" si="20"/>
        <v>1.0000000000000001E-5</v>
      </c>
      <c r="I296">
        <v>5</v>
      </c>
      <c r="J296">
        <v>20</v>
      </c>
      <c r="K296">
        <f t="shared" si="21"/>
        <v>20</v>
      </c>
      <c r="L296">
        <f t="shared" si="22"/>
        <v>99999999.999999985</v>
      </c>
    </row>
    <row r="297" spans="1:12">
      <c r="A297" t="s">
        <v>23</v>
      </c>
      <c r="B297" t="s">
        <v>8</v>
      </c>
      <c r="C297">
        <f t="shared" si="23"/>
        <v>15.5</v>
      </c>
      <c r="D297" s="1" t="s">
        <v>16</v>
      </c>
      <c r="E297" s="1">
        <f t="shared" si="24"/>
        <v>6</v>
      </c>
      <c r="F297">
        <v>34</v>
      </c>
      <c r="H297">
        <f t="shared" si="20"/>
        <v>0.1</v>
      </c>
      <c r="I297">
        <v>1</v>
      </c>
      <c r="J297">
        <v>20</v>
      </c>
      <c r="K297">
        <f t="shared" si="21"/>
        <v>34</v>
      </c>
      <c r="L297">
        <f t="shared" si="22"/>
        <v>17000</v>
      </c>
    </row>
    <row r="298" spans="1:12">
      <c r="A298" t="s">
        <v>23</v>
      </c>
      <c r="B298" t="s">
        <v>8</v>
      </c>
      <c r="C298">
        <f t="shared" si="23"/>
        <v>15.5</v>
      </c>
      <c r="D298" s="1" t="s">
        <v>16</v>
      </c>
      <c r="E298" s="1">
        <f t="shared" si="24"/>
        <v>7</v>
      </c>
      <c r="F298">
        <v>54</v>
      </c>
      <c r="H298">
        <f t="shared" si="20"/>
        <v>1E-3</v>
      </c>
      <c r="I298">
        <v>3</v>
      </c>
      <c r="J298">
        <v>20</v>
      </c>
      <c r="K298">
        <f t="shared" si="21"/>
        <v>54</v>
      </c>
      <c r="L298">
        <f t="shared" si="22"/>
        <v>2700000</v>
      </c>
    </row>
    <row r="299" spans="1:12">
      <c r="A299" t="s">
        <v>23</v>
      </c>
      <c r="B299" t="s">
        <v>8</v>
      </c>
      <c r="C299">
        <f t="shared" si="23"/>
        <v>15.5</v>
      </c>
      <c r="D299" s="1" t="s">
        <v>16</v>
      </c>
      <c r="E299" s="1">
        <f t="shared" si="24"/>
        <v>8</v>
      </c>
      <c r="F299">
        <v>11</v>
      </c>
      <c r="H299">
        <f t="shared" si="20"/>
        <v>1E-3</v>
      </c>
      <c r="I299">
        <v>3</v>
      </c>
      <c r="J299">
        <v>20</v>
      </c>
      <c r="K299">
        <f t="shared" si="21"/>
        <v>11</v>
      </c>
      <c r="L299">
        <f t="shared" si="22"/>
        <v>550000</v>
      </c>
    </row>
    <row r="300" spans="1:12">
      <c r="A300" t="s">
        <v>23</v>
      </c>
      <c r="B300" t="s">
        <v>8</v>
      </c>
      <c r="C300">
        <f t="shared" si="23"/>
        <v>15.5</v>
      </c>
      <c r="D300" s="1" t="s">
        <v>16</v>
      </c>
      <c r="E300" s="1">
        <f t="shared" si="24"/>
        <v>9</v>
      </c>
      <c r="F300">
        <v>7</v>
      </c>
      <c r="H300">
        <f t="shared" si="20"/>
        <v>1.0000000000000001E-5</v>
      </c>
      <c r="I300">
        <v>5</v>
      </c>
      <c r="J300">
        <v>20</v>
      </c>
      <c r="K300">
        <f t="shared" si="21"/>
        <v>7</v>
      </c>
      <c r="L300">
        <f t="shared" si="22"/>
        <v>35000000</v>
      </c>
    </row>
    <row r="301" spans="1:12">
      <c r="A301" t="s">
        <v>23</v>
      </c>
      <c r="B301" t="s">
        <v>8</v>
      </c>
      <c r="C301">
        <f t="shared" si="23"/>
        <v>15.5</v>
      </c>
      <c r="D301" s="1" t="s">
        <v>16</v>
      </c>
      <c r="E301" s="1">
        <f t="shared" si="24"/>
        <v>10</v>
      </c>
      <c r="F301">
        <v>38</v>
      </c>
      <c r="H301">
        <f t="shared" si="20"/>
        <v>1.0000000000000001E-5</v>
      </c>
      <c r="I301">
        <v>5</v>
      </c>
      <c r="J301">
        <v>20</v>
      </c>
      <c r="K301">
        <f t="shared" si="21"/>
        <v>38</v>
      </c>
      <c r="L301">
        <f t="shared" si="22"/>
        <v>189999999.99999997</v>
      </c>
    </row>
    <row r="302" spans="1:12">
      <c r="A302" t="s">
        <v>23</v>
      </c>
      <c r="B302" t="s">
        <v>8</v>
      </c>
      <c r="C302">
        <f t="shared" si="23"/>
        <v>16</v>
      </c>
      <c r="D302" s="1" t="s">
        <v>16</v>
      </c>
      <c r="E302" s="1">
        <f t="shared" si="24"/>
        <v>1</v>
      </c>
      <c r="F302">
        <v>15</v>
      </c>
      <c r="H302">
        <f t="shared" si="20"/>
        <v>9.9999999999999995E-7</v>
      </c>
      <c r="I302">
        <v>6</v>
      </c>
      <c r="J302">
        <v>20</v>
      </c>
      <c r="K302">
        <f t="shared" si="21"/>
        <v>15</v>
      </c>
      <c r="L302">
        <f t="shared" si="22"/>
        <v>750000000</v>
      </c>
    </row>
    <row r="303" spans="1:12">
      <c r="A303" t="s">
        <v>23</v>
      </c>
      <c r="B303" t="s">
        <v>8</v>
      </c>
      <c r="C303">
        <f t="shared" si="23"/>
        <v>16</v>
      </c>
      <c r="D303" s="1" t="s">
        <v>16</v>
      </c>
      <c r="E303" s="1">
        <f t="shared" si="24"/>
        <v>2</v>
      </c>
      <c r="F303">
        <v>35</v>
      </c>
      <c r="H303">
        <f t="shared" si="20"/>
        <v>1.0000000000000001E-5</v>
      </c>
      <c r="I303">
        <v>5</v>
      </c>
      <c r="J303">
        <v>20</v>
      </c>
      <c r="K303">
        <f t="shared" si="21"/>
        <v>35</v>
      </c>
      <c r="L303">
        <f t="shared" si="22"/>
        <v>174999999.99999997</v>
      </c>
    </row>
    <row r="304" spans="1:12">
      <c r="A304" t="s">
        <v>23</v>
      </c>
      <c r="B304" t="s">
        <v>8</v>
      </c>
      <c r="C304">
        <f t="shared" si="23"/>
        <v>16</v>
      </c>
      <c r="D304" s="1" t="s">
        <v>16</v>
      </c>
      <c r="E304" s="1">
        <f t="shared" si="24"/>
        <v>3</v>
      </c>
      <c r="F304">
        <v>22</v>
      </c>
      <c r="H304">
        <f t="shared" si="20"/>
        <v>9.9999999999999995E-7</v>
      </c>
      <c r="I304">
        <v>6</v>
      </c>
      <c r="J304">
        <v>20</v>
      </c>
      <c r="K304">
        <f t="shared" si="21"/>
        <v>22</v>
      </c>
      <c r="L304">
        <f t="shared" si="22"/>
        <v>1100000000</v>
      </c>
    </row>
    <row r="305" spans="1:12">
      <c r="A305" t="s">
        <v>23</v>
      </c>
      <c r="B305" t="s">
        <v>8</v>
      </c>
      <c r="C305">
        <f t="shared" si="23"/>
        <v>16</v>
      </c>
      <c r="D305" s="1" t="s">
        <v>16</v>
      </c>
      <c r="E305" s="1">
        <f t="shared" si="24"/>
        <v>4</v>
      </c>
      <c r="F305">
        <v>10</v>
      </c>
      <c r="H305">
        <f t="shared" si="20"/>
        <v>9.9999999999999995E-7</v>
      </c>
      <c r="I305">
        <v>6</v>
      </c>
      <c r="J305">
        <v>20</v>
      </c>
      <c r="K305">
        <f t="shared" si="21"/>
        <v>10</v>
      </c>
      <c r="L305">
        <f t="shared" si="22"/>
        <v>500000000</v>
      </c>
    </row>
    <row r="306" spans="1:12">
      <c r="A306" t="s">
        <v>23</v>
      </c>
      <c r="B306" t="s">
        <v>8</v>
      </c>
      <c r="C306">
        <f t="shared" si="23"/>
        <v>16</v>
      </c>
      <c r="D306" s="1" t="s">
        <v>16</v>
      </c>
      <c r="E306" s="1">
        <f t="shared" si="24"/>
        <v>5</v>
      </c>
      <c r="F306">
        <v>34</v>
      </c>
      <c r="H306">
        <f t="shared" si="20"/>
        <v>1.0000000000000001E-5</v>
      </c>
      <c r="I306">
        <v>5</v>
      </c>
      <c r="J306">
        <v>20</v>
      </c>
      <c r="K306">
        <f t="shared" si="21"/>
        <v>34</v>
      </c>
      <c r="L306">
        <f t="shared" si="22"/>
        <v>170000000</v>
      </c>
    </row>
    <row r="307" spans="1:12">
      <c r="A307" t="s">
        <v>23</v>
      </c>
      <c r="B307" t="s">
        <v>8</v>
      </c>
      <c r="C307">
        <f t="shared" si="23"/>
        <v>16</v>
      </c>
      <c r="D307" s="1" t="s">
        <v>16</v>
      </c>
      <c r="E307" s="1">
        <f t="shared" si="24"/>
        <v>6</v>
      </c>
      <c r="F307">
        <v>17</v>
      </c>
      <c r="H307">
        <f t="shared" si="20"/>
        <v>9.9999999999999995E-7</v>
      </c>
      <c r="I307">
        <v>6</v>
      </c>
      <c r="J307">
        <v>20</v>
      </c>
      <c r="K307">
        <f t="shared" si="21"/>
        <v>17</v>
      </c>
      <c r="L307">
        <f t="shared" si="22"/>
        <v>850000000</v>
      </c>
    </row>
    <row r="308" spans="1:12">
      <c r="A308" t="s">
        <v>23</v>
      </c>
      <c r="B308" t="s">
        <v>8</v>
      </c>
      <c r="C308">
        <f t="shared" si="23"/>
        <v>16</v>
      </c>
      <c r="D308" s="1" t="s">
        <v>16</v>
      </c>
      <c r="E308" s="1">
        <f t="shared" si="24"/>
        <v>7</v>
      </c>
      <c r="F308">
        <v>30</v>
      </c>
      <c r="H308">
        <f t="shared" si="20"/>
        <v>9.9999999999999995E-7</v>
      </c>
      <c r="I308">
        <v>6</v>
      </c>
      <c r="J308">
        <v>20</v>
      </c>
      <c r="K308">
        <f t="shared" si="21"/>
        <v>30</v>
      </c>
      <c r="L308">
        <f t="shared" si="22"/>
        <v>1500000000</v>
      </c>
    </row>
    <row r="309" spans="1:12">
      <c r="A309" t="s">
        <v>23</v>
      </c>
      <c r="B309" t="s">
        <v>8</v>
      </c>
      <c r="C309">
        <f t="shared" si="23"/>
        <v>16</v>
      </c>
      <c r="D309" s="1" t="s">
        <v>16</v>
      </c>
      <c r="E309" s="1">
        <f t="shared" si="24"/>
        <v>8</v>
      </c>
      <c r="F309">
        <v>58</v>
      </c>
      <c r="H309">
        <f t="shared" si="20"/>
        <v>1.0000000000000001E-5</v>
      </c>
      <c r="I309">
        <v>5</v>
      </c>
      <c r="J309">
        <v>20</v>
      </c>
      <c r="K309">
        <f t="shared" si="21"/>
        <v>58</v>
      </c>
      <c r="L309">
        <f t="shared" si="22"/>
        <v>290000000</v>
      </c>
    </row>
    <row r="310" spans="1:12">
      <c r="A310" t="s">
        <v>23</v>
      </c>
      <c r="B310" t="s">
        <v>8</v>
      </c>
      <c r="C310">
        <f t="shared" si="23"/>
        <v>16</v>
      </c>
      <c r="D310" s="1" t="s">
        <v>16</v>
      </c>
      <c r="E310" s="1">
        <f t="shared" si="24"/>
        <v>9</v>
      </c>
      <c r="F310">
        <v>56</v>
      </c>
      <c r="H310">
        <f t="shared" si="20"/>
        <v>1.0000000000000001E-5</v>
      </c>
      <c r="I310">
        <v>5</v>
      </c>
      <c r="J310">
        <v>20</v>
      </c>
      <c r="K310">
        <f t="shared" si="21"/>
        <v>56</v>
      </c>
      <c r="L310">
        <f t="shared" si="22"/>
        <v>280000000</v>
      </c>
    </row>
    <row r="311" spans="1:12">
      <c r="A311" t="s">
        <v>23</v>
      </c>
      <c r="B311" t="s">
        <v>8</v>
      </c>
      <c r="C311">
        <f t="shared" si="23"/>
        <v>16</v>
      </c>
      <c r="D311" s="1" t="s">
        <v>16</v>
      </c>
      <c r="E311" s="1">
        <f t="shared" si="24"/>
        <v>10</v>
      </c>
      <c r="F311">
        <v>35</v>
      </c>
      <c r="H311">
        <f t="shared" si="20"/>
        <v>1.0000000000000001E-5</v>
      </c>
      <c r="I311">
        <v>5</v>
      </c>
      <c r="J311">
        <v>20</v>
      </c>
      <c r="K311">
        <f t="shared" si="21"/>
        <v>35</v>
      </c>
      <c r="L311">
        <f t="shared" si="22"/>
        <v>174999999.99999997</v>
      </c>
    </row>
    <row r="312" spans="1:12">
      <c r="A312" t="s">
        <v>23</v>
      </c>
      <c r="B312" t="s">
        <v>8</v>
      </c>
      <c r="C312">
        <f t="shared" si="23"/>
        <v>16.5</v>
      </c>
      <c r="D312" s="1" t="s">
        <v>16</v>
      </c>
      <c r="E312" s="1">
        <f t="shared" si="24"/>
        <v>1</v>
      </c>
      <c r="F312">
        <v>14</v>
      </c>
      <c r="H312">
        <f t="shared" si="20"/>
        <v>1E-4</v>
      </c>
      <c r="I312">
        <v>4</v>
      </c>
      <c r="J312">
        <v>20</v>
      </c>
      <c r="K312">
        <f t="shared" si="21"/>
        <v>14</v>
      </c>
      <c r="L312">
        <f t="shared" si="22"/>
        <v>6999999.9999999991</v>
      </c>
    </row>
    <row r="313" spans="1:12">
      <c r="A313" t="s">
        <v>23</v>
      </c>
      <c r="B313" t="s">
        <v>8</v>
      </c>
      <c r="C313">
        <f t="shared" si="23"/>
        <v>16.5</v>
      </c>
      <c r="D313" s="1" t="s">
        <v>16</v>
      </c>
      <c r="E313" s="1">
        <f t="shared" si="24"/>
        <v>2</v>
      </c>
      <c r="F313">
        <v>20</v>
      </c>
      <c r="H313">
        <f t="shared" si="20"/>
        <v>1.0000000000000001E-5</v>
      </c>
      <c r="I313">
        <v>5</v>
      </c>
      <c r="J313">
        <v>20</v>
      </c>
      <c r="K313">
        <f t="shared" si="21"/>
        <v>20</v>
      </c>
      <c r="L313">
        <f t="shared" si="22"/>
        <v>99999999.999999985</v>
      </c>
    </row>
    <row r="314" spans="1:12">
      <c r="A314" t="s">
        <v>23</v>
      </c>
      <c r="B314" t="s">
        <v>8</v>
      </c>
      <c r="C314">
        <f t="shared" si="23"/>
        <v>16.5</v>
      </c>
      <c r="D314" s="1" t="s">
        <v>16</v>
      </c>
      <c r="E314" s="1">
        <f t="shared" si="24"/>
        <v>3</v>
      </c>
      <c r="F314">
        <v>31</v>
      </c>
      <c r="H314">
        <f t="shared" si="20"/>
        <v>1E-4</v>
      </c>
      <c r="I314">
        <v>4</v>
      </c>
      <c r="J314">
        <v>20</v>
      </c>
      <c r="K314">
        <f t="shared" si="21"/>
        <v>31</v>
      </c>
      <c r="L314">
        <f t="shared" si="22"/>
        <v>15499999.999999998</v>
      </c>
    </row>
    <row r="315" spans="1:12">
      <c r="A315" t="s">
        <v>23</v>
      </c>
      <c r="B315" t="s">
        <v>8</v>
      </c>
      <c r="C315">
        <f t="shared" si="23"/>
        <v>16.5</v>
      </c>
      <c r="D315" s="1" t="s">
        <v>16</v>
      </c>
      <c r="E315" s="1">
        <f t="shared" si="24"/>
        <v>4</v>
      </c>
      <c r="F315">
        <v>17</v>
      </c>
      <c r="H315">
        <f t="shared" si="20"/>
        <v>1E-4</v>
      </c>
      <c r="I315">
        <v>4</v>
      </c>
      <c r="J315">
        <v>20</v>
      </c>
      <c r="K315">
        <f t="shared" si="21"/>
        <v>17</v>
      </c>
      <c r="L315">
        <f t="shared" si="22"/>
        <v>8499999.9999999981</v>
      </c>
    </row>
    <row r="316" spans="1:12">
      <c r="A316" t="s">
        <v>23</v>
      </c>
      <c r="B316" t="s">
        <v>8</v>
      </c>
      <c r="C316">
        <f t="shared" si="23"/>
        <v>16.5</v>
      </c>
      <c r="D316" s="1" t="s">
        <v>16</v>
      </c>
      <c r="E316" s="1">
        <f t="shared" si="24"/>
        <v>5</v>
      </c>
      <c r="F316">
        <v>20</v>
      </c>
      <c r="H316">
        <f t="shared" si="20"/>
        <v>1.0000000000000001E-5</v>
      </c>
      <c r="I316">
        <v>5</v>
      </c>
      <c r="J316">
        <v>20</v>
      </c>
      <c r="K316">
        <f t="shared" si="21"/>
        <v>20</v>
      </c>
      <c r="L316">
        <f t="shared" si="22"/>
        <v>99999999.999999985</v>
      </c>
    </row>
    <row r="317" spans="1:12">
      <c r="A317" t="s">
        <v>23</v>
      </c>
      <c r="B317" t="s">
        <v>8</v>
      </c>
      <c r="C317">
        <f t="shared" si="23"/>
        <v>16.5</v>
      </c>
      <c r="D317" s="1" t="s">
        <v>16</v>
      </c>
      <c r="E317" s="1">
        <f t="shared" si="24"/>
        <v>6</v>
      </c>
      <c r="F317">
        <v>10</v>
      </c>
      <c r="H317">
        <f t="shared" si="20"/>
        <v>1.0000000000000001E-5</v>
      </c>
      <c r="I317">
        <v>5</v>
      </c>
      <c r="J317">
        <v>20</v>
      </c>
      <c r="K317">
        <f t="shared" si="21"/>
        <v>10</v>
      </c>
      <c r="L317">
        <f t="shared" si="22"/>
        <v>49999999.999999993</v>
      </c>
    </row>
    <row r="318" spans="1:12">
      <c r="A318" t="s">
        <v>23</v>
      </c>
      <c r="B318" t="s">
        <v>8</v>
      </c>
      <c r="C318">
        <f t="shared" si="23"/>
        <v>16.5</v>
      </c>
      <c r="D318" s="1" t="s">
        <v>16</v>
      </c>
      <c r="E318" s="1">
        <f t="shared" si="24"/>
        <v>7</v>
      </c>
      <c r="F318">
        <v>28</v>
      </c>
      <c r="H318">
        <f t="shared" si="20"/>
        <v>1E-3</v>
      </c>
      <c r="I318">
        <v>3</v>
      </c>
      <c r="J318">
        <v>20</v>
      </c>
      <c r="K318">
        <f t="shared" si="21"/>
        <v>28</v>
      </c>
      <c r="L318">
        <f t="shared" si="22"/>
        <v>1400000</v>
      </c>
    </row>
    <row r="319" spans="1:12">
      <c r="A319" t="s">
        <v>23</v>
      </c>
      <c r="B319" t="s">
        <v>8</v>
      </c>
      <c r="C319">
        <f t="shared" si="23"/>
        <v>16.5</v>
      </c>
      <c r="D319" s="1" t="s">
        <v>16</v>
      </c>
      <c r="E319" s="1">
        <f t="shared" si="24"/>
        <v>8</v>
      </c>
      <c r="F319">
        <v>15</v>
      </c>
      <c r="H319">
        <f t="shared" si="20"/>
        <v>1.0000000000000001E-5</v>
      </c>
      <c r="I319">
        <v>5</v>
      </c>
      <c r="J319">
        <v>20</v>
      </c>
      <c r="K319">
        <f t="shared" si="21"/>
        <v>15</v>
      </c>
      <c r="L319">
        <f t="shared" si="22"/>
        <v>75000000</v>
      </c>
    </row>
    <row r="320" spans="1:12">
      <c r="A320" t="s">
        <v>23</v>
      </c>
      <c r="B320" t="s">
        <v>8</v>
      </c>
      <c r="C320">
        <f t="shared" si="23"/>
        <v>16.5</v>
      </c>
      <c r="D320" s="1" t="s">
        <v>16</v>
      </c>
      <c r="E320" s="1">
        <f t="shared" si="24"/>
        <v>9</v>
      </c>
      <c r="F320">
        <v>15</v>
      </c>
      <c r="H320">
        <f t="shared" si="20"/>
        <v>1.0000000000000001E-5</v>
      </c>
      <c r="I320">
        <v>5</v>
      </c>
      <c r="J320">
        <v>20</v>
      </c>
      <c r="K320">
        <f t="shared" si="21"/>
        <v>15</v>
      </c>
      <c r="L320">
        <f t="shared" si="22"/>
        <v>75000000</v>
      </c>
    </row>
    <row r="321" spans="1:12">
      <c r="A321" t="s">
        <v>23</v>
      </c>
      <c r="B321" t="s">
        <v>8</v>
      </c>
      <c r="C321">
        <f t="shared" si="23"/>
        <v>16.5</v>
      </c>
      <c r="D321" s="1" t="s">
        <v>16</v>
      </c>
      <c r="E321" s="1">
        <f t="shared" si="24"/>
        <v>10</v>
      </c>
      <c r="F321">
        <v>24</v>
      </c>
      <c r="H321">
        <f t="shared" si="20"/>
        <v>1.0000000000000001E-5</v>
      </c>
      <c r="I321">
        <v>5</v>
      </c>
      <c r="J321">
        <v>20</v>
      </c>
      <c r="K321">
        <f t="shared" si="21"/>
        <v>24</v>
      </c>
      <c r="L321">
        <f t="shared" si="22"/>
        <v>119999999.99999999</v>
      </c>
    </row>
    <row r="322" spans="1:12">
      <c r="A322" t="s">
        <v>23</v>
      </c>
      <c r="B322" t="s">
        <v>8</v>
      </c>
      <c r="C322">
        <f t="shared" si="23"/>
        <v>17</v>
      </c>
      <c r="D322" s="1" t="s">
        <v>16</v>
      </c>
      <c r="E322" s="1">
        <f t="shared" si="24"/>
        <v>1</v>
      </c>
      <c r="F322">
        <v>49</v>
      </c>
      <c r="H322">
        <f t="shared" ref="H322:H385" si="25">1/(10^I322)</f>
        <v>1.0000000000000001E-5</v>
      </c>
      <c r="I322">
        <v>5</v>
      </c>
      <c r="J322">
        <v>20</v>
      </c>
      <c r="K322">
        <f t="shared" si="21"/>
        <v>49</v>
      </c>
      <c r="L322">
        <f t="shared" si="22"/>
        <v>244999999.99999997</v>
      </c>
    </row>
    <row r="323" spans="1:12">
      <c r="A323" t="s">
        <v>23</v>
      </c>
      <c r="B323" t="s">
        <v>8</v>
      </c>
      <c r="C323">
        <f t="shared" si="23"/>
        <v>17</v>
      </c>
      <c r="D323" s="1" t="s">
        <v>16</v>
      </c>
      <c r="E323" s="1">
        <f t="shared" si="24"/>
        <v>2</v>
      </c>
      <c r="F323">
        <v>25</v>
      </c>
      <c r="H323">
        <f t="shared" si="25"/>
        <v>1.0000000000000001E-5</v>
      </c>
      <c r="I323">
        <v>5</v>
      </c>
      <c r="J323">
        <v>20</v>
      </c>
      <c r="K323">
        <f t="shared" ref="K323:K386" si="26">F323</f>
        <v>25</v>
      </c>
      <c r="L323">
        <f t="shared" ref="L323:L386" si="27">K323/(H323*(J323/1000))</f>
        <v>124999999.99999999</v>
      </c>
    </row>
    <row r="324" spans="1:12">
      <c r="A324" t="s">
        <v>23</v>
      </c>
      <c r="B324" t="s">
        <v>8</v>
      </c>
      <c r="C324">
        <f t="shared" si="23"/>
        <v>17</v>
      </c>
      <c r="D324" s="1" t="s">
        <v>16</v>
      </c>
      <c r="E324" s="1">
        <f t="shared" si="24"/>
        <v>3</v>
      </c>
      <c r="F324">
        <v>41</v>
      </c>
      <c r="H324">
        <f t="shared" si="25"/>
        <v>1.0000000000000001E-5</v>
      </c>
      <c r="I324">
        <v>5</v>
      </c>
      <c r="J324">
        <v>20</v>
      </c>
      <c r="K324">
        <f t="shared" si="26"/>
        <v>41</v>
      </c>
      <c r="L324">
        <f t="shared" si="27"/>
        <v>204999999.99999997</v>
      </c>
    </row>
    <row r="325" spans="1:12">
      <c r="A325" t="s">
        <v>23</v>
      </c>
      <c r="B325" t="s">
        <v>8</v>
      </c>
      <c r="C325">
        <f t="shared" si="23"/>
        <v>17</v>
      </c>
      <c r="D325" s="1" t="s">
        <v>16</v>
      </c>
      <c r="E325" s="1">
        <f t="shared" si="24"/>
        <v>4</v>
      </c>
      <c r="F325">
        <v>19</v>
      </c>
      <c r="H325">
        <f t="shared" si="25"/>
        <v>1.0000000000000001E-5</v>
      </c>
      <c r="I325">
        <v>5</v>
      </c>
      <c r="J325">
        <v>20</v>
      </c>
      <c r="K325">
        <f t="shared" si="26"/>
        <v>19</v>
      </c>
      <c r="L325">
        <f t="shared" si="27"/>
        <v>94999999.999999985</v>
      </c>
    </row>
    <row r="326" spans="1:12">
      <c r="A326" t="s">
        <v>23</v>
      </c>
      <c r="B326" t="s">
        <v>8</v>
      </c>
      <c r="C326">
        <f t="shared" si="23"/>
        <v>17</v>
      </c>
      <c r="D326" s="1" t="s">
        <v>16</v>
      </c>
      <c r="E326" s="1">
        <f t="shared" si="24"/>
        <v>5</v>
      </c>
      <c r="F326">
        <v>23</v>
      </c>
      <c r="H326">
        <f t="shared" si="25"/>
        <v>1.0000000000000001E-5</v>
      </c>
      <c r="I326">
        <v>5</v>
      </c>
      <c r="J326">
        <v>20</v>
      </c>
      <c r="K326">
        <f t="shared" si="26"/>
        <v>23</v>
      </c>
      <c r="L326">
        <f t="shared" si="27"/>
        <v>114999999.99999999</v>
      </c>
    </row>
    <row r="327" spans="1:12">
      <c r="A327" t="s">
        <v>23</v>
      </c>
      <c r="B327" t="s">
        <v>8</v>
      </c>
      <c r="C327">
        <f t="shared" si="23"/>
        <v>17</v>
      </c>
      <c r="D327" s="1" t="s">
        <v>16</v>
      </c>
      <c r="E327" s="1">
        <f t="shared" si="24"/>
        <v>6</v>
      </c>
      <c r="F327">
        <v>66</v>
      </c>
      <c r="H327">
        <f t="shared" si="25"/>
        <v>1.0000000000000001E-5</v>
      </c>
      <c r="I327">
        <v>5</v>
      </c>
      <c r="J327">
        <v>20</v>
      </c>
      <c r="K327">
        <f t="shared" si="26"/>
        <v>66</v>
      </c>
      <c r="L327">
        <f t="shared" si="27"/>
        <v>330000000</v>
      </c>
    </row>
    <row r="328" spans="1:12">
      <c r="A328" t="s">
        <v>23</v>
      </c>
      <c r="B328" t="s">
        <v>8</v>
      </c>
      <c r="C328">
        <f t="shared" si="23"/>
        <v>17</v>
      </c>
      <c r="D328" s="1" t="s">
        <v>16</v>
      </c>
      <c r="E328" s="1">
        <f t="shared" si="24"/>
        <v>7</v>
      </c>
      <c r="F328">
        <v>35</v>
      </c>
      <c r="H328">
        <f t="shared" si="25"/>
        <v>1.0000000000000001E-5</v>
      </c>
      <c r="I328">
        <v>5</v>
      </c>
      <c r="J328">
        <v>20</v>
      </c>
      <c r="K328">
        <f t="shared" si="26"/>
        <v>35</v>
      </c>
      <c r="L328">
        <f t="shared" si="27"/>
        <v>174999999.99999997</v>
      </c>
    </row>
    <row r="329" spans="1:12">
      <c r="A329" t="s">
        <v>23</v>
      </c>
      <c r="B329" t="s">
        <v>8</v>
      </c>
      <c r="C329">
        <f t="shared" si="23"/>
        <v>17</v>
      </c>
      <c r="D329" s="1" t="s">
        <v>16</v>
      </c>
      <c r="E329" s="1">
        <f t="shared" si="24"/>
        <v>8</v>
      </c>
      <c r="F329">
        <v>42</v>
      </c>
      <c r="H329">
        <f t="shared" si="25"/>
        <v>1.0000000000000001E-5</v>
      </c>
      <c r="I329">
        <v>5</v>
      </c>
      <c r="J329">
        <v>20</v>
      </c>
      <c r="K329">
        <f t="shared" si="26"/>
        <v>42</v>
      </c>
      <c r="L329">
        <f t="shared" si="27"/>
        <v>209999999.99999997</v>
      </c>
    </row>
    <row r="330" spans="1:12">
      <c r="A330" t="s">
        <v>23</v>
      </c>
      <c r="B330" t="s">
        <v>8</v>
      </c>
      <c r="C330">
        <f t="shared" si="23"/>
        <v>17</v>
      </c>
      <c r="D330" s="1" t="s">
        <v>16</v>
      </c>
      <c r="E330" s="1">
        <f t="shared" si="24"/>
        <v>9</v>
      </c>
      <c r="F330">
        <v>65</v>
      </c>
      <c r="H330">
        <f t="shared" si="25"/>
        <v>1.0000000000000001E-5</v>
      </c>
      <c r="I330">
        <v>5</v>
      </c>
      <c r="J330">
        <v>20</v>
      </c>
      <c r="K330">
        <f t="shared" si="26"/>
        <v>65</v>
      </c>
      <c r="L330">
        <f t="shared" si="27"/>
        <v>325000000</v>
      </c>
    </row>
    <row r="331" spans="1:12">
      <c r="A331" t="s">
        <v>23</v>
      </c>
      <c r="B331" t="s">
        <v>8</v>
      </c>
      <c r="C331">
        <f t="shared" si="23"/>
        <v>17</v>
      </c>
      <c r="D331" s="1" t="s">
        <v>16</v>
      </c>
      <c r="E331" s="1">
        <f t="shared" si="24"/>
        <v>10</v>
      </c>
      <c r="F331">
        <v>34</v>
      </c>
      <c r="H331">
        <f t="shared" si="25"/>
        <v>1.0000000000000001E-5</v>
      </c>
      <c r="I331">
        <v>5</v>
      </c>
      <c r="J331">
        <v>20</v>
      </c>
      <c r="K331">
        <f t="shared" si="26"/>
        <v>34</v>
      </c>
      <c r="L331">
        <f t="shared" si="27"/>
        <v>170000000</v>
      </c>
    </row>
    <row r="332" spans="1:12">
      <c r="A332" t="s">
        <v>23</v>
      </c>
      <c r="B332" t="s">
        <v>8</v>
      </c>
      <c r="C332">
        <f t="shared" si="23"/>
        <v>17.5</v>
      </c>
      <c r="D332" s="1" t="s">
        <v>16</v>
      </c>
      <c r="E332" s="1">
        <f t="shared" si="24"/>
        <v>1</v>
      </c>
      <c r="F332">
        <v>23</v>
      </c>
      <c r="H332">
        <f t="shared" si="25"/>
        <v>1E-4</v>
      </c>
      <c r="I332">
        <v>4</v>
      </c>
      <c r="J332">
        <v>20</v>
      </c>
      <c r="K332">
        <f t="shared" si="26"/>
        <v>23</v>
      </c>
      <c r="L332">
        <f t="shared" si="27"/>
        <v>11499999.999999998</v>
      </c>
    </row>
    <row r="333" spans="1:12">
      <c r="A333" t="s">
        <v>23</v>
      </c>
      <c r="B333" t="s">
        <v>8</v>
      </c>
      <c r="C333">
        <f t="shared" ref="C333:C396" si="28">C323+0.5</f>
        <v>17.5</v>
      </c>
      <c r="D333" s="1" t="s">
        <v>16</v>
      </c>
      <c r="E333" s="1">
        <f t="shared" ref="E333:E396" si="29">E323</f>
        <v>2</v>
      </c>
      <c r="F333">
        <v>22</v>
      </c>
      <c r="H333">
        <f t="shared" si="25"/>
        <v>1.0000000000000001E-5</v>
      </c>
      <c r="I333">
        <v>5</v>
      </c>
      <c r="J333">
        <v>20</v>
      </c>
      <c r="K333">
        <f t="shared" si="26"/>
        <v>22</v>
      </c>
      <c r="L333">
        <f t="shared" si="27"/>
        <v>109999999.99999999</v>
      </c>
    </row>
    <row r="334" spans="1:12">
      <c r="A334" t="s">
        <v>23</v>
      </c>
      <c r="B334" t="s">
        <v>8</v>
      </c>
      <c r="C334">
        <f t="shared" si="28"/>
        <v>17.5</v>
      </c>
      <c r="D334" s="1" t="s">
        <v>16</v>
      </c>
      <c r="E334" s="1">
        <f t="shared" si="29"/>
        <v>3</v>
      </c>
      <c r="F334">
        <v>45</v>
      </c>
      <c r="H334">
        <f t="shared" si="25"/>
        <v>1E-4</v>
      </c>
      <c r="I334">
        <v>4</v>
      </c>
      <c r="J334">
        <v>20</v>
      </c>
      <c r="K334">
        <f t="shared" si="26"/>
        <v>45</v>
      </c>
      <c r="L334">
        <f t="shared" si="27"/>
        <v>22499999.999999996</v>
      </c>
    </row>
    <row r="335" spans="1:12">
      <c r="A335" t="s">
        <v>23</v>
      </c>
      <c r="B335" t="s">
        <v>8</v>
      </c>
      <c r="C335">
        <f t="shared" si="28"/>
        <v>17.5</v>
      </c>
      <c r="D335" s="1" t="s">
        <v>16</v>
      </c>
      <c r="E335" s="1">
        <f t="shared" si="29"/>
        <v>4</v>
      </c>
      <c r="F335">
        <v>17</v>
      </c>
      <c r="H335">
        <f t="shared" si="25"/>
        <v>1E-4</v>
      </c>
      <c r="I335">
        <v>4</v>
      </c>
      <c r="J335">
        <v>20</v>
      </c>
      <c r="K335">
        <f t="shared" si="26"/>
        <v>17</v>
      </c>
      <c r="L335">
        <f t="shared" si="27"/>
        <v>8499999.9999999981</v>
      </c>
    </row>
    <row r="336" spans="1:12">
      <c r="A336" t="s">
        <v>23</v>
      </c>
      <c r="B336" t="s">
        <v>8</v>
      </c>
      <c r="C336">
        <f t="shared" si="28"/>
        <v>17.5</v>
      </c>
      <c r="D336" s="1" t="s">
        <v>16</v>
      </c>
      <c r="E336" s="1">
        <f t="shared" si="29"/>
        <v>5</v>
      </c>
      <c r="F336">
        <v>34</v>
      </c>
      <c r="H336">
        <f t="shared" si="25"/>
        <v>1.0000000000000001E-5</v>
      </c>
      <c r="I336">
        <v>5</v>
      </c>
      <c r="J336">
        <v>20</v>
      </c>
      <c r="K336">
        <f t="shared" si="26"/>
        <v>34</v>
      </c>
      <c r="L336">
        <f t="shared" si="27"/>
        <v>170000000</v>
      </c>
    </row>
    <row r="337" spans="1:12">
      <c r="A337" t="s">
        <v>23</v>
      </c>
      <c r="B337" t="s">
        <v>8</v>
      </c>
      <c r="C337">
        <f t="shared" si="28"/>
        <v>17.5</v>
      </c>
      <c r="D337" s="1" t="s">
        <v>16</v>
      </c>
      <c r="E337" s="1">
        <f t="shared" si="29"/>
        <v>6</v>
      </c>
      <c r="F337">
        <v>6</v>
      </c>
      <c r="H337">
        <f t="shared" si="25"/>
        <v>1.0000000000000001E-5</v>
      </c>
      <c r="I337">
        <v>5</v>
      </c>
      <c r="J337">
        <v>20</v>
      </c>
      <c r="K337">
        <f t="shared" si="26"/>
        <v>6</v>
      </c>
      <c r="L337">
        <f t="shared" si="27"/>
        <v>29999999.999999996</v>
      </c>
    </row>
    <row r="338" spans="1:12">
      <c r="A338" t="s">
        <v>23</v>
      </c>
      <c r="B338" t="s">
        <v>8</v>
      </c>
      <c r="C338">
        <f t="shared" si="28"/>
        <v>17.5</v>
      </c>
      <c r="D338" s="1" t="s">
        <v>16</v>
      </c>
      <c r="E338" s="1">
        <f t="shared" si="29"/>
        <v>7</v>
      </c>
      <c r="F338">
        <v>43</v>
      </c>
      <c r="H338">
        <f t="shared" si="25"/>
        <v>1E-4</v>
      </c>
      <c r="I338">
        <v>4</v>
      </c>
      <c r="J338">
        <v>20</v>
      </c>
      <c r="K338">
        <f t="shared" si="26"/>
        <v>43</v>
      </c>
      <c r="L338">
        <f t="shared" si="27"/>
        <v>21499999.999999996</v>
      </c>
    </row>
    <row r="339" spans="1:12">
      <c r="A339" t="s">
        <v>23</v>
      </c>
      <c r="B339" t="s">
        <v>8</v>
      </c>
      <c r="C339">
        <f t="shared" si="28"/>
        <v>17.5</v>
      </c>
      <c r="D339" s="1" t="s">
        <v>16</v>
      </c>
      <c r="E339" s="1">
        <f t="shared" si="29"/>
        <v>8</v>
      </c>
      <c r="F339">
        <v>35</v>
      </c>
      <c r="H339">
        <f t="shared" si="25"/>
        <v>1.0000000000000001E-5</v>
      </c>
      <c r="I339">
        <v>5</v>
      </c>
      <c r="J339">
        <v>20</v>
      </c>
      <c r="K339">
        <f t="shared" si="26"/>
        <v>35</v>
      </c>
      <c r="L339">
        <f t="shared" si="27"/>
        <v>174999999.99999997</v>
      </c>
    </row>
    <row r="340" spans="1:12">
      <c r="A340" t="s">
        <v>23</v>
      </c>
      <c r="B340" t="s">
        <v>8</v>
      </c>
      <c r="C340">
        <f t="shared" si="28"/>
        <v>17.5</v>
      </c>
      <c r="D340" s="1" t="s">
        <v>16</v>
      </c>
      <c r="E340" s="1">
        <f t="shared" si="29"/>
        <v>9</v>
      </c>
      <c r="F340">
        <v>18</v>
      </c>
      <c r="H340">
        <f t="shared" si="25"/>
        <v>1.0000000000000001E-5</v>
      </c>
      <c r="I340">
        <v>5</v>
      </c>
      <c r="J340">
        <v>20</v>
      </c>
      <c r="K340">
        <f t="shared" si="26"/>
        <v>18</v>
      </c>
      <c r="L340">
        <f t="shared" si="27"/>
        <v>89999999.999999985</v>
      </c>
    </row>
    <row r="341" spans="1:12">
      <c r="A341" t="s">
        <v>23</v>
      </c>
      <c r="B341" t="s">
        <v>8</v>
      </c>
      <c r="C341">
        <f t="shared" si="28"/>
        <v>17.5</v>
      </c>
      <c r="D341" s="1" t="s">
        <v>16</v>
      </c>
      <c r="E341" s="1">
        <f t="shared" si="29"/>
        <v>10</v>
      </c>
      <c r="F341">
        <v>57</v>
      </c>
      <c r="H341">
        <f t="shared" si="25"/>
        <v>1.0000000000000001E-5</v>
      </c>
      <c r="I341">
        <v>5</v>
      </c>
      <c r="J341">
        <v>20</v>
      </c>
      <c r="K341">
        <f t="shared" si="26"/>
        <v>57</v>
      </c>
      <c r="L341">
        <f t="shared" si="27"/>
        <v>285000000</v>
      </c>
    </row>
    <row r="342" spans="1:12">
      <c r="A342" t="s">
        <v>23</v>
      </c>
      <c r="B342" t="s">
        <v>8</v>
      </c>
      <c r="C342">
        <f t="shared" si="28"/>
        <v>18</v>
      </c>
      <c r="D342" s="1" t="s">
        <v>16</v>
      </c>
      <c r="E342" s="1">
        <f t="shared" si="29"/>
        <v>1</v>
      </c>
      <c r="F342">
        <v>45</v>
      </c>
      <c r="H342">
        <f t="shared" si="25"/>
        <v>1.0000000000000001E-5</v>
      </c>
      <c r="I342">
        <v>5</v>
      </c>
      <c r="J342">
        <v>20</v>
      </c>
      <c r="K342">
        <f t="shared" si="26"/>
        <v>45</v>
      </c>
      <c r="L342">
        <f t="shared" si="27"/>
        <v>224999999.99999997</v>
      </c>
    </row>
    <row r="343" spans="1:12">
      <c r="A343" t="s">
        <v>23</v>
      </c>
      <c r="B343" t="s">
        <v>8</v>
      </c>
      <c r="C343">
        <f t="shared" si="28"/>
        <v>18</v>
      </c>
      <c r="D343" s="1" t="s">
        <v>16</v>
      </c>
      <c r="E343" s="1">
        <f t="shared" si="29"/>
        <v>2</v>
      </c>
      <c r="F343">
        <v>36</v>
      </c>
      <c r="H343">
        <f t="shared" si="25"/>
        <v>1.0000000000000001E-5</v>
      </c>
      <c r="I343">
        <v>5</v>
      </c>
      <c r="J343">
        <v>20</v>
      </c>
      <c r="K343">
        <f t="shared" si="26"/>
        <v>36</v>
      </c>
      <c r="L343">
        <f t="shared" si="27"/>
        <v>179999999.99999997</v>
      </c>
    </row>
    <row r="344" spans="1:12">
      <c r="A344" t="s">
        <v>23</v>
      </c>
      <c r="B344" t="s">
        <v>8</v>
      </c>
      <c r="C344">
        <f t="shared" si="28"/>
        <v>18</v>
      </c>
      <c r="D344" s="1" t="s">
        <v>16</v>
      </c>
      <c r="E344" s="1">
        <f t="shared" si="29"/>
        <v>3</v>
      </c>
      <c r="F344">
        <v>37</v>
      </c>
      <c r="H344">
        <f t="shared" si="25"/>
        <v>1.0000000000000001E-5</v>
      </c>
      <c r="I344">
        <v>5</v>
      </c>
      <c r="J344">
        <v>20</v>
      </c>
      <c r="K344">
        <f t="shared" si="26"/>
        <v>37</v>
      </c>
      <c r="L344">
        <f t="shared" si="27"/>
        <v>184999999.99999997</v>
      </c>
    </row>
    <row r="345" spans="1:12">
      <c r="A345" t="s">
        <v>23</v>
      </c>
      <c r="B345" t="s">
        <v>8</v>
      </c>
      <c r="C345">
        <f t="shared" si="28"/>
        <v>18</v>
      </c>
      <c r="D345" s="1" t="s">
        <v>16</v>
      </c>
      <c r="E345" s="1">
        <f t="shared" si="29"/>
        <v>4</v>
      </c>
      <c r="F345">
        <v>31</v>
      </c>
      <c r="H345">
        <f t="shared" si="25"/>
        <v>1.0000000000000001E-5</v>
      </c>
      <c r="I345">
        <v>5</v>
      </c>
      <c r="J345">
        <v>20</v>
      </c>
      <c r="K345">
        <f t="shared" si="26"/>
        <v>31</v>
      </c>
      <c r="L345">
        <f t="shared" si="27"/>
        <v>155000000</v>
      </c>
    </row>
    <row r="346" spans="1:12">
      <c r="A346" t="s">
        <v>23</v>
      </c>
      <c r="B346" t="s">
        <v>8</v>
      </c>
      <c r="C346">
        <f t="shared" si="28"/>
        <v>18</v>
      </c>
      <c r="D346" s="1" t="s">
        <v>16</v>
      </c>
      <c r="E346" s="1">
        <f t="shared" si="29"/>
        <v>5</v>
      </c>
      <c r="F346">
        <v>32</v>
      </c>
      <c r="H346">
        <f t="shared" si="25"/>
        <v>1.0000000000000001E-5</v>
      </c>
      <c r="I346">
        <v>5</v>
      </c>
      <c r="J346">
        <v>20</v>
      </c>
      <c r="K346">
        <f t="shared" si="26"/>
        <v>32</v>
      </c>
      <c r="L346">
        <f t="shared" si="27"/>
        <v>160000000</v>
      </c>
    </row>
    <row r="347" spans="1:12">
      <c r="A347" t="s">
        <v>23</v>
      </c>
      <c r="B347" t="s">
        <v>8</v>
      </c>
      <c r="C347">
        <f t="shared" si="28"/>
        <v>18</v>
      </c>
      <c r="D347" s="1" t="s">
        <v>16</v>
      </c>
      <c r="E347" s="1">
        <f t="shared" si="29"/>
        <v>6</v>
      </c>
      <c r="F347">
        <v>41</v>
      </c>
      <c r="H347">
        <f t="shared" si="25"/>
        <v>1.0000000000000001E-5</v>
      </c>
      <c r="I347">
        <v>5</v>
      </c>
      <c r="J347">
        <v>20</v>
      </c>
      <c r="K347">
        <f t="shared" si="26"/>
        <v>41</v>
      </c>
      <c r="L347">
        <f t="shared" si="27"/>
        <v>204999999.99999997</v>
      </c>
    </row>
    <row r="348" spans="1:12">
      <c r="A348" t="s">
        <v>23</v>
      </c>
      <c r="B348" t="s">
        <v>8</v>
      </c>
      <c r="C348">
        <f t="shared" si="28"/>
        <v>18</v>
      </c>
      <c r="D348" s="1" t="s">
        <v>16</v>
      </c>
      <c r="E348" s="1">
        <f t="shared" si="29"/>
        <v>7</v>
      </c>
      <c r="F348">
        <v>34</v>
      </c>
      <c r="H348">
        <f t="shared" si="25"/>
        <v>1.0000000000000001E-5</v>
      </c>
      <c r="I348">
        <v>5</v>
      </c>
      <c r="J348">
        <v>20</v>
      </c>
      <c r="K348">
        <f t="shared" si="26"/>
        <v>34</v>
      </c>
      <c r="L348">
        <f t="shared" si="27"/>
        <v>170000000</v>
      </c>
    </row>
    <row r="349" spans="1:12">
      <c r="A349" t="s">
        <v>23</v>
      </c>
      <c r="B349" t="s">
        <v>8</v>
      </c>
      <c r="C349">
        <f t="shared" si="28"/>
        <v>18</v>
      </c>
      <c r="D349" s="1" t="s">
        <v>16</v>
      </c>
      <c r="E349" s="1">
        <f t="shared" si="29"/>
        <v>8</v>
      </c>
      <c r="F349">
        <v>52</v>
      </c>
      <c r="H349">
        <f t="shared" si="25"/>
        <v>1.0000000000000001E-5</v>
      </c>
      <c r="I349">
        <v>5</v>
      </c>
      <c r="J349">
        <v>20</v>
      </c>
      <c r="K349">
        <f t="shared" si="26"/>
        <v>52</v>
      </c>
      <c r="L349">
        <f t="shared" si="27"/>
        <v>259999999.99999997</v>
      </c>
    </row>
    <row r="350" spans="1:12">
      <c r="A350" t="s">
        <v>23</v>
      </c>
      <c r="B350" t="s">
        <v>8</v>
      </c>
      <c r="C350">
        <f t="shared" si="28"/>
        <v>18</v>
      </c>
      <c r="D350" s="1" t="s">
        <v>16</v>
      </c>
      <c r="E350" s="1">
        <f t="shared" si="29"/>
        <v>9</v>
      </c>
      <c r="F350">
        <v>39</v>
      </c>
      <c r="H350">
        <f t="shared" si="25"/>
        <v>1.0000000000000001E-5</v>
      </c>
      <c r="I350">
        <v>5</v>
      </c>
      <c r="J350">
        <v>20</v>
      </c>
      <c r="K350">
        <f t="shared" si="26"/>
        <v>39</v>
      </c>
      <c r="L350">
        <f t="shared" si="27"/>
        <v>194999999.99999997</v>
      </c>
    </row>
    <row r="351" spans="1:12">
      <c r="A351" t="s">
        <v>23</v>
      </c>
      <c r="B351" t="s">
        <v>8</v>
      </c>
      <c r="C351">
        <f t="shared" si="28"/>
        <v>18</v>
      </c>
      <c r="D351" s="1" t="s">
        <v>16</v>
      </c>
      <c r="E351" s="1">
        <f t="shared" si="29"/>
        <v>10</v>
      </c>
      <c r="F351">
        <v>32</v>
      </c>
      <c r="H351">
        <f t="shared" si="25"/>
        <v>1.0000000000000001E-5</v>
      </c>
      <c r="I351">
        <v>5</v>
      </c>
      <c r="J351">
        <v>20</v>
      </c>
      <c r="K351">
        <f t="shared" si="26"/>
        <v>32</v>
      </c>
      <c r="L351">
        <f t="shared" si="27"/>
        <v>160000000</v>
      </c>
    </row>
    <row r="352" spans="1:12">
      <c r="A352" t="s">
        <v>23</v>
      </c>
      <c r="B352" t="s">
        <v>8</v>
      </c>
      <c r="C352">
        <f t="shared" si="28"/>
        <v>18.5</v>
      </c>
      <c r="D352" s="1" t="s">
        <v>16</v>
      </c>
      <c r="E352" s="1">
        <f t="shared" si="29"/>
        <v>1</v>
      </c>
      <c r="F352">
        <v>4</v>
      </c>
      <c r="H352">
        <f t="shared" si="25"/>
        <v>1E-4</v>
      </c>
      <c r="I352">
        <v>4</v>
      </c>
      <c r="J352">
        <v>20</v>
      </c>
      <c r="K352">
        <f t="shared" si="26"/>
        <v>4</v>
      </c>
      <c r="L352">
        <f t="shared" si="27"/>
        <v>1999999.9999999998</v>
      </c>
    </row>
    <row r="353" spans="1:12">
      <c r="A353" t="s">
        <v>23</v>
      </c>
      <c r="B353" t="s">
        <v>8</v>
      </c>
      <c r="C353">
        <f t="shared" si="28"/>
        <v>18.5</v>
      </c>
      <c r="D353" s="1" t="s">
        <v>16</v>
      </c>
      <c r="E353" s="1">
        <f t="shared" si="29"/>
        <v>2</v>
      </c>
      <c r="F353">
        <v>18</v>
      </c>
      <c r="H353">
        <f t="shared" si="25"/>
        <v>1.0000000000000001E-5</v>
      </c>
      <c r="I353">
        <v>5</v>
      </c>
      <c r="J353">
        <v>20</v>
      </c>
      <c r="K353">
        <f t="shared" si="26"/>
        <v>18</v>
      </c>
      <c r="L353">
        <f t="shared" si="27"/>
        <v>89999999.999999985</v>
      </c>
    </row>
    <row r="354" spans="1:12">
      <c r="A354" t="s">
        <v>23</v>
      </c>
      <c r="B354" t="s">
        <v>8</v>
      </c>
      <c r="C354">
        <f t="shared" si="28"/>
        <v>18.5</v>
      </c>
      <c r="D354" s="1" t="s">
        <v>16</v>
      </c>
      <c r="E354" s="1">
        <f t="shared" si="29"/>
        <v>3</v>
      </c>
      <c r="F354">
        <v>14</v>
      </c>
      <c r="H354">
        <f t="shared" si="25"/>
        <v>1E-4</v>
      </c>
      <c r="I354">
        <v>4</v>
      </c>
      <c r="J354">
        <v>20</v>
      </c>
      <c r="K354">
        <f t="shared" si="26"/>
        <v>14</v>
      </c>
      <c r="L354">
        <f t="shared" si="27"/>
        <v>6999999.9999999991</v>
      </c>
    </row>
    <row r="355" spans="1:12">
      <c r="A355" t="s">
        <v>23</v>
      </c>
      <c r="B355" t="s">
        <v>8</v>
      </c>
      <c r="C355">
        <f t="shared" si="28"/>
        <v>18.5</v>
      </c>
      <c r="D355" s="1" t="s">
        <v>16</v>
      </c>
      <c r="E355" s="1">
        <f t="shared" si="29"/>
        <v>4</v>
      </c>
      <c r="F355">
        <v>47</v>
      </c>
      <c r="H355">
        <f t="shared" si="25"/>
        <v>0.1</v>
      </c>
      <c r="I355">
        <v>1</v>
      </c>
      <c r="J355">
        <v>20</v>
      </c>
      <c r="K355">
        <f t="shared" si="26"/>
        <v>47</v>
      </c>
      <c r="L355">
        <f t="shared" si="27"/>
        <v>23500</v>
      </c>
    </row>
    <row r="356" spans="1:12">
      <c r="A356" t="s">
        <v>23</v>
      </c>
      <c r="B356" t="s">
        <v>8</v>
      </c>
      <c r="C356">
        <f t="shared" si="28"/>
        <v>18.5</v>
      </c>
      <c r="D356" s="1" t="s">
        <v>16</v>
      </c>
      <c r="E356" s="1">
        <f t="shared" si="29"/>
        <v>5</v>
      </c>
      <c r="F356">
        <v>15</v>
      </c>
      <c r="H356">
        <f t="shared" si="25"/>
        <v>1.0000000000000001E-5</v>
      </c>
      <c r="I356">
        <v>5</v>
      </c>
      <c r="J356">
        <v>20</v>
      </c>
      <c r="K356">
        <f t="shared" si="26"/>
        <v>15</v>
      </c>
      <c r="L356">
        <f t="shared" si="27"/>
        <v>75000000</v>
      </c>
    </row>
    <row r="357" spans="1:12">
      <c r="A357" t="s">
        <v>23</v>
      </c>
      <c r="B357" t="s">
        <v>8</v>
      </c>
      <c r="C357">
        <f t="shared" si="28"/>
        <v>18.5</v>
      </c>
      <c r="D357" s="1" t="s">
        <v>16</v>
      </c>
      <c r="E357" s="1">
        <f t="shared" si="29"/>
        <v>6</v>
      </c>
      <c r="F357">
        <v>30</v>
      </c>
      <c r="H357">
        <f t="shared" si="25"/>
        <v>1E-4</v>
      </c>
      <c r="I357">
        <v>4</v>
      </c>
      <c r="J357">
        <v>20</v>
      </c>
      <c r="K357">
        <f t="shared" si="26"/>
        <v>30</v>
      </c>
      <c r="L357">
        <f t="shared" si="27"/>
        <v>14999999.999999998</v>
      </c>
    </row>
    <row r="358" spans="1:12">
      <c r="A358" t="s">
        <v>23</v>
      </c>
      <c r="B358" t="s">
        <v>8</v>
      </c>
      <c r="C358">
        <f t="shared" si="28"/>
        <v>18.5</v>
      </c>
      <c r="D358" s="1" t="s">
        <v>16</v>
      </c>
      <c r="E358" s="1">
        <f t="shared" si="29"/>
        <v>7</v>
      </c>
      <c r="F358">
        <v>11</v>
      </c>
      <c r="H358">
        <f t="shared" si="25"/>
        <v>1E-4</v>
      </c>
      <c r="I358">
        <v>4</v>
      </c>
      <c r="J358">
        <v>20</v>
      </c>
      <c r="K358">
        <f t="shared" si="26"/>
        <v>11</v>
      </c>
      <c r="L358">
        <f t="shared" si="27"/>
        <v>5499999.9999999991</v>
      </c>
    </row>
    <row r="359" spans="1:12">
      <c r="A359" t="s">
        <v>23</v>
      </c>
      <c r="B359" t="s">
        <v>8</v>
      </c>
      <c r="C359">
        <f t="shared" si="28"/>
        <v>18.5</v>
      </c>
      <c r="D359" s="1" t="s">
        <v>16</v>
      </c>
      <c r="E359" s="1">
        <f t="shared" si="29"/>
        <v>8</v>
      </c>
      <c r="F359">
        <v>8</v>
      </c>
      <c r="H359">
        <f t="shared" si="25"/>
        <v>1.0000000000000001E-5</v>
      </c>
      <c r="I359">
        <v>5</v>
      </c>
      <c r="J359">
        <v>20</v>
      </c>
      <c r="K359">
        <f t="shared" si="26"/>
        <v>8</v>
      </c>
      <c r="L359">
        <f t="shared" si="27"/>
        <v>40000000</v>
      </c>
    </row>
    <row r="360" spans="1:12">
      <c r="A360" t="s">
        <v>23</v>
      </c>
      <c r="B360" t="s">
        <v>8</v>
      </c>
      <c r="C360">
        <f t="shared" si="28"/>
        <v>18.5</v>
      </c>
      <c r="D360" s="1" t="s">
        <v>16</v>
      </c>
      <c r="E360" s="1">
        <f t="shared" si="29"/>
        <v>9</v>
      </c>
      <c r="F360">
        <v>9</v>
      </c>
      <c r="H360">
        <f t="shared" si="25"/>
        <v>1.0000000000000001E-5</v>
      </c>
      <c r="I360">
        <v>5</v>
      </c>
      <c r="J360">
        <v>20</v>
      </c>
      <c r="K360">
        <f t="shared" si="26"/>
        <v>9</v>
      </c>
      <c r="L360">
        <f t="shared" si="27"/>
        <v>44999999.999999993</v>
      </c>
    </row>
    <row r="361" spans="1:12">
      <c r="A361" t="s">
        <v>23</v>
      </c>
      <c r="B361" t="s">
        <v>8</v>
      </c>
      <c r="C361">
        <f t="shared" si="28"/>
        <v>18.5</v>
      </c>
      <c r="D361" s="1" t="s">
        <v>16</v>
      </c>
      <c r="E361" s="1">
        <f t="shared" si="29"/>
        <v>10</v>
      </c>
      <c r="F361">
        <v>13</v>
      </c>
      <c r="H361">
        <f t="shared" si="25"/>
        <v>1.0000000000000001E-5</v>
      </c>
      <c r="I361">
        <v>5</v>
      </c>
      <c r="J361">
        <v>20</v>
      </c>
      <c r="K361">
        <f t="shared" si="26"/>
        <v>13</v>
      </c>
      <c r="L361">
        <f t="shared" si="27"/>
        <v>64999999.999999993</v>
      </c>
    </row>
    <row r="362" spans="1:12">
      <c r="A362" t="s">
        <v>23</v>
      </c>
      <c r="B362" t="s">
        <v>8</v>
      </c>
      <c r="C362">
        <f t="shared" si="28"/>
        <v>19</v>
      </c>
      <c r="D362" s="1" t="s">
        <v>16</v>
      </c>
      <c r="E362" s="1">
        <f t="shared" si="29"/>
        <v>1</v>
      </c>
      <c r="F362">
        <v>35</v>
      </c>
      <c r="H362">
        <f t="shared" si="25"/>
        <v>1.0000000000000001E-5</v>
      </c>
      <c r="I362">
        <v>5</v>
      </c>
      <c r="J362">
        <v>20</v>
      </c>
      <c r="K362">
        <f t="shared" si="26"/>
        <v>35</v>
      </c>
      <c r="L362">
        <f t="shared" si="27"/>
        <v>174999999.99999997</v>
      </c>
    </row>
    <row r="363" spans="1:12">
      <c r="A363" t="s">
        <v>23</v>
      </c>
      <c r="B363" t="s">
        <v>8</v>
      </c>
      <c r="C363">
        <f t="shared" si="28"/>
        <v>19</v>
      </c>
      <c r="D363" s="1" t="s">
        <v>16</v>
      </c>
      <c r="E363" s="1">
        <f t="shared" si="29"/>
        <v>2</v>
      </c>
      <c r="F363">
        <v>32</v>
      </c>
      <c r="H363">
        <f t="shared" si="25"/>
        <v>1.0000000000000001E-5</v>
      </c>
      <c r="I363">
        <v>5</v>
      </c>
      <c r="J363">
        <v>20</v>
      </c>
      <c r="K363">
        <f t="shared" si="26"/>
        <v>32</v>
      </c>
      <c r="L363">
        <f t="shared" si="27"/>
        <v>160000000</v>
      </c>
    </row>
    <row r="364" spans="1:12">
      <c r="A364" t="s">
        <v>23</v>
      </c>
      <c r="B364" t="s">
        <v>8</v>
      </c>
      <c r="C364">
        <f t="shared" si="28"/>
        <v>19</v>
      </c>
      <c r="D364" s="1" t="s">
        <v>16</v>
      </c>
      <c r="E364" s="1">
        <f t="shared" si="29"/>
        <v>3</v>
      </c>
      <c r="F364">
        <v>40</v>
      </c>
      <c r="H364">
        <f t="shared" si="25"/>
        <v>1.0000000000000001E-5</v>
      </c>
      <c r="I364">
        <v>5</v>
      </c>
      <c r="J364">
        <v>20</v>
      </c>
      <c r="K364">
        <f t="shared" si="26"/>
        <v>40</v>
      </c>
      <c r="L364">
        <f t="shared" si="27"/>
        <v>199999999.99999997</v>
      </c>
    </row>
    <row r="365" spans="1:12">
      <c r="A365" t="s">
        <v>23</v>
      </c>
      <c r="B365" t="s">
        <v>8</v>
      </c>
      <c r="C365">
        <f t="shared" si="28"/>
        <v>19</v>
      </c>
      <c r="D365" s="1" t="s">
        <v>16</v>
      </c>
      <c r="E365" s="1">
        <f t="shared" si="29"/>
        <v>4</v>
      </c>
      <c r="F365">
        <v>34</v>
      </c>
      <c r="H365">
        <f t="shared" si="25"/>
        <v>1.0000000000000001E-5</v>
      </c>
      <c r="I365">
        <v>5</v>
      </c>
      <c r="J365">
        <v>20</v>
      </c>
      <c r="K365">
        <f t="shared" si="26"/>
        <v>34</v>
      </c>
      <c r="L365">
        <f t="shared" si="27"/>
        <v>170000000</v>
      </c>
    </row>
    <row r="366" spans="1:12">
      <c r="A366" t="s">
        <v>23</v>
      </c>
      <c r="B366" t="s">
        <v>8</v>
      </c>
      <c r="C366">
        <f t="shared" si="28"/>
        <v>19</v>
      </c>
      <c r="D366" s="1" t="s">
        <v>16</v>
      </c>
      <c r="E366" s="1">
        <f t="shared" si="29"/>
        <v>5</v>
      </c>
      <c r="F366">
        <v>38</v>
      </c>
      <c r="H366">
        <f t="shared" si="25"/>
        <v>1.0000000000000001E-5</v>
      </c>
      <c r="I366">
        <v>5</v>
      </c>
      <c r="J366">
        <v>20</v>
      </c>
      <c r="K366">
        <f t="shared" si="26"/>
        <v>38</v>
      </c>
      <c r="L366">
        <f t="shared" si="27"/>
        <v>189999999.99999997</v>
      </c>
    </row>
    <row r="367" spans="1:12">
      <c r="A367" t="s">
        <v>23</v>
      </c>
      <c r="B367" t="s">
        <v>8</v>
      </c>
      <c r="C367">
        <f t="shared" si="28"/>
        <v>19</v>
      </c>
      <c r="D367" s="1" t="s">
        <v>16</v>
      </c>
      <c r="E367" s="1">
        <f t="shared" si="29"/>
        <v>6</v>
      </c>
      <c r="F367">
        <v>35</v>
      </c>
      <c r="H367">
        <f t="shared" si="25"/>
        <v>1.0000000000000001E-5</v>
      </c>
      <c r="I367">
        <v>5</v>
      </c>
      <c r="J367">
        <v>20</v>
      </c>
      <c r="K367">
        <f t="shared" si="26"/>
        <v>35</v>
      </c>
      <c r="L367">
        <f t="shared" si="27"/>
        <v>174999999.99999997</v>
      </c>
    </row>
    <row r="368" spans="1:12">
      <c r="A368" t="s">
        <v>23</v>
      </c>
      <c r="B368" t="s">
        <v>8</v>
      </c>
      <c r="C368">
        <f t="shared" si="28"/>
        <v>19</v>
      </c>
      <c r="D368" s="1" t="s">
        <v>16</v>
      </c>
      <c r="E368" s="1">
        <f t="shared" si="29"/>
        <v>7</v>
      </c>
      <c r="F368">
        <v>20</v>
      </c>
      <c r="H368">
        <f t="shared" si="25"/>
        <v>1.0000000000000001E-5</v>
      </c>
      <c r="I368">
        <v>5</v>
      </c>
      <c r="J368">
        <v>20</v>
      </c>
      <c r="K368">
        <f t="shared" si="26"/>
        <v>20</v>
      </c>
      <c r="L368">
        <f t="shared" si="27"/>
        <v>99999999.999999985</v>
      </c>
    </row>
    <row r="369" spans="1:12">
      <c r="A369" t="s">
        <v>23</v>
      </c>
      <c r="B369" t="s">
        <v>8</v>
      </c>
      <c r="C369">
        <f t="shared" si="28"/>
        <v>19</v>
      </c>
      <c r="D369" s="1" t="s">
        <v>16</v>
      </c>
      <c r="E369" s="1">
        <f t="shared" si="29"/>
        <v>8</v>
      </c>
      <c r="F369">
        <v>24</v>
      </c>
      <c r="H369">
        <f t="shared" si="25"/>
        <v>1E-4</v>
      </c>
      <c r="I369">
        <v>4</v>
      </c>
      <c r="J369">
        <v>20</v>
      </c>
      <c r="K369">
        <f t="shared" si="26"/>
        <v>24</v>
      </c>
      <c r="L369">
        <f t="shared" si="27"/>
        <v>11999999.999999998</v>
      </c>
    </row>
    <row r="370" spans="1:12">
      <c r="A370" t="s">
        <v>23</v>
      </c>
      <c r="B370" t="s">
        <v>8</v>
      </c>
      <c r="C370">
        <f t="shared" si="28"/>
        <v>19</v>
      </c>
      <c r="D370" s="1" t="s">
        <v>16</v>
      </c>
      <c r="E370" s="1">
        <f t="shared" si="29"/>
        <v>9</v>
      </c>
      <c r="F370">
        <v>39</v>
      </c>
      <c r="H370">
        <f t="shared" si="25"/>
        <v>1.0000000000000001E-5</v>
      </c>
      <c r="I370">
        <v>5</v>
      </c>
      <c r="J370">
        <v>20</v>
      </c>
      <c r="K370">
        <f t="shared" si="26"/>
        <v>39</v>
      </c>
      <c r="L370">
        <f t="shared" si="27"/>
        <v>194999999.99999997</v>
      </c>
    </row>
    <row r="371" spans="1:12">
      <c r="A371" t="s">
        <v>23</v>
      </c>
      <c r="B371" t="s">
        <v>8</v>
      </c>
      <c r="C371">
        <f t="shared" si="28"/>
        <v>19</v>
      </c>
      <c r="D371" s="1" t="s">
        <v>16</v>
      </c>
      <c r="E371" s="1">
        <f t="shared" si="29"/>
        <v>10</v>
      </c>
      <c r="F371">
        <v>29</v>
      </c>
      <c r="H371">
        <f t="shared" si="25"/>
        <v>1.0000000000000001E-5</v>
      </c>
      <c r="I371">
        <v>5</v>
      </c>
      <c r="J371">
        <v>20</v>
      </c>
      <c r="K371">
        <f t="shared" si="26"/>
        <v>29</v>
      </c>
      <c r="L371">
        <f t="shared" si="27"/>
        <v>145000000</v>
      </c>
    </row>
    <row r="372" spans="1:12">
      <c r="A372" t="s">
        <v>23</v>
      </c>
      <c r="B372" t="s">
        <v>8</v>
      </c>
      <c r="C372">
        <f t="shared" si="28"/>
        <v>19.5</v>
      </c>
      <c r="D372" s="1" t="s">
        <v>16</v>
      </c>
      <c r="E372" s="1">
        <f t="shared" si="29"/>
        <v>1</v>
      </c>
      <c r="F372">
        <v>10</v>
      </c>
      <c r="H372">
        <f t="shared" si="25"/>
        <v>1E-4</v>
      </c>
      <c r="I372">
        <v>4</v>
      </c>
      <c r="J372">
        <v>20</v>
      </c>
      <c r="K372">
        <f t="shared" si="26"/>
        <v>10</v>
      </c>
      <c r="L372">
        <f t="shared" si="27"/>
        <v>4999999.9999999991</v>
      </c>
    </row>
    <row r="373" spans="1:12">
      <c r="A373" t="s">
        <v>23</v>
      </c>
      <c r="B373" t="s">
        <v>8</v>
      </c>
      <c r="C373">
        <f t="shared" si="28"/>
        <v>19.5</v>
      </c>
      <c r="D373" s="1" t="s">
        <v>16</v>
      </c>
      <c r="E373" s="1">
        <f t="shared" si="29"/>
        <v>2</v>
      </c>
      <c r="F373">
        <v>14</v>
      </c>
      <c r="H373">
        <f t="shared" si="25"/>
        <v>1.0000000000000001E-5</v>
      </c>
      <c r="I373">
        <v>5</v>
      </c>
      <c r="J373">
        <v>20</v>
      </c>
      <c r="K373">
        <f t="shared" si="26"/>
        <v>14</v>
      </c>
      <c r="L373">
        <f t="shared" si="27"/>
        <v>70000000</v>
      </c>
    </row>
    <row r="374" spans="1:12">
      <c r="A374" t="s">
        <v>23</v>
      </c>
      <c r="B374" t="s">
        <v>8</v>
      </c>
      <c r="C374">
        <f t="shared" si="28"/>
        <v>19.5</v>
      </c>
      <c r="D374" s="1" t="s">
        <v>16</v>
      </c>
      <c r="E374" s="1">
        <f t="shared" si="29"/>
        <v>3</v>
      </c>
      <c r="F374">
        <v>8</v>
      </c>
      <c r="H374">
        <f t="shared" si="25"/>
        <v>1.0000000000000001E-5</v>
      </c>
      <c r="I374">
        <v>5</v>
      </c>
      <c r="J374">
        <v>20</v>
      </c>
      <c r="K374">
        <f t="shared" si="26"/>
        <v>8</v>
      </c>
      <c r="L374">
        <f t="shared" si="27"/>
        <v>40000000</v>
      </c>
    </row>
    <row r="375" spans="1:12">
      <c r="A375" t="s">
        <v>23</v>
      </c>
      <c r="B375" t="s">
        <v>8</v>
      </c>
      <c r="C375">
        <f t="shared" si="28"/>
        <v>19.5</v>
      </c>
      <c r="D375" s="1" t="s">
        <v>16</v>
      </c>
      <c r="E375" s="1">
        <f t="shared" si="29"/>
        <v>4</v>
      </c>
      <c r="F375">
        <v>13</v>
      </c>
      <c r="H375">
        <f t="shared" si="25"/>
        <v>1.0000000000000001E-5</v>
      </c>
      <c r="I375">
        <v>5</v>
      </c>
      <c r="J375">
        <v>20</v>
      </c>
      <c r="K375">
        <f t="shared" si="26"/>
        <v>13</v>
      </c>
      <c r="L375">
        <f t="shared" si="27"/>
        <v>64999999.999999993</v>
      </c>
    </row>
    <row r="376" spans="1:12">
      <c r="A376" t="s">
        <v>23</v>
      </c>
      <c r="B376" t="s">
        <v>8</v>
      </c>
      <c r="C376">
        <f t="shared" si="28"/>
        <v>19.5</v>
      </c>
      <c r="D376" s="1" t="s">
        <v>16</v>
      </c>
      <c r="E376" s="1">
        <f t="shared" si="29"/>
        <v>5</v>
      </c>
      <c r="F376">
        <v>20</v>
      </c>
      <c r="H376">
        <f t="shared" si="25"/>
        <v>1.0000000000000001E-5</v>
      </c>
      <c r="I376">
        <v>5</v>
      </c>
      <c r="J376">
        <v>20</v>
      </c>
      <c r="K376">
        <f t="shared" si="26"/>
        <v>20</v>
      </c>
      <c r="L376">
        <f t="shared" si="27"/>
        <v>99999999.999999985</v>
      </c>
    </row>
    <row r="377" spans="1:12">
      <c r="A377" t="s">
        <v>23</v>
      </c>
      <c r="B377" t="s">
        <v>8</v>
      </c>
      <c r="C377">
        <f t="shared" si="28"/>
        <v>19.5</v>
      </c>
      <c r="D377" s="1" t="s">
        <v>16</v>
      </c>
      <c r="E377" s="1">
        <f t="shared" si="29"/>
        <v>6</v>
      </c>
      <c r="F377">
        <v>14</v>
      </c>
      <c r="H377">
        <f t="shared" si="25"/>
        <v>1.0000000000000001E-5</v>
      </c>
      <c r="I377">
        <v>5</v>
      </c>
      <c r="J377">
        <v>20</v>
      </c>
      <c r="K377">
        <f t="shared" si="26"/>
        <v>14</v>
      </c>
      <c r="L377">
        <f t="shared" si="27"/>
        <v>70000000</v>
      </c>
    </row>
    <row r="378" spans="1:12">
      <c r="A378" t="s">
        <v>23</v>
      </c>
      <c r="B378" t="s">
        <v>8</v>
      </c>
      <c r="C378">
        <f t="shared" si="28"/>
        <v>19.5</v>
      </c>
      <c r="D378" s="1" t="s">
        <v>16</v>
      </c>
      <c r="E378" s="1">
        <f t="shared" si="29"/>
        <v>7</v>
      </c>
      <c r="F378">
        <v>16</v>
      </c>
      <c r="H378">
        <f t="shared" si="25"/>
        <v>1E-4</v>
      </c>
      <c r="I378">
        <v>4</v>
      </c>
      <c r="J378">
        <v>20</v>
      </c>
      <c r="K378">
        <f t="shared" si="26"/>
        <v>16</v>
      </c>
      <c r="L378">
        <f t="shared" si="27"/>
        <v>7999999.9999999991</v>
      </c>
    </row>
    <row r="379" spans="1:12">
      <c r="A379" t="s">
        <v>23</v>
      </c>
      <c r="B379" t="s">
        <v>8</v>
      </c>
      <c r="C379">
        <f t="shared" si="28"/>
        <v>19.5</v>
      </c>
      <c r="D379" s="1" t="s">
        <v>16</v>
      </c>
      <c r="E379" s="1">
        <f t="shared" si="29"/>
        <v>8</v>
      </c>
      <c r="F379">
        <v>17</v>
      </c>
      <c r="H379">
        <f t="shared" si="25"/>
        <v>1E-4</v>
      </c>
      <c r="I379">
        <v>4</v>
      </c>
      <c r="J379">
        <v>20</v>
      </c>
      <c r="K379">
        <f t="shared" si="26"/>
        <v>17</v>
      </c>
      <c r="L379">
        <f t="shared" si="27"/>
        <v>8499999.9999999981</v>
      </c>
    </row>
    <row r="380" spans="1:12">
      <c r="A380" t="s">
        <v>23</v>
      </c>
      <c r="B380" t="s">
        <v>8</v>
      </c>
      <c r="C380">
        <f t="shared" si="28"/>
        <v>19.5</v>
      </c>
      <c r="D380" s="1" t="s">
        <v>16</v>
      </c>
      <c r="E380" s="1">
        <f t="shared" si="29"/>
        <v>9</v>
      </c>
      <c r="F380">
        <v>10</v>
      </c>
      <c r="H380">
        <f t="shared" si="25"/>
        <v>1.0000000000000001E-5</v>
      </c>
      <c r="I380">
        <v>5</v>
      </c>
      <c r="J380">
        <v>20</v>
      </c>
      <c r="K380">
        <f t="shared" si="26"/>
        <v>10</v>
      </c>
      <c r="L380">
        <f t="shared" si="27"/>
        <v>49999999.999999993</v>
      </c>
    </row>
    <row r="381" spans="1:12">
      <c r="A381" t="s">
        <v>23</v>
      </c>
      <c r="B381" t="s">
        <v>8</v>
      </c>
      <c r="C381">
        <f t="shared" si="28"/>
        <v>19.5</v>
      </c>
      <c r="D381" s="1" t="s">
        <v>16</v>
      </c>
      <c r="E381" s="1">
        <f t="shared" si="29"/>
        <v>10</v>
      </c>
      <c r="F381">
        <v>21</v>
      </c>
      <c r="H381">
        <f t="shared" si="25"/>
        <v>1.0000000000000001E-5</v>
      </c>
      <c r="I381">
        <v>5</v>
      </c>
      <c r="J381">
        <v>20</v>
      </c>
      <c r="K381">
        <f t="shared" si="26"/>
        <v>21</v>
      </c>
      <c r="L381">
        <f t="shared" si="27"/>
        <v>104999999.99999999</v>
      </c>
    </row>
    <row r="382" spans="1:12">
      <c r="A382" t="s">
        <v>23</v>
      </c>
      <c r="B382" t="s">
        <v>8</v>
      </c>
      <c r="C382">
        <f t="shared" si="28"/>
        <v>20</v>
      </c>
      <c r="D382" s="1" t="s">
        <v>16</v>
      </c>
      <c r="E382" s="1">
        <f t="shared" si="29"/>
        <v>1</v>
      </c>
      <c r="F382">
        <v>32</v>
      </c>
      <c r="H382">
        <f t="shared" si="25"/>
        <v>1.0000000000000001E-5</v>
      </c>
      <c r="I382">
        <v>5</v>
      </c>
      <c r="J382">
        <v>20</v>
      </c>
      <c r="K382">
        <f t="shared" si="26"/>
        <v>32</v>
      </c>
      <c r="L382">
        <f t="shared" si="27"/>
        <v>160000000</v>
      </c>
    </row>
    <row r="383" spans="1:12">
      <c r="A383" t="s">
        <v>23</v>
      </c>
      <c r="B383" t="s">
        <v>8</v>
      </c>
      <c r="C383">
        <f t="shared" si="28"/>
        <v>20</v>
      </c>
      <c r="D383" s="1" t="s">
        <v>16</v>
      </c>
      <c r="E383" s="1">
        <f t="shared" si="29"/>
        <v>2</v>
      </c>
      <c r="F383">
        <v>32</v>
      </c>
      <c r="H383">
        <f t="shared" si="25"/>
        <v>1.0000000000000001E-5</v>
      </c>
      <c r="I383">
        <v>5</v>
      </c>
      <c r="J383">
        <v>20</v>
      </c>
      <c r="K383">
        <f t="shared" si="26"/>
        <v>32</v>
      </c>
      <c r="L383">
        <f t="shared" si="27"/>
        <v>160000000</v>
      </c>
    </row>
    <row r="384" spans="1:12">
      <c r="A384" t="s">
        <v>23</v>
      </c>
      <c r="B384" t="s">
        <v>8</v>
      </c>
      <c r="C384">
        <f t="shared" si="28"/>
        <v>20</v>
      </c>
      <c r="D384" s="1" t="s">
        <v>16</v>
      </c>
      <c r="E384" s="1">
        <f t="shared" si="29"/>
        <v>3</v>
      </c>
      <c r="F384">
        <v>42</v>
      </c>
      <c r="H384">
        <f t="shared" si="25"/>
        <v>1.0000000000000001E-5</v>
      </c>
      <c r="I384">
        <v>5</v>
      </c>
      <c r="J384">
        <v>20</v>
      </c>
      <c r="K384">
        <f t="shared" si="26"/>
        <v>42</v>
      </c>
      <c r="L384">
        <f t="shared" si="27"/>
        <v>209999999.99999997</v>
      </c>
    </row>
    <row r="385" spans="1:12">
      <c r="A385" t="s">
        <v>23</v>
      </c>
      <c r="B385" t="s">
        <v>8</v>
      </c>
      <c r="C385">
        <f t="shared" si="28"/>
        <v>20</v>
      </c>
      <c r="D385" s="1" t="s">
        <v>16</v>
      </c>
      <c r="E385" s="1">
        <f t="shared" si="29"/>
        <v>4</v>
      </c>
      <c r="F385">
        <v>47</v>
      </c>
      <c r="H385">
        <f t="shared" si="25"/>
        <v>1.0000000000000001E-5</v>
      </c>
      <c r="I385">
        <v>5</v>
      </c>
      <c r="J385">
        <v>20</v>
      </c>
      <c r="K385">
        <f t="shared" si="26"/>
        <v>47</v>
      </c>
      <c r="L385">
        <f t="shared" si="27"/>
        <v>234999999.99999997</v>
      </c>
    </row>
    <row r="386" spans="1:12">
      <c r="A386" t="s">
        <v>23</v>
      </c>
      <c r="B386" t="s">
        <v>8</v>
      </c>
      <c r="C386">
        <f t="shared" si="28"/>
        <v>20</v>
      </c>
      <c r="D386" s="1" t="s">
        <v>16</v>
      </c>
      <c r="E386" s="1">
        <f t="shared" si="29"/>
        <v>5</v>
      </c>
      <c r="F386">
        <v>43</v>
      </c>
      <c r="H386">
        <f t="shared" ref="H386:H401" si="30">1/(10^I386)</f>
        <v>1.0000000000000001E-5</v>
      </c>
      <c r="I386">
        <v>5</v>
      </c>
      <c r="J386">
        <v>20</v>
      </c>
      <c r="K386">
        <f t="shared" si="26"/>
        <v>43</v>
      </c>
      <c r="L386">
        <f t="shared" si="27"/>
        <v>214999999.99999997</v>
      </c>
    </row>
    <row r="387" spans="1:12">
      <c r="A387" t="s">
        <v>23</v>
      </c>
      <c r="B387" t="s">
        <v>8</v>
      </c>
      <c r="C387">
        <f t="shared" si="28"/>
        <v>20</v>
      </c>
      <c r="D387" s="1" t="s">
        <v>16</v>
      </c>
      <c r="E387" s="1">
        <f t="shared" si="29"/>
        <v>6</v>
      </c>
      <c r="F387">
        <v>28</v>
      </c>
      <c r="H387">
        <f t="shared" si="30"/>
        <v>1.0000000000000001E-5</v>
      </c>
      <c r="I387">
        <v>5</v>
      </c>
      <c r="J387">
        <v>20</v>
      </c>
      <c r="K387">
        <f t="shared" ref="K387:K401" si="31">F387</f>
        <v>28</v>
      </c>
      <c r="L387">
        <f t="shared" ref="L387:L450" si="32">K387/(H387*(J387/1000))</f>
        <v>140000000</v>
      </c>
    </row>
    <row r="388" spans="1:12">
      <c r="A388" t="s">
        <v>23</v>
      </c>
      <c r="B388" t="s">
        <v>8</v>
      </c>
      <c r="C388">
        <f t="shared" si="28"/>
        <v>20</v>
      </c>
      <c r="D388" s="1" t="s">
        <v>16</v>
      </c>
      <c r="E388" s="1">
        <f t="shared" si="29"/>
        <v>7</v>
      </c>
      <c r="F388">
        <v>39</v>
      </c>
      <c r="H388">
        <f t="shared" si="30"/>
        <v>1.0000000000000001E-5</v>
      </c>
      <c r="I388">
        <v>5</v>
      </c>
      <c r="J388">
        <v>20</v>
      </c>
      <c r="K388">
        <f t="shared" si="31"/>
        <v>39</v>
      </c>
      <c r="L388">
        <f t="shared" si="32"/>
        <v>194999999.99999997</v>
      </c>
    </row>
    <row r="389" spans="1:12">
      <c r="A389" t="s">
        <v>23</v>
      </c>
      <c r="B389" t="s">
        <v>8</v>
      </c>
      <c r="C389">
        <f t="shared" si="28"/>
        <v>20</v>
      </c>
      <c r="D389" s="1" t="s">
        <v>16</v>
      </c>
      <c r="E389" s="1">
        <f t="shared" si="29"/>
        <v>8</v>
      </c>
      <c r="F389">
        <v>42</v>
      </c>
      <c r="H389">
        <f t="shared" si="30"/>
        <v>1.0000000000000001E-5</v>
      </c>
      <c r="I389">
        <v>5</v>
      </c>
      <c r="J389">
        <v>20</v>
      </c>
      <c r="K389">
        <f t="shared" si="31"/>
        <v>42</v>
      </c>
      <c r="L389">
        <f t="shared" si="32"/>
        <v>209999999.99999997</v>
      </c>
    </row>
    <row r="390" spans="1:12">
      <c r="A390" t="s">
        <v>23</v>
      </c>
      <c r="B390" t="s">
        <v>8</v>
      </c>
      <c r="C390">
        <f t="shared" si="28"/>
        <v>20</v>
      </c>
      <c r="D390" s="1" t="s">
        <v>16</v>
      </c>
      <c r="E390" s="1">
        <f t="shared" si="29"/>
        <v>9</v>
      </c>
      <c r="F390">
        <v>34</v>
      </c>
      <c r="H390">
        <f t="shared" si="30"/>
        <v>1.0000000000000001E-5</v>
      </c>
      <c r="I390">
        <v>5</v>
      </c>
      <c r="J390">
        <v>20</v>
      </c>
      <c r="K390">
        <f t="shared" si="31"/>
        <v>34</v>
      </c>
      <c r="L390">
        <f t="shared" si="32"/>
        <v>170000000</v>
      </c>
    </row>
    <row r="391" spans="1:12">
      <c r="A391" t="s">
        <v>23</v>
      </c>
      <c r="B391" t="s">
        <v>8</v>
      </c>
      <c r="C391">
        <f t="shared" si="28"/>
        <v>20</v>
      </c>
      <c r="D391" s="1" t="s">
        <v>16</v>
      </c>
      <c r="E391" s="1">
        <f t="shared" si="29"/>
        <v>10</v>
      </c>
      <c r="F391">
        <v>30</v>
      </c>
      <c r="H391">
        <f t="shared" si="30"/>
        <v>1.0000000000000001E-5</v>
      </c>
      <c r="I391">
        <v>5</v>
      </c>
      <c r="J391">
        <v>20</v>
      </c>
      <c r="K391">
        <f t="shared" si="31"/>
        <v>30</v>
      </c>
      <c r="L391">
        <f t="shared" si="32"/>
        <v>150000000</v>
      </c>
    </row>
    <row r="392" spans="1:12">
      <c r="A392" t="s">
        <v>23</v>
      </c>
      <c r="B392" t="s">
        <v>8</v>
      </c>
      <c r="C392">
        <f t="shared" si="28"/>
        <v>20.5</v>
      </c>
      <c r="D392" s="1" t="s">
        <v>16</v>
      </c>
      <c r="E392" s="1">
        <f t="shared" si="29"/>
        <v>1</v>
      </c>
      <c r="F392">
        <v>28</v>
      </c>
      <c r="H392">
        <f t="shared" si="30"/>
        <v>1E-3</v>
      </c>
      <c r="I392">
        <v>3</v>
      </c>
      <c r="J392">
        <v>20</v>
      </c>
      <c r="K392">
        <f t="shared" si="31"/>
        <v>28</v>
      </c>
      <c r="L392">
        <f t="shared" si="32"/>
        <v>1400000</v>
      </c>
    </row>
    <row r="393" spans="1:12">
      <c r="A393" t="s">
        <v>23</v>
      </c>
      <c r="B393" t="s">
        <v>8</v>
      </c>
      <c r="C393">
        <f t="shared" si="28"/>
        <v>20.5</v>
      </c>
      <c r="D393" s="1" t="s">
        <v>16</v>
      </c>
      <c r="E393" s="1">
        <f t="shared" si="29"/>
        <v>2</v>
      </c>
      <c r="F393">
        <v>21</v>
      </c>
      <c r="H393">
        <f t="shared" si="30"/>
        <v>1.0000000000000001E-5</v>
      </c>
      <c r="I393">
        <v>5</v>
      </c>
      <c r="J393">
        <v>20</v>
      </c>
      <c r="K393">
        <f t="shared" si="31"/>
        <v>21</v>
      </c>
      <c r="L393">
        <f t="shared" si="32"/>
        <v>104999999.99999999</v>
      </c>
    </row>
    <row r="394" spans="1:12">
      <c r="A394" t="s">
        <v>23</v>
      </c>
      <c r="B394" t="s">
        <v>8</v>
      </c>
      <c r="C394">
        <f t="shared" si="28"/>
        <v>20.5</v>
      </c>
      <c r="D394" s="1" t="s">
        <v>16</v>
      </c>
      <c r="E394" s="1">
        <f t="shared" si="29"/>
        <v>3</v>
      </c>
      <c r="F394">
        <v>25</v>
      </c>
      <c r="H394">
        <f t="shared" si="30"/>
        <v>1E-4</v>
      </c>
      <c r="I394">
        <v>4</v>
      </c>
      <c r="J394">
        <v>20</v>
      </c>
      <c r="K394">
        <f t="shared" si="31"/>
        <v>25</v>
      </c>
      <c r="L394">
        <f t="shared" si="32"/>
        <v>12499999.999999998</v>
      </c>
    </row>
    <row r="395" spans="1:12">
      <c r="A395" t="s">
        <v>23</v>
      </c>
      <c r="B395" t="s">
        <v>8</v>
      </c>
      <c r="C395">
        <f t="shared" si="28"/>
        <v>20.5</v>
      </c>
      <c r="D395" s="1" t="s">
        <v>16</v>
      </c>
      <c r="E395" s="1">
        <f t="shared" si="29"/>
        <v>4</v>
      </c>
      <c r="F395">
        <v>41</v>
      </c>
      <c r="H395">
        <f t="shared" si="30"/>
        <v>1E-4</v>
      </c>
      <c r="I395">
        <v>4</v>
      </c>
      <c r="J395">
        <v>20</v>
      </c>
      <c r="K395">
        <f t="shared" si="31"/>
        <v>41</v>
      </c>
      <c r="L395">
        <f t="shared" si="32"/>
        <v>20499999.999999996</v>
      </c>
    </row>
    <row r="396" spans="1:12">
      <c r="A396" t="s">
        <v>23</v>
      </c>
      <c r="B396" t="s">
        <v>8</v>
      </c>
      <c r="C396">
        <f t="shared" si="28"/>
        <v>20.5</v>
      </c>
      <c r="D396" s="1" t="s">
        <v>16</v>
      </c>
      <c r="E396" s="1">
        <f t="shared" si="29"/>
        <v>5</v>
      </c>
      <c r="F396">
        <v>33</v>
      </c>
      <c r="H396">
        <f t="shared" si="30"/>
        <v>1.0000000000000001E-5</v>
      </c>
      <c r="I396">
        <v>5</v>
      </c>
      <c r="J396">
        <v>20</v>
      </c>
      <c r="K396">
        <f t="shared" si="31"/>
        <v>33</v>
      </c>
      <c r="L396">
        <f t="shared" si="32"/>
        <v>165000000</v>
      </c>
    </row>
    <row r="397" spans="1:12">
      <c r="A397" t="s">
        <v>23</v>
      </c>
      <c r="B397" t="s">
        <v>8</v>
      </c>
      <c r="C397">
        <f>C387+0.5</f>
        <v>20.5</v>
      </c>
      <c r="D397" s="1" t="s">
        <v>16</v>
      </c>
      <c r="E397" s="1">
        <f>E387</f>
        <v>6</v>
      </c>
      <c r="F397">
        <v>19</v>
      </c>
      <c r="H397">
        <f t="shared" si="30"/>
        <v>1.0000000000000001E-5</v>
      </c>
      <c r="I397">
        <v>5</v>
      </c>
      <c r="J397">
        <v>20</v>
      </c>
      <c r="K397">
        <f t="shared" si="31"/>
        <v>19</v>
      </c>
      <c r="L397">
        <f t="shared" si="32"/>
        <v>94999999.999999985</v>
      </c>
    </row>
    <row r="398" spans="1:12">
      <c r="A398" t="s">
        <v>23</v>
      </c>
      <c r="B398" t="s">
        <v>8</v>
      </c>
      <c r="C398">
        <f>C388+0.5</f>
        <v>20.5</v>
      </c>
      <c r="D398" s="1" t="s">
        <v>16</v>
      </c>
      <c r="E398" s="1">
        <f>E388</f>
        <v>7</v>
      </c>
      <c r="F398">
        <v>27</v>
      </c>
      <c r="H398">
        <f t="shared" si="30"/>
        <v>1E-4</v>
      </c>
      <c r="I398">
        <v>4</v>
      </c>
      <c r="J398">
        <v>20</v>
      </c>
      <c r="K398">
        <f t="shared" si="31"/>
        <v>27</v>
      </c>
      <c r="L398">
        <f t="shared" si="32"/>
        <v>13499999.999999998</v>
      </c>
    </row>
    <row r="399" spans="1:12">
      <c r="A399" t="s">
        <v>23</v>
      </c>
      <c r="B399" t="s">
        <v>8</v>
      </c>
      <c r="C399">
        <f>C389+0.5</f>
        <v>20.5</v>
      </c>
      <c r="D399" s="1" t="s">
        <v>16</v>
      </c>
      <c r="E399" s="1">
        <f>E389</f>
        <v>8</v>
      </c>
      <c r="F399">
        <v>47</v>
      </c>
      <c r="H399">
        <f t="shared" si="30"/>
        <v>1E-4</v>
      </c>
      <c r="I399">
        <v>4</v>
      </c>
      <c r="J399">
        <v>20</v>
      </c>
      <c r="K399">
        <f t="shared" si="31"/>
        <v>47</v>
      </c>
      <c r="L399">
        <f t="shared" si="32"/>
        <v>23499999.999999996</v>
      </c>
    </row>
    <row r="400" spans="1:12">
      <c r="A400" t="s">
        <v>23</v>
      </c>
      <c r="B400" t="s">
        <v>8</v>
      </c>
      <c r="C400">
        <f>C390+0.5</f>
        <v>20.5</v>
      </c>
      <c r="D400" s="1" t="s">
        <v>16</v>
      </c>
      <c r="E400" s="1">
        <f>E390</f>
        <v>9</v>
      </c>
      <c r="F400">
        <v>17</v>
      </c>
      <c r="H400">
        <f t="shared" si="30"/>
        <v>1.0000000000000001E-5</v>
      </c>
      <c r="I400">
        <v>5</v>
      </c>
      <c r="J400">
        <v>20</v>
      </c>
      <c r="K400">
        <f t="shared" si="31"/>
        <v>17</v>
      </c>
      <c r="L400">
        <f t="shared" si="32"/>
        <v>85000000</v>
      </c>
    </row>
    <row r="401" spans="1:12" ht="47" customHeight="1" x14ac:dyDescent="0.2">
      <c r="A401" t="inlineStr">
        <is>
          <t>PC</t>
        </is>
      </c>
      <c r="B401" t="inlineStr">
        <is>
          <t>Cefepime</t>
        </is>
      </c>
      <c r="C401">
        <f>C391+0.5</f>
        <v>20.5</v>
      </c>
      <c r="D401" t="inlineStr" s="1">
        <is>
          <t>MG1655</t>
        </is>
      </c>
      <c r="E401" s="1">
        <f>E391</f>
        <v>10</v>
      </c>
      <c r="F401">
        <v>16</v>
      </c>
      <c r="H401">
        <f t="shared" si="30"/>
        <v>1.0000000000000001E-5</v>
      </c>
      <c r="I401">
        <v>5</v>
      </c>
      <c r="J401">
        <v>20</v>
      </c>
      <c r="K401">
        <f t="shared" si="31"/>
        <v>16</v>
      </c>
      <c r="L401">
        <f t="shared" si="32"/>
        <v>80000000</v>
      </c>
    </row>
    <row r="402" spans="4:7">
      <c r="D402" s="1"/>
      <c r="E402" s="1"/>
    </row>
    <row r="403" spans="4:7">
      <c r="D403" s="1"/>
      <c r="E403" s="1"/>
    </row>
    <row r="404" spans="4:7">
      <c r="D404" s="1"/>
      <c r="E404" s="1"/>
    </row>
    <row r="405" spans="4:7">
      <c r="D405" s="1"/>
      <c r="E405" s="1"/>
      <c r="F405" s="5"/>
    </row>
    <row r="406" spans="4:7">
      <c r="D406" s="1"/>
      <c r="E406" s="1"/>
      <c r="G406" s="5"/>
    </row>
    <row r="407" spans="4:7">
      <c r="D407" s="1"/>
      <c r="E407" s="1"/>
    </row>
    <row r="408" spans="4:7">
      <c r="D408" s="1"/>
      <c r="E408" s="1"/>
    </row>
    <row r="409" spans="4:7">
      <c r="D409" s="1"/>
      <c r="E409" s="1"/>
    </row>
    <row r="410" spans="4:7">
      <c r="D410" s="1"/>
      <c r="E410" s="1"/>
    </row>
    <row r="411" spans="4:7">
      <c r="D411" s="1"/>
      <c r="E411" s="1"/>
    </row>
    <row r="412" spans="4:7">
      <c r="D412" s="1"/>
      <c r="E412" s="1"/>
    </row>
    <row r="413" spans="4:7">
      <c r="D413" s="1"/>
      <c r="E413" s="1"/>
    </row>
    <row r="414" spans="4:7">
      <c r="D414" s="1"/>
      <c r="E414" s="1"/>
    </row>
    <row r="415" spans="4:7">
      <c r="D415" s="1"/>
      <c r="E415" s="1"/>
    </row>
    <row r="416" spans="4:7">
      <c r="D416" s="1"/>
      <c r="E416" s="1"/>
    </row>
    <row r="417" spans="4:5">
      <c r="D417" s="1"/>
      <c r="E417" s="1"/>
    </row>
    <row r="418" spans="4:5">
      <c r="D418" s="1"/>
      <c r="E418" s="1"/>
    </row>
    <row r="419" spans="4:5">
      <c r="D419" s="1"/>
      <c r="E419" s="1"/>
    </row>
    <row r="420" spans="4:5">
      <c r="D420" s="1"/>
      <c r="E420" s="1"/>
    </row>
    <row r="421" spans="4:5">
      <c r="D421" s="1"/>
      <c r="E421" s="1"/>
    </row>
    <row r="422" spans="4:5">
      <c r="D422" s="1"/>
      <c r="E422" s="1"/>
    </row>
    <row r="423" spans="4:5">
      <c r="D423" s="1"/>
      <c r="E423" s="1"/>
    </row>
    <row r="424" spans="4:5">
      <c r="D424" s="1"/>
      <c r="E424" s="1"/>
    </row>
    <row r="425" spans="4:5">
      <c r="D425" s="1"/>
      <c r="E425" s="1"/>
    </row>
    <row r="426" spans="4:5">
      <c r="D426" s="1"/>
      <c r="E426" s="1"/>
    </row>
    <row r="427" spans="4:5">
      <c r="D427" s="1"/>
      <c r="E427" s="1"/>
    </row>
    <row r="428" spans="4:5">
      <c r="D428" s="1"/>
      <c r="E428" s="1"/>
    </row>
    <row r="429" spans="4:5">
      <c r="D429" s="1"/>
      <c r="E429" s="1"/>
    </row>
    <row r="430" spans="4:5">
      <c r="D430" s="1"/>
      <c r="E430" s="1"/>
    </row>
    <row r="431" spans="4:5">
      <c r="D431" s="1"/>
      <c r="E431" s="1"/>
    </row>
    <row r="432" spans="4:5">
      <c r="D432" s="1"/>
      <c r="E432" s="1"/>
    </row>
    <row r="433" spans="4:5">
      <c r="D433" s="1"/>
      <c r="E433" s="1"/>
    </row>
    <row r="434" spans="4:5">
      <c r="D434" s="1"/>
      <c r="E434" s="1"/>
    </row>
    <row r="435" spans="4:5">
      <c r="D435" s="1"/>
      <c r="E435" s="1"/>
    </row>
    <row r="436" spans="4:5">
      <c r="D436" s="1"/>
      <c r="E436" s="1"/>
    </row>
    <row r="437" spans="4:5">
      <c r="D437" s="1"/>
      <c r="E437" s="1"/>
    </row>
    <row r="438" spans="4:5">
      <c r="D438" s="1"/>
      <c r="E438" s="1"/>
    </row>
    <row r="439" spans="4:5">
      <c r="D439" s="1"/>
      <c r="E439" s="1"/>
    </row>
    <row r="440" spans="4:5">
      <c r="D440" s="1"/>
      <c r="E440" s="1"/>
    </row>
    <row r="441" spans="4:5">
      <c r="D441" s="1"/>
      <c r="E441" s="1"/>
    </row>
    <row r="442" spans="4:5">
      <c r="D442" s="1"/>
      <c r="E442" s="1"/>
    </row>
    <row r="443" spans="4:5">
      <c r="D443" s="1"/>
      <c r="E443" s="1"/>
    </row>
    <row r="444" spans="4:5">
      <c r="D444" s="1"/>
      <c r="E444" s="1"/>
    </row>
    <row r="445" spans="4:5">
      <c r="D445" s="1"/>
      <c r="E445" s="1"/>
    </row>
    <row r="446" spans="4:5">
      <c r="D446" s="1"/>
      <c r="E446" s="1"/>
    </row>
    <row r="447" spans="4:5">
      <c r="D447" s="1"/>
      <c r="E447" s="1"/>
    </row>
    <row r="448" spans="4:5">
      <c r="D448" s="1"/>
      <c r="E448" s="1"/>
    </row>
    <row r="449" spans="4:7">
      <c r="D449" s="1"/>
      <c r="E449" s="1"/>
    </row>
    <row r="450" spans="4:7">
      <c r="D450" s="1"/>
      <c r="E450" s="1"/>
    </row>
    <row r="451" spans="4:7">
      <c r="D451" s="1"/>
      <c r="E451" s="1"/>
      <c r="G451" s="5"/>
    </row>
    <row r="452" spans="4:7">
      <c r="D452" s="1"/>
      <c r="E452" s="1"/>
    </row>
    <row r="453" spans="4:7">
      <c r="D453" s="1"/>
      <c r="E453" s="1"/>
    </row>
    <row r="454" spans="4:7">
      <c r="D454" s="1"/>
      <c r="E454" s="1"/>
    </row>
    <row r="455" spans="4:7">
      <c r="D455" s="1"/>
      <c r="E455" s="1"/>
    </row>
    <row r="456" spans="4:7">
      <c r="D456" s="1"/>
      <c r="E456" s="1"/>
    </row>
    <row r="457" spans="4:7">
      <c r="D457" s="1"/>
      <c r="E457" s="1"/>
    </row>
    <row r="458" spans="4:7">
      <c r="D458" s="1"/>
      <c r="E458" s="1"/>
    </row>
    <row r="459" spans="4:7">
      <c r="D459" s="1"/>
      <c r="E459" s="1"/>
    </row>
    <row r="460" spans="4:7">
      <c r="D460" s="1"/>
      <c r="E460" s="1"/>
    </row>
    <row r="461" spans="4:7">
      <c r="D461" s="1"/>
      <c r="E461" s="1"/>
    </row>
    <row r="462" spans="4:7">
      <c r="D462" s="1"/>
      <c r="E462" s="1"/>
    </row>
    <row r="463" spans="4:7">
      <c r="D463" s="1"/>
      <c r="E463" s="1"/>
    </row>
    <row r="464" spans="4:7">
      <c r="D464" s="1"/>
      <c r="E464" s="1"/>
    </row>
    <row r="465" spans="4:6">
      <c r="D465" s="1"/>
      <c r="E465" s="1"/>
    </row>
    <row r="466" spans="4:6">
      <c r="D466" s="1"/>
      <c r="E466" s="1"/>
    </row>
    <row r="467" spans="4:6">
      <c r="D467" s="1"/>
      <c r="E467" s="1"/>
    </row>
    <row r="468" spans="4:6">
      <c r="D468" s="1"/>
      <c r="E468" s="1"/>
    </row>
    <row r="469" spans="4:6">
      <c r="D469" s="1"/>
      <c r="E469" s="1"/>
      <c r="F469" s="5"/>
    </row>
    <row r="470" spans="4:6">
      <c r="D470" s="1"/>
      <c r="E470" s="1"/>
    </row>
    <row r="471" spans="4:6">
      <c r="D471" s="1"/>
      <c r="E471" s="1"/>
    </row>
    <row r="472" spans="4:6">
      <c r="D472" s="1"/>
      <c r="E472" s="1"/>
    </row>
    <row r="473" spans="4:6">
      <c r="D473" s="1"/>
      <c r="E473" s="1"/>
    </row>
    <row r="474" spans="4:6">
      <c r="D474" s="1"/>
      <c r="E474" s="1"/>
    </row>
    <row r="475" spans="4:6">
      <c r="D475" s="1"/>
      <c r="E475" s="1"/>
    </row>
    <row r="476" spans="4:6">
      <c r="D476" s="1"/>
      <c r="E476" s="1"/>
    </row>
    <row r="477" spans="4:6">
      <c r="D477" s="1"/>
      <c r="E477" s="1"/>
    </row>
    <row r="478" spans="4:6">
      <c r="D478" s="1"/>
      <c r="E478" s="1"/>
    </row>
    <row r="479" spans="4:6">
      <c r="D479" s="1"/>
      <c r="E479" s="1"/>
    </row>
    <row r="480" spans="4:6">
      <c r="D480" s="1"/>
      <c r="E480" s="1"/>
    </row>
    <row r="481" spans="4:7">
      <c r="D481" s="1"/>
      <c r="E481" s="1"/>
    </row>
    <row r="482" spans="4:7">
      <c r="D482" s="1"/>
      <c r="E482" s="1"/>
    </row>
    <row r="483" spans="4:7">
      <c r="D483" s="1"/>
      <c r="E483" s="1"/>
    </row>
    <row r="484" spans="4:7">
      <c r="D484" s="1"/>
      <c r="E484" s="1"/>
      <c r="G484" s="5"/>
    </row>
    <row r="485" spans="4:7">
      <c r="D485" s="1"/>
      <c r="E485" s="1"/>
      <c r="G485" s="5"/>
    </row>
    <row r="486" spans="4:7">
      <c r="D486" s="1"/>
      <c r="E486" s="1"/>
    </row>
    <row r="487" spans="4:7">
      <c r="D487" s="1"/>
      <c r="E487" s="1"/>
    </row>
    <row r="488" spans="4:7">
      <c r="D488" s="1"/>
      <c r="E488" s="1"/>
    </row>
    <row r="489" spans="4:7">
      <c r="D489" s="1"/>
      <c r="E489" s="1"/>
    </row>
    <row r="490" spans="4:7">
      <c r="D490" s="1"/>
      <c r="E490" s="1"/>
    </row>
    <row r="491" spans="4:7">
      <c r="D491" s="1"/>
      <c r="E491" s="1"/>
      <c r="G491" s="5"/>
    </row>
    <row r="492" spans="4:7">
      <c r="D492" s="1"/>
      <c r="E492" s="1"/>
      <c r="G492" s="5"/>
    </row>
    <row r="493" spans="4:7">
      <c r="D493" s="1"/>
      <c r="E493" s="1"/>
    </row>
    <row r="494" spans="4:7">
      <c r="D494" s="1"/>
      <c r="E494" s="1"/>
    </row>
    <row r="495" spans="4:7">
      <c r="D495" s="1"/>
      <c r="E495" s="1"/>
    </row>
    <row r="496" spans="4:7">
      <c r="D496" s="1"/>
      <c r="E496" s="1"/>
    </row>
    <row r="497" spans="4:7">
      <c r="D497" s="1"/>
      <c r="E497" s="1"/>
    </row>
    <row r="498" spans="4:7">
      <c r="D498" s="1"/>
      <c r="E498" s="1"/>
    </row>
    <row r="499" spans="4:7">
      <c r="D499" s="1"/>
      <c r="E499" s="1"/>
    </row>
    <row r="500" spans="4:7">
      <c r="D500" s="1"/>
      <c r="E500" s="1"/>
    </row>
    <row r="501" spans="4:7">
      <c r="D501" s="1"/>
      <c r="E501" s="1"/>
    </row>
    <row r="502" spans="4:7">
      <c r="D502" s="1"/>
      <c r="E502" s="1"/>
      <c r="F502" s="4"/>
    </row>
    <row r="503" spans="4:7">
      <c r="D503" s="1"/>
      <c r="E503" s="1"/>
    </row>
    <row r="504" spans="4:7">
      <c r="D504" s="1"/>
      <c r="E504" s="1"/>
    </row>
    <row r="505" spans="4:7">
      <c r="D505" s="1"/>
      <c r="E505" s="1"/>
    </row>
    <row r="506" spans="4:7">
      <c r="D506" s="1"/>
      <c r="E506" s="1"/>
    </row>
    <row r="507" spans="4:7">
      <c r="D507" s="1"/>
      <c r="E507" s="1"/>
    </row>
    <row r="508" spans="4:7">
      <c r="D508" s="1"/>
      <c r="E508" s="1"/>
    </row>
    <row r="509" spans="4:7">
      <c r="D509" s="1"/>
      <c r="E509" s="1"/>
      <c r="G509" s="5"/>
    </row>
    <row r="510" spans="4:7">
      <c r="D510" s="1"/>
      <c r="E510" s="1"/>
    </row>
    <row r="511" spans="4:7">
      <c r="D511" s="1"/>
      <c r="E511" s="1"/>
    </row>
    <row r="512" spans="4:7">
      <c r="D512" s="1"/>
      <c r="E512" s="1"/>
    </row>
    <row r="513" spans="4:5">
      <c r="D513" s="1"/>
      <c r="E513" s="1"/>
    </row>
    <row r="514" spans="4:5">
      <c r="D514" s="1"/>
      <c r="E514" s="1"/>
    </row>
    <row r="515" spans="4:5">
      <c r="D515" s="1"/>
      <c r="E515" s="1"/>
    </row>
    <row r="516" spans="4:5">
      <c r="D516" s="1"/>
      <c r="E516" s="1"/>
    </row>
    <row r="517" spans="4:5">
      <c r="D517" s="1"/>
      <c r="E517" s="1"/>
    </row>
    <row r="518" spans="4:5">
      <c r="D518" s="1"/>
      <c r="E518" s="1"/>
    </row>
    <row r="519" spans="4:5">
      <c r="D519" s="1"/>
      <c r="E519" s="1"/>
    </row>
    <row r="520" spans="4:5">
      <c r="D520" s="1"/>
      <c r="E520" s="1"/>
    </row>
    <row r="521" spans="4:5">
      <c r="D521" s="1"/>
      <c r="E521" s="1"/>
    </row>
    <row r="522" spans="4:5">
      <c r="D522" s="1"/>
      <c r="E522" s="1"/>
    </row>
    <row r="523" spans="4:5">
      <c r="D523" s="1"/>
      <c r="E523" s="1"/>
    </row>
    <row r="524" spans="4:5">
      <c r="D524" s="1"/>
      <c r="E524" s="1"/>
    </row>
    <row r="525" spans="4:5">
      <c r="D525" s="1"/>
      <c r="E525" s="1"/>
    </row>
    <row r="526" spans="4:5">
      <c r="D526" s="1"/>
      <c r="E526" s="1"/>
    </row>
    <row r="527" spans="4:5">
      <c r="D527" s="1"/>
      <c r="E527" s="1"/>
    </row>
    <row r="528" spans="4:5">
      <c r="D528" s="1"/>
      <c r="E528" s="1"/>
    </row>
    <row r="529" spans="4:6">
      <c r="D529" s="1"/>
      <c r="E529" s="1"/>
      <c r="F529" s="5"/>
    </row>
    <row r="530" spans="4:6">
      <c r="D530" s="1"/>
      <c r="E530" s="1"/>
    </row>
    <row r="531" spans="4:6">
      <c r="D531" s="1"/>
      <c r="E531" s="1"/>
    </row>
    <row r="532" spans="4:6">
      <c r="D532" s="1"/>
      <c r="E532" s="1"/>
    </row>
    <row r="533" spans="4:6">
      <c r="D533" s="1"/>
      <c r="E533" s="1"/>
    </row>
    <row r="534" spans="4:6">
      <c r="D534" s="1"/>
      <c r="E534" s="1"/>
    </row>
    <row r="535" spans="4:6">
      <c r="D535" s="1"/>
      <c r="E535" s="1"/>
    </row>
    <row r="536" spans="4:6">
      <c r="D536" s="1"/>
      <c r="E536" s="1"/>
    </row>
    <row r="537" spans="4:6">
      <c r="D537" s="1"/>
      <c r="E537" s="1"/>
    </row>
    <row r="538" spans="4:6">
      <c r="D538" s="1"/>
      <c r="E538" s="1"/>
    </row>
    <row r="539" spans="4:6">
      <c r="D539" s="1"/>
      <c r="E539" s="1"/>
    </row>
    <row r="540" spans="4:6">
      <c r="D540" s="1"/>
      <c r="E540" s="1"/>
    </row>
    <row r="541" spans="4:6">
      <c r="D541" s="1"/>
      <c r="E541" s="1"/>
    </row>
    <row r="542" spans="4:6">
      <c r="D542" s="1"/>
      <c r="E542" s="1"/>
    </row>
    <row r="543" spans="4:6">
      <c r="D543" s="1"/>
      <c r="E543" s="1"/>
    </row>
    <row r="544" spans="4:6">
      <c r="D544" s="1"/>
      <c r="E544" s="1"/>
    </row>
    <row r="545" spans="4:5">
      <c r="D545" s="1"/>
      <c r="E545" s="1"/>
    </row>
    <row r="546" spans="4:5">
      <c r="D546" s="1"/>
      <c r="E546" s="1"/>
    </row>
    <row r="547" spans="4:5">
      <c r="D547" s="1"/>
      <c r="E547" s="1"/>
    </row>
    <row r="548" spans="4:5">
      <c r="D548" s="1"/>
      <c r="E548" s="1"/>
    </row>
    <row r="549" spans="4:5">
      <c r="D549" s="1"/>
      <c r="E549" s="1"/>
    </row>
    <row r="550" spans="4:5">
      <c r="D550" s="1"/>
      <c r="E550" s="1"/>
    </row>
    <row r="551" spans="4:5">
      <c r="D551" s="1"/>
      <c r="E551" s="1"/>
    </row>
    <row r="552" spans="4:5">
      <c r="D552" s="1"/>
      <c r="E552" s="1"/>
    </row>
    <row r="553" spans="4:5">
      <c r="D553" s="1"/>
      <c r="E553" s="1"/>
    </row>
    <row r="554" spans="4:5">
      <c r="D554" s="1"/>
      <c r="E554" s="1"/>
    </row>
    <row r="555" spans="4:5">
      <c r="D555" s="1"/>
      <c r="E555" s="1"/>
    </row>
    <row r="556" spans="4:5">
      <c r="D556" s="1"/>
      <c r="E556" s="1"/>
    </row>
    <row r="557" spans="4:5">
      <c r="D557" s="1"/>
      <c r="E557" s="1"/>
    </row>
    <row r="558" spans="4:5">
      <c r="D558" s="1"/>
      <c r="E558" s="1"/>
    </row>
    <row r="559" spans="4:5">
      <c r="D559" s="1"/>
      <c r="E559" s="1"/>
    </row>
    <row r="560" spans="4:5">
      <c r="D560" s="1"/>
      <c r="E560" s="1"/>
    </row>
    <row r="561" spans="4:6">
      <c r="D561" s="1"/>
      <c r="E561" s="1"/>
    </row>
    <row r="562" spans="4:6">
      <c r="D562" s="1"/>
      <c r="E562" s="1"/>
    </row>
    <row r="563" spans="4:6">
      <c r="D563" s="1"/>
      <c r="E563" s="1"/>
      <c r="F563" s="5"/>
    </row>
    <row r="564" spans="4:6">
      <c r="D564" s="1"/>
      <c r="E564" s="1"/>
    </row>
    <row r="565" spans="4:6">
      <c r="D565" s="1"/>
      <c r="E565" s="1"/>
    </row>
    <row r="566" spans="4:6">
      <c r="D566" s="1"/>
      <c r="E566" s="1"/>
    </row>
    <row r="567" spans="4:6">
      <c r="D567" s="1"/>
      <c r="E567" s="1"/>
    </row>
    <row r="568" spans="4:6">
      <c r="D568" s="1"/>
      <c r="E568" s="1"/>
    </row>
    <row r="569" spans="4:6">
      <c r="D569" s="1"/>
      <c r="E569" s="1"/>
    </row>
    <row r="570" spans="4:6">
      <c r="D570" s="1"/>
      <c r="E570" s="1"/>
    </row>
    <row r="571" spans="4:6">
      <c r="D571" s="1"/>
      <c r="E571" s="1"/>
    </row>
    <row r="572" spans="4:6">
      <c r="D572" s="1"/>
      <c r="E572" s="1"/>
    </row>
    <row r="573" spans="4:6">
      <c r="D573" s="1"/>
      <c r="E573" s="1"/>
    </row>
    <row r="574" spans="4:6">
      <c r="D574" s="1"/>
      <c r="E574" s="1"/>
    </row>
    <row r="575" spans="4:6">
      <c r="D575" s="1"/>
      <c r="E575" s="1"/>
    </row>
    <row r="576" spans="4:6">
      <c r="D576" s="1"/>
      <c r="E576" s="1"/>
    </row>
    <row r="577" spans="4:6">
      <c r="D577" s="1"/>
      <c r="E577" s="1"/>
    </row>
    <row r="578" spans="4:6">
      <c r="D578" s="1"/>
      <c r="E578" s="1"/>
    </row>
    <row r="579" spans="4:6">
      <c r="D579" s="1"/>
      <c r="E579" s="1"/>
    </row>
    <row r="580" spans="4:6">
      <c r="D580" s="1"/>
      <c r="E580" s="1"/>
    </row>
    <row r="581" spans="4:6">
      <c r="D581" s="1"/>
      <c r="E581" s="1"/>
      <c r="F581" s="5"/>
    </row>
    <row r="582" spans="4:6">
      <c r="D582" s="1"/>
      <c r="E582" s="1"/>
    </row>
    <row r="583" spans="4:6">
      <c r="D583" s="1"/>
      <c r="E583" s="1"/>
    </row>
    <row r="584" spans="4:6">
      <c r="D584" s="1"/>
      <c r="E584" s="1"/>
    </row>
    <row r="585" spans="4:6">
      <c r="D585" s="1"/>
      <c r="E585" s="1"/>
    </row>
    <row r="586" spans="4:6">
      <c r="D586" s="1"/>
      <c r="E586" s="1"/>
      <c r="F586" s="5"/>
    </row>
    <row r="587" spans="4:6">
      <c r="D587" s="1"/>
      <c r="E587" s="1"/>
    </row>
    <row r="588" spans="4:6">
      <c r="D588" s="1"/>
      <c r="E588" s="1"/>
    </row>
    <row r="589" spans="4:6">
      <c r="D589" s="1"/>
      <c r="E589" s="1"/>
      <c r="F589" s="5"/>
    </row>
    <row r="590" spans="4:6">
      <c r="D590" s="1"/>
      <c r="E590" s="1"/>
    </row>
    <row r="591" spans="4:6">
      <c r="D591" s="1"/>
      <c r="E591" s="1"/>
    </row>
    <row r="592" spans="4:6">
      <c r="D592" s="1"/>
      <c r="E592" s="1"/>
    </row>
    <row r="593" spans="4:7">
      <c r="D593" s="1"/>
      <c r="E593" s="1"/>
    </row>
    <row r="594" spans="4:7">
      <c r="D594" s="1"/>
      <c r="E594" s="1"/>
    </row>
    <row r="595" spans="4:7">
      <c r="D595" s="1"/>
      <c r="E595" s="1"/>
    </row>
    <row r="596" spans="4:7">
      <c r="D596" s="1"/>
      <c r="E596" s="1"/>
    </row>
    <row r="597" spans="4:7">
      <c r="D597" s="1"/>
      <c r="E597" s="1"/>
    </row>
    <row r="598" spans="4:7">
      <c r="D598" s="1"/>
      <c r="E598" s="1"/>
    </row>
    <row r="599" spans="4:7">
      <c r="D599" s="1"/>
      <c r="E599" s="1"/>
    </row>
    <row r="600" spans="4:7">
      <c r="D600" s="1"/>
      <c r="E600" s="1"/>
    </row>
    <row r="601" spans="4:7">
      <c r="D601" s="1"/>
      <c r="E601" s="1"/>
    </row>
    <row r="602" spans="4:7">
      <c r="D602" s="1"/>
      <c r="E602" s="1"/>
      <c r="G602" s="5"/>
    </row>
    <row r="603" spans="4:7">
      <c r="D603" s="1"/>
      <c r="E603" s="1"/>
    </row>
    <row r="604" spans="4:7">
      <c r="D604" s="1"/>
      <c r="E604" s="1"/>
    </row>
    <row r="605" spans="4:7">
      <c r="D605" s="1"/>
      <c r="E605" s="1"/>
    </row>
    <row r="606" spans="4:7">
      <c r="D606" s="1"/>
      <c r="E606" s="1"/>
    </row>
    <row r="607" spans="4:7">
      <c r="D607" s="1"/>
      <c r="E607" s="1"/>
    </row>
    <row r="608" spans="4:7">
      <c r="D608" s="1"/>
      <c r="E608" s="1"/>
    </row>
    <row r="609" spans="4:5">
      <c r="D609" s="1"/>
      <c r="E609" s="1"/>
    </row>
    <row r="610" spans="4:5">
      <c r="D610" s="1"/>
      <c r="E610" s="1"/>
    </row>
    <row r="611" spans="4:5">
      <c r="D611" s="1"/>
      <c r="E611" s="1"/>
    </row>
    <row r="612" spans="4:5">
      <c r="D612" s="1"/>
      <c r="E612" s="1"/>
    </row>
    <row r="613" spans="4:5">
      <c r="D613" s="1"/>
      <c r="E613" s="1"/>
    </row>
    <row r="614" spans="4:5">
      <c r="D614" s="1"/>
      <c r="E614" s="1"/>
    </row>
    <row r="615" spans="4:5">
      <c r="D615" s="1"/>
      <c r="E615" s="1"/>
    </row>
    <row r="616" spans="4:5">
      <c r="D616" s="1"/>
      <c r="E616" s="1"/>
    </row>
    <row r="617" spans="4:5">
      <c r="D617" s="1"/>
      <c r="E617" s="1"/>
    </row>
    <row r="618" spans="4:5">
      <c r="D618" s="1"/>
      <c r="E618" s="1"/>
    </row>
    <row r="619" spans="4:5">
      <c r="D619" s="1"/>
      <c r="E619" s="1"/>
    </row>
    <row r="620" spans="4:5">
      <c r="D620" s="1"/>
      <c r="E620" s="1"/>
    </row>
    <row r="621" spans="4:5">
      <c r="D621" s="1"/>
      <c r="E621" s="1"/>
    </row>
    <row r="622" spans="4:5">
      <c r="D622" s="1"/>
      <c r="E622" s="1"/>
    </row>
    <row r="623" spans="4:5">
      <c r="D623" s="1"/>
      <c r="E623" s="1"/>
    </row>
    <row r="624" spans="4:5">
      <c r="D624" s="1"/>
      <c r="E624" s="1"/>
    </row>
    <row r="625" spans="4:5">
      <c r="D625" s="1"/>
      <c r="E625" s="1"/>
    </row>
    <row r="626" spans="4:5">
      <c r="D626" s="1"/>
      <c r="E626" s="1"/>
    </row>
    <row r="627" spans="4:5">
      <c r="D627" s="1"/>
      <c r="E627" s="1"/>
    </row>
    <row r="628" spans="4:5">
      <c r="D628" s="1"/>
      <c r="E628" s="1"/>
    </row>
    <row r="629" spans="4:5">
      <c r="D629" s="1"/>
      <c r="E629" s="1"/>
    </row>
    <row r="630" spans="4:5">
      <c r="D630" s="1"/>
      <c r="E630" s="1"/>
    </row>
    <row r="631" spans="4:5">
      <c r="D631" s="1"/>
      <c r="E631" s="1"/>
    </row>
    <row r="632" spans="4:5">
      <c r="D632" s="1"/>
      <c r="E632" s="1"/>
    </row>
    <row r="633" spans="4:5">
      <c r="D633" s="1"/>
      <c r="E633" s="1"/>
    </row>
    <row r="634" spans="4:5">
      <c r="D634" s="1"/>
      <c r="E634" s="1"/>
    </row>
    <row r="635" spans="4:5">
      <c r="D635" s="1"/>
      <c r="E635" s="1"/>
    </row>
    <row r="636" spans="4:5">
      <c r="D636" s="1"/>
      <c r="E636" s="1"/>
    </row>
    <row r="637" spans="4:5">
      <c r="D637" s="1"/>
      <c r="E637" s="1"/>
    </row>
    <row r="638" spans="4:5">
      <c r="D638" s="1"/>
      <c r="E638" s="1"/>
    </row>
    <row r="639" spans="4:5">
      <c r="D639" s="1"/>
      <c r="E639" s="1"/>
    </row>
    <row r="640" spans="4:5">
      <c r="D640" s="1"/>
      <c r="E640" s="1"/>
    </row>
    <row r="641" spans="4:7">
      <c r="D641" s="1"/>
      <c r="E641" s="1"/>
    </row>
    <row r="642" spans="4:7">
      <c r="D642" s="1"/>
      <c r="E642" s="1"/>
    </row>
    <row r="643" spans="4:7">
      <c r="D643" s="1"/>
      <c r="E643" s="1"/>
    </row>
    <row r="644" spans="4:7">
      <c r="D644" s="1"/>
      <c r="E644" s="1"/>
    </row>
    <row r="645" spans="4:7">
      <c r="D645" s="1"/>
      <c r="E645" s="1"/>
    </row>
    <row r="646" spans="4:7">
      <c r="D646" s="1"/>
      <c r="E646" s="1"/>
    </row>
    <row r="647" spans="4:7">
      <c r="D647" s="1"/>
      <c r="E647" s="1"/>
      <c r="G647" s="5"/>
    </row>
    <row r="648" spans="4:7">
      <c r="D648" s="1"/>
      <c r="E648" s="1"/>
    </row>
    <row r="649" spans="4:7">
      <c r="D649" s="1"/>
      <c r="E649" s="1"/>
    </row>
    <row r="650" spans="4:7">
      <c r="D650" s="1"/>
      <c r="E650" s="1"/>
    </row>
    <row r="651" spans="4:7">
      <c r="D651" s="1"/>
      <c r="E651" s="1"/>
    </row>
    <row r="652" spans="4:7">
      <c r="D652" s="1"/>
      <c r="E652" s="1"/>
    </row>
    <row r="653" spans="4:7">
      <c r="D653" s="1"/>
      <c r="E653" s="1"/>
    </row>
    <row r="654" spans="4:7">
      <c r="D654" s="1"/>
      <c r="E654" s="1"/>
    </row>
    <row r="655" spans="4:7">
      <c r="D655" s="1"/>
      <c r="E655" s="1"/>
    </row>
    <row r="656" spans="4:7">
      <c r="D656" s="1"/>
      <c r="E656" s="1"/>
    </row>
    <row r="657" spans="4:6">
      <c r="D657" s="1"/>
      <c r="E657" s="1"/>
    </row>
    <row r="658" spans="4:6">
      <c r="D658" s="1"/>
      <c r="E658" s="1"/>
    </row>
    <row r="659" spans="4:6">
      <c r="D659" s="1"/>
      <c r="E659" s="1"/>
    </row>
    <row r="660" spans="4:6">
      <c r="D660" s="1"/>
      <c r="E660" s="1"/>
    </row>
    <row r="661" spans="4:6">
      <c r="D661" s="1"/>
      <c r="E661" s="1"/>
    </row>
    <row r="662" spans="4:6">
      <c r="D662" s="1"/>
      <c r="E662" s="1"/>
      <c r="F662" s="5"/>
    </row>
    <row r="663" spans="4:6">
      <c r="D663" s="1"/>
      <c r="E663" s="1"/>
    </row>
    <row r="664" spans="4:6">
      <c r="D664" s="1"/>
      <c r="E664" s="1"/>
    </row>
    <row r="665" spans="4:6">
      <c r="D665" s="1"/>
      <c r="E665" s="1"/>
    </row>
    <row r="666" spans="4:6">
      <c r="D666" s="1"/>
      <c r="E666" s="1"/>
    </row>
    <row r="667" spans="4:6">
      <c r="D667" s="1"/>
      <c r="E667" s="1"/>
    </row>
    <row r="668" spans="4:6">
      <c r="D668" s="1"/>
      <c r="E668" s="1"/>
    </row>
    <row r="669" spans="4:6">
      <c r="D669" s="1"/>
      <c r="E669" s="1"/>
    </row>
    <row r="670" spans="4:6">
      <c r="D670" s="1"/>
      <c r="E670" s="1"/>
    </row>
    <row r="671" spans="4:6">
      <c r="D671" s="1"/>
      <c r="E671" s="1"/>
    </row>
    <row r="672" spans="4:6">
      <c r="D672" s="1"/>
      <c r="E672" s="1"/>
    </row>
    <row r="673" spans="3:7">
      <c r="D673" s="1"/>
      <c r="E673" s="1"/>
    </row>
    <row r="674" spans="3:7">
      <c r="D674" s="1"/>
      <c r="E674" s="1"/>
    </row>
    <row r="675" spans="3:7">
      <c r="D675" s="1"/>
      <c r="E675" s="1"/>
    </row>
    <row r="676" spans="3:7">
      <c r="D676" s="1"/>
      <c r="E676" s="1"/>
    </row>
    <row r="677" spans="3:7">
      <c r="D677" s="1"/>
      <c r="E677" s="1"/>
    </row>
    <row r="678" spans="3:7">
      <c r="D678" s="1"/>
      <c r="E678" s="1"/>
    </row>
    <row r="679" spans="3:7">
      <c r="D679" s="1"/>
      <c r="E679" s="1"/>
    </row>
    <row r="680" spans="3:7">
      <c r="D680" s="1"/>
      <c r="E680" s="1"/>
    </row>
    <row r="681" spans="3:7" ht="17.100000000000001" thickBot="1">
      <c r="D681" s="1"/>
      <c r="E681" s="1"/>
    </row>
    <row r="682" spans="3:7">
      <c r="C682" s="6"/>
      <c r="D682" s="7"/>
      <c r="E682" s="7"/>
      <c r="F682" s="7"/>
      <c r="G682" s="7"/>
    </row>
    <row r="683" spans="3:7">
      <c r="C683" s="8"/>
      <c r="D683" s="9"/>
      <c r="E683" s="9"/>
      <c r="F683" s="9"/>
      <c r="G683" s="9"/>
    </row>
    <row r="684" spans="3:7">
      <c r="C684" s="8"/>
      <c r="D684" s="9"/>
      <c r="E684" s="9"/>
      <c r="F684" s="9"/>
      <c r="G684" s="9"/>
    </row>
    <row r="685" spans="3:7">
      <c r="C685" s="8"/>
      <c r="D685" s="9"/>
      <c r="E685" s="9"/>
      <c r="F685" s="9"/>
      <c r="G685" s="9"/>
    </row>
    <row r="686" spans="3:7">
      <c r="C686" s="8"/>
      <c r="D686" s="9"/>
      <c r="E686" s="9"/>
      <c r="F686" s="9"/>
      <c r="G686" s="9"/>
    </row>
    <row r="687" spans="3:7">
      <c r="C687" s="8"/>
      <c r="D687" s="9"/>
      <c r="E687" s="9"/>
      <c r="F687" s="9"/>
      <c r="G687" s="9"/>
    </row>
    <row r="688" spans="3:7">
      <c r="C688" s="8"/>
      <c r="D688" s="9"/>
      <c r="E688" s="9"/>
      <c r="F688" s="9"/>
      <c r="G688" s="9"/>
    </row>
    <row r="689" spans="3:7">
      <c r="C689" s="8"/>
      <c r="D689" s="9"/>
      <c r="E689" s="9"/>
      <c r="F689" s="9"/>
      <c r="G689" s="9"/>
    </row>
    <row r="690" spans="3:7">
      <c r="C690" s="8"/>
      <c r="D690" s="9"/>
      <c r="E690" s="9"/>
      <c r="F690" s="9"/>
      <c r="G690" s="10"/>
    </row>
    <row r="691" spans="3:7">
      <c r="C691" s="8"/>
      <c r="D691" s="9"/>
      <c r="E691" s="9"/>
      <c r="F691" s="9"/>
      <c r="G691" s="10"/>
    </row>
    <row r="692" spans="3:7">
      <c r="C692" s="8"/>
      <c r="D692" s="9"/>
      <c r="E692" s="9"/>
      <c r="F692" s="9"/>
      <c r="G692" s="9"/>
    </row>
    <row r="693" spans="3:7">
      <c r="C693" s="8"/>
      <c r="D693" s="9"/>
      <c r="E693" s="9"/>
      <c r="F693" s="9"/>
      <c r="G693" s="9"/>
    </row>
    <row r="694" spans="3:7">
      <c r="C694" s="8"/>
      <c r="D694" s="9"/>
      <c r="E694" s="9"/>
      <c r="F694" s="9"/>
      <c r="G694" s="9"/>
    </row>
    <row r="695" spans="3:7">
      <c r="C695" s="8"/>
      <c r="D695" s="9"/>
      <c r="E695" s="9"/>
      <c r="F695" s="9"/>
      <c r="G695" s="9"/>
    </row>
    <row r="696" spans="3:7">
      <c r="C696" s="8"/>
      <c r="D696" s="9"/>
      <c r="E696" s="9"/>
      <c r="F696" s="9"/>
      <c r="G696" s="9"/>
    </row>
    <row r="697" spans="3:7">
      <c r="C697" s="8"/>
      <c r="D697" s="9"/>
      <c r="E697" s="9"/>
      <c r="F697" s="9"/>
      <c r="G697" s="9"/>
    </row>
    <row r="698" spans="3:7">
      <c r="C698" s="8"/>
      <c r="D698" s="9"/>
      <c r="E698" s="9"/>
      <c r="F698" s="9"/>
      <c r="G698" s="9"/>
    </row>
    <row r="699" spans="3:7">
      <c r="C699" s="8"/>
      <c r="D699" s="9"/>
      <c r="E699" s="9"/>
      <c r="F699" s="9"/>
      <c r="G699" s="9"/>
    </row>
    <row r="700" spans="3:7">
      <c r="C700" s="8"/>
      <c r="D700" s="9"/>
      <c r="E700" s="9"/>
      <c r="F700" s="9"/>
      <c r="G700" s="9"/>
    </row>
    <row r="701" spans="3:7">
      <c r="C701" s="8"/>
      <c r="D701" s="9"/>
      <c r="E701" s="9"/>
      <c r="F701" s="9"/>
      <c r="G701" s="9"/>
    </row>
    <row r="702" spans="3:7">
      <c r="C702" s="8"/>
      <c r="D702" s="9"/>
      <c r="E702" s="9"/>
      <c r="F702" s="9"/>
      <c r="G702" s="9"/>
    </row>
    <row r="703" spans="3:7">
      <c r="C703" s="8"/>
      <c r="D703" s="9"/>
      <c r="E703" s="9"/>
      <c r="F703" s="9"/>
      <c r="G703" s="9"/>
    </row>
    <row r="704" spans="3:7">
      <c r="C704" s="8"/>
      <c r="D704" s="9"/>
      <c r="E704" s="9"/>
      <c r="F704" s="9"/>
      <c r="G704" s="9"/>
    </row>
    <row r="705" spans="3:7">
      <c r="C705" s="8"/>
      <c r="D705" s="9"/>
      <c r="E705" s="9"/>
      <c r="F705" s="9"/>
      <c r="G705" s="9"/>
    </row>
    <row r="706" spans="3:7">
      <c r="C706" s="8"/>
      <c r="D706" s="9"/>
      <c r="E706" s="9"/>
      <c r="F706" s="9"/>
      <c r="G706" s="9"/>
    </row>
    <row r="707" spans="3:7">
      <c r="C707" s="8"/>
      <c r="D707" s="9"/>
      <c r="E707" s="9"/>
      <c r="F707" s="9"/>
      <c r="G707" s="9"/>
    </row>
    <row r="708" spans="3:7">
      <c r="C708" s="8"/>
      <c r="D708" s="9"/>
      <c r="E708" s="9"/>
      <c r="F708" s="9"/>
      <c r="G708" s="9"/>
    </row>
    <row r="709" spans="3:7" ht="17.100000000000001" thickBot="1">
      <c r="C709" s="11"/>
      <c r="D709" s="12"/>
      <c r="E709" s="12"/>
      <c r="F709" s="12"/>
      <c r="G709" s="12"/>
    </row>
    <row r="710" spans="3:7">
      <c r="C710" s="6"/>
      <c r="D710" s="7"/>
      <c r="E710" s="7"/>
      <c r="F710" s="7"/>
      <c r="G710" s="7"/>
    </row>
    <row r="711" spans="3:7">
      <c r="C711" s="8"/>
      <c r="D711" s="9"/>
      <c r="E711" s="9"/>
      <c r="F711" s="9"/>
      <c r="G711" s="9"/>
    </row>
    <row r="712" spans="3:7">
      <c r="C712" s="8"/>
      <c r="D712" s="9"/>
      <c r="E712" s="9"/>
      <c r="F712" s="9"/>
      <c r="G712" s="9"/>
    </row>
    <row r="713" spans="3:7">
      <c r="C713" s="8"/>
      <c r="D713" s="9"/>
      <c r="E713" s="9"/>
      <c r="F713" s="9"/>
      <c r="G713" s="9"/>
    </row>
    <row r="714" spans="3:7">
      <c r="C714" s="8"/>
      <c r="D714" s="9"/>
      <c r="E714" s="9"/>
      <c r="F714" s="9"/>
      <c r="G714" s="9"/>
    </row>
    <row r="715" spans="3:7">
      <c r="C715" s="8"/>
      <c r="D715" s="9"/>
      <c r="E715" s="9"/>
      <c r="F715" s="9"/>
      <c r="G715" s="9"/>
    </row>
    <row r="716" spans="3:7">
      <c r="C716" s="8"/>
      <c r="D716" s="9"/>
      <c r="E716" s="9"/>
      <c r="F716" s="9"/>
      <c r="G716" s="9"/>
    </row>
    <row r="717" spans="3:7">
      <c r="C717" s="8"/>
      <c r="D717" s="9"/>
      <c r="E717" s="9"/>
      <c r="F717" s="9"/>
      <c r="G717" s="9"/>
    </row>
    <row r="718" spans="3:7">
      <c r="C718" s="8"/>
      <c r="D718" s="9"/>
      <c r="E718" s="9"/>
      <c r="F718" s="9"/>
      <c r="G718" s="9"/>
    </row>
    <row r="719" spans="3:7">
      <c r="C719" s="8"/>
      <c r="D719" s="9"/>
      <c r="E719" s="9"/>
      <c r="F719" s="9"/>
      <c r="G719" s="9"/>
    </row>
    <row r="720" spans="3:7">
      <c r="C720" s="8"/>
      <c r="D720" s="9"/>
      <c r="E720" s="9"/>
      <c r="F720" s="9"/>
      <c r="G720" s="9"/>
    </row>
    <row r="721" spans="3:7">
      <c r="C721" s="8"/>
      <c r="D721" s="9"/>
      <c r="E721" s="9"/>
      <c r="F721" s="9"/>
      <c r="G721" s="9"/>
    </row>
    <row r="722" spans="3:7">
      <c r="C722" s="8"/>
      <c r="D722" s="9"/>
      <c r="E722" s="9"/>
      <c r="F722" s="9"/>
      <c r="G722" s="9"/>
    </row>
    <row r="723" spans="3:7">
      <c r="C723" s="8"/>
      <c r="D723" s="9"/>
      <c r="E723" s="9"/>
      <c r="F723" s="9"/>
      <c r="G723" s="9"/>
    </row>
    <row r="724" spans="3:7">
      <c r="C724" s="8"/>
      <c r="D724" s="9"/>
      <c r="E724" s="9"/>
      <c r="F724" s="9"/>
      <c r="G724" s="9"/>
    </row>
    <row r="725" spans="3:7">
      <c r="C725" s="8"/>
      <c r="D725" s="9"/>
      <c r="E725" s="9"/>
      <c r="F725" s="9"/>
      <c r="G725" s="9"/>
    </row>
    <row r="726" spans="3:7">
      <c r="C726" s="8"/>
      <c r="D726" s="9"/>
      <c r="E726" s="9"/>
      <c r="F726" s="9"/>
      <c r="G726" s="9"/>
    </row>
    <row r="727" spans="3:7">
      <c r="C727" s="8"/>
      <c r="D727" s="9"/>
      <c r="E727" s="9"/>
      <c r="F727" s="9"/>
      <c r="G727" s="9"/>
    </row>
    <row r="728" spans="3:7">
      <c r="C728" s="8"/>
      <c r="D728" s="9"/>
      <c r="E728" s="9"/>
      <c r="F728" s="9"/>
      <c r="G728" s="9"/>
    </row>
    <row r="729" spans="3:7" ht="17.100000000000001" thickBot="1">
      <c r="C729" s="11"/>
      <c r="D729" s="12"/>
      <c r="E729" s="12"/>
      <c r="F729" s="12"/>
      <c r="G729" s="12"/>
    </row>
    <row r="730" spans="3:7">
      <c r="C730" s="6"/>
      <c r="D730" s="7"/>
      <c r="E730" s="7"/>
      <c r="F730" s="7"/>
      <c r="G730" s="7"/>
    </row>
    <row r="731" spans="3:7">
      <c r="C731" s="8"/>
      <c r="D731" s="9"/>
      <c r="E731" s="9"/>
      <c r="F731" s="9"/>
      <c r="G731" s="10"/>
    </row>
    <row r="732" spans="3:7">
      <c r="C732" s="8"/>
      <c r="D732" s="9"/>
      <c r="E732" s="9"/>
      <c r="F732" s="9"/>
      <c r="G732" s="9"/>
    </row>
    <row r="733" spans="3:7">
      <c r="C733" s="8"/>
      <c r="D733" s="9"/>
      <c r="E733" s="9"/>
      <c r="F733" s="9"/>
      <c r="G733" s="9"/>
    </row>
    <row r="734" spans="3:7">
      <c r="C734" s="8"/>
      <c r="D734" s="9"/>
      <c r="E734" s="9"/>
      <c r="F734" s="9"/>
      <c r="G734" s="9"/>
    </row>
    <row r="735" spans="3:7">
      <c r="C735" s="8"/>
      <c r="D735" s="9"/>
      <c r="E735" s="9"/>
      <c r="F735" s="9"/>
      <c r="G735" s="9"/>
    </row>
    <row r="736" spans="3:7">
      <c r="C736" s="8"/>
      <c r="D736" s="9"/>
      <c r="E736" s="9"/>
      <c r="F736" s="9"/>
      <c r="G736" s="9"/>
    </row>
    <row r="737" spans="3:7">
      <c r="C737" s="8"/>
      <c r="D737" s="9"/>
      <c r="E737" s="9"/>
      <c r="F737" s="9"/>
      <c r="G737" s="9"/>
    </row>
    <row r="738" spans="3:7">
      <c r="C738" s="8"/>
      <c r="D738" s="9"/>
      <c r="E738" s="9"/>
      <c r="F738" s="9"/>
      <c r="G738" s="9"/>
    </row>
    <row r="739" spans="3:7">
      <c r="C739" s="8"/>
      <c r="D739" s="9"/>
      <c r="E739" s="9"/>
      <c r="F739" s="9"/>
      <c r="G739" s="10"/>
    </row>
    <row r="740" spans="3:7">
      <c r="C740" s="8"/>
      <c r="D740" s="9"/>
      <c r="E740" s="9"/>
      <c r="F740" s="9"/>
      <c r="G740" s="9"/>
    </row>
    <row r="741" spans="3:7">
      <c r="C741" s="8"/>
      <c r="D741" s="9"/>
      <c r="E741" s="9"/>
      <c r="F741" s="9"/>
      <c r="G741" s="9"/>
    </row>
    <row r="742" spans="3:7">
      <c r="C742" s="8"/>
      <c r="D742" s="9"/>
      <c r="E742" s="9"/>
      <c r="F742" s="9"/>
      <c r="G742" s="9"/>
    </row>
    <row r="743" spans="3:7">
      <c r="C743" s="8"/>
      <c r="D743" s="9"/>
      <c r="E743" s="9"/>
      <c r="F743" s="9"/>
      <c r="G743" s="9"/>
    </row>
    <row r="744" spans="3:7">
      <c r="C744" s="8"/>
      <c r="D744" s="9"/>
      <c r="E744" s="9"/>
      <c r="F744" s="9"/>
      <c r="G744" s="10"/>
    </row>
    <row r="745" spans="3:7">
      <c r="C745" s="8"/>
      <c r="D745" s="9"/>
      <c r="E745" s="9"/>
      <c r="F745" s="9"/>
      <c r="G745" s="9"/>
    </row>
    <row r="746" spans="3:7">
      <c r="C746" s="8"/>
      <c r="D746" s="9"/>
      <c r="E746" s="9"/>
      <c r="F746" s="9"/>
      <c r="G746" s="9"/>
    </row>
    <row r="747" spans="3:7">
      <c r="C747" s="8"/>
      <c r="D747" s="9"/>
      <c r="E747" s="9"/>
      <c r="F747" s="9"/>
      <c r="G747" s="9"/>
    </row>
    <row r="748" spans="3:7">
      <c r="C748" s="8"/>
      <c r="D748" s="9"/>
      <c r="E748" s="9"/>
      <c r="F748" s="9"/>
      <c r="G748" s="9"/>
    </row>
    <row r="749" spans="3:7">
      <c r="C749" s="8"/>
      <c r="D749" s="9"/>
      <c r="E749" s="9"/>
      <c r="F749" s="9"/>
      <c r="G749" s="9"/>
    </row>
    <row r="750" spans="3:7">
      <c r="C750" s="8"/>
      <c r="D750" s="9"/>
      <c r="E750" s="9"/>
      <c r="F750" s="9"/>
      <c r="G750" s="9"/>
    </row>
    <row r="751" spans="3:7">
      <c r="C751" s="8"/>
      <c r="D751" s="9"/>
      <c r="E751" s="9"/>
      <c r="F751" s="9"/>
      <c r="G751" s="9"/>
    </row>
    <row r="752" spans="3:7">
      <c r="C752" s="8"/>
      <c r="D752" s="9"/>
      <c r="E752" s="9"/>
      <c r="F752" s="9"/>
      <c r="G752" s="10"/>
    </row>
    <row r="753" spans="3:7">
      <c r="C753" s="8"/>
      <c r="D753" s="9"/>
      <c r="E753" s="9"/>
      <c r="F753" s="9"/>
      <c r="G753" s="10"/>
    </row>
    <row r="754" spans="3:7">
      <c r="C754" s="8"/>
      <c r="D754" s="9"/>
      <c r="E754" s="9"/>
      <c r="F754" s="9"/>
      <c r="G754" s="9"/>
    </row>
    <row r="755" spans="3:7">
      <c r="C755" s="8"/>
      <c r="D755" s="9"/>
      <c r="E755" s="9"/>
      <c r="F755" s="9"/>
      <c r="G755" s="10"/>
    </row>
    <row r="756" spans="3:7">
      <c r="C756" s="8"/>
      <c r="D756" s="9"/>
      <c r="E756" s="9"/>
      <c r="F756" s="9"/>
      <c r="G756" s="9"/>
    </row>
    <row r="757" spans="3:7">
      <c r="C757" s="8"/>
      <c r="D757" s="9"/>
      <c r="E757" s="9"/>
      <c r="F757" s="9"/>
      <c r="G757" s="9"/>
    </row>
    <row r="758" spans="3:7">
      <c r="C758" s="8"/>
      <c r="D758" s="9"/>
      <c r="E758" s="9"/>
      <c r="F758" s="9"/>
      <c r="G758" s="9"/>
    </row>
    <row r="759" spans="3:7">
      <c r="C759" s="8"/>
      <c r="D759" s="9"/>
      <c r="E759" s="9"/>
      <c r="F759" s="9"/>
      <c r="G759" s="9"/>
    </row>
    <row r="760" spans="3:7">
      <c r="C760" s="8"/>
      <c r="D760" s="9"/>
      <c r="E760" s="9"/>
      <c r="F760" s="9"/>
      <c r="G760" s="9"/>
    </row>
    <row r="761" spans="3:7">
      <c r="C761" s="8"/>
      <c r="D761" s="9"/>
      <c r="E761" s="9"/>
      <c r="F761" s="9"/>
      <c r="G761" s="9"/>
    </row>
    <row r="762" spans="3:7">
      <c r="C762" s="8"/>
      <c r="D762" s="9"/>
      <c r="E762" s="9"/>
      <c r="F762" s="9"/>
      <c r="G762" s="9"/>
    </row>
    <row r="763" spans="3:7">
      <c r="C763" s="8"/>
      <c r="D763" s="9"/>
      <c r="E763" s="9"/>
      <c r="F763" s="9"/>
      <c r="G763" s="9"/>
    </row>
    <row r="764" spans="3:7">
      <c r="C764" s="8"/>
      <c r="D764" s="9"/>
      <c r="E764" s="9"/>
      <c r="F764" s="9"/>
      <c r="G764" s="9"/>
    </row>
    <row r="765" spans="3:7">
      <c r="C765" s="8"/>
      <c r="D765" s="9"/>
      <c r="E765" s="9"/>
      <c r="F765" s="9"/>
      <c r="G765" s="9"/>
    </row>
    <row r="766" spans="3:7">
      <c r="C766" s="8"/>
      <c r="D766" s="9"/>
      <c r="E766" s="9"/>
      <c r="F766" s="9"/>
      <c r="G766" s="9"/>
    </row>
    <row r="767" spans="3:7">
      <c r="C767" s="8"/>
      <c r="D767" s="9"/>
      <c r="E767" s="9"/>
      <c r="F767" s="9"/>
      <c r="G767" s="9"/>
    </row>
    <row r="768" spans="3:7">
      <c r="C768" s="8"/>
      <c r="D768" s="9"/>
      <c r="E768" s="9"/>
      <c r="F768" s="9"/>
      <c r="G768" s="9"/>
    </row>
    <row r="769" spans="3:7">
      <c r="C769" s="8"/>
      <c r="D769" s="9"/>
      <c r="E769" s="9"/>
      <c r="F769" s="9"/>
      <c r="G769" s="9"/>
    </row>
    <row r="770" spans="3:7">
      <c r="C770" s="8"/>
      <c r="D770" s="9"/>
      <c r="E770" s="9"/>
      <c r="F770" s="9"/>
      <c r="G770" s="9"/>
    </row>
    <row r="771" spans="3:7">
      <c r="C771" s="8"/>
      <c r="D771" s="9"/>
      <c r="E771" s="9"/>
      <c r="F771" s="9"/>
      <c r="G771" s="9"/>
    </row>
    <row r="772" spans="3:7">
      <c r="C772" s="8"/>
      <c r="D772" s="9"/>
      <c r="E772" s="9"/>
      <c r="F772" s="9"/>
      <c r="G772" s="9"/>
    </row>
    <row r="773" spans="3:7">
      <c r="C773" s="8"/>
      <c r="D773" s="9"/>
      <c r="E773" s="9"/>
      <c r="F773" s="9"/>
      <c r="G773" s="9"/>
    </row>
    <row r="774" spans="3:7">
      <c r="C774" s="8"/>
      <c r="D774" s="9"/>
      <c r="E774" s="9"/>
      <c r="F774" s="9"/>
      <c r="G774" s="9"/>
    </row>
    <row r="775" spans="3:7">
      <c r="C775" s="8"/>
      <c r="D775" s="9"/>
      <c r="E775" s="9"/>
      <c r="F775" s="9"/>
      <c r="G775" s="9"/>
    </row>
    <row r="776" spans="3:7">
      <c r="C776" s="8"/>
      <c r="D776" s="9"/>
      <c r="E776" s="9"/>
      <c r="F776" s="9"/>
      <c r="G776" s="9"/>
    </row>
    <row r="777" spans="3:7" ht="17.100000000000001" thickBot="1">
      <c r="C777" s="11"/>
      <c r="D777" s="12"/>
      <c r="E777" s="12"/>
      <c r="F777" s="12"/>
      <c r="G777" s="12"/>
    </row>
    <row r="778" spans="3:7">
      <c r="C778" s="9"/>
      <c r="D778" s="9"/>
      <c r="E778" s="9"/>
      <c r="F778" s="9"/>
      <c r="G778" s="10"/>
    </row>
    <row r="779" spans="3:7">
      <c r="C779" s="9"/>
      <c r="D779" s="9"/>
      <c r="E779" s="9"/>
      <c r="F779" s="9"/>
      <c r="G779" s="10"/>
    </row>
    <row r="780" spans="3:7">
      <c r="C780" s="9"/>
      <c r="D780" s="9"/>
      <c r="E780" s="9"/>
      <c r="F780" s="9"/>
      <c r="G780" s="9"/>
    </row>
    <row r="781" spans="3:7">
      <c r="C781" s="9"/>
      <c r="D781" s="9"/>
      <c r="E781" s="9"/>
      <c r="F781" s="9"/>
      <c r="G781" s="9"/>
    </row>
    <row r="782" spans="3:7">
      <c r="C782" s="9"/>
      <c r="D782" s="9"/>
      <c r="E782" s="9"/>
      <c r="F782" s="9"/>
      <c r="G782" s="9"/>
    </row>
    <row r="783" spans="3:7">
      <c r="C783" s="9"/>
      <c r="D783" s="9"/>
      <c r="E783" s="9"/>
      <c r="F783" s="9"/>
      <c r="G783" s="9"/>
    </row>
    <row r="784" spans="3:7">
      <c r="C784" s="9"/>
      <c r="D784" s="9"/>
      <c r="E784" s="9"/>
      <c r="F784" s="9"/>
      <c r="G784" s="9"/>
    </row>
    <row r="785" spans="3:7">
      <c r="C785" s="9"/>
      <c r="D785" s="9"/>
      <c r="E785" s="9"/>
      <c r="F785" s="9"/>
      <c r="G785" s="9"/>
    </row>
    <row r="786" spans="3:7">
      <c r="C786" s="9"/>
      <c r="D786" s="9"/>
      <c r="E786" s="9"/>
      <c r="F786" s="9"/>
      <c r="G786" s="9"/>
    </row>
    <row r="787" spans="3:7">
      <c r="C787" s="9"/>
      <c r="D787" s="9"/>
      <c r="E787" s="9"/>
      <c r="F787" s="9"/>
      <c r="G787" s="9"/>
    </row>
    <row r="788" spans="3:7">
      <c r="C788" s="9"/>
      <c r="D788" s="9"/>
      <c r="E788" s="9"/>
      <c r="F788" s="9"/>
      <c r="G788" s="9"/>
    </row>
    <row r="789" spans="3:7">
      <c r="C789" s="9"/>
      <c r="D789" s="9"/>
      <c r="E789" s="9"/>
      <c r="F789" s="9"/>
      <c r="G789" s="10"/>
    </row>
    <row r="790" spans="3:7">
      <c r="C790" s="9"/>
      <c r="D790" s="9"/>
      <c r="E790" s="9"/>
      <c r="F790" s="9"/>
      <c r="G790" s="9"/>
    </row>
    <row r="791" spans="3:7">
      <c r="C791" s="9"/>
      <c r="D791" s="9"/>
      <c r="E791" s="9"/>
      <c r="F791" s="9"/>
      <c r="G791" s="9"/>
    </row>
    <row r="792" spans="3:7">
      <c r="C792" s="9"/>
      <c r="D792" s="9"/>
      <c r="E792" s="9"/>
      <c r="F792" s="9"/>
      <c r="G792" s="9"/>
    </row>
    <row r="793" spans="3:7">
      <c r="C793" s="9"/>
      <c r="D793" s="9"/>
      <c r="E793" s="9"/>
      <c r="F793" s="9"/>
      <c r="G793" s="9"/>
    </row>
    <row r="794" spans="3:7">
      <c r="C794" s="9"/>
      <c r="D794" s="9"/>
      <c r="E794" s="9"/>
      <c r="F794" s="9"/>
      <c r="G794" s="13"/>
    </row>
    <row r="795" spans="3:7">
      <c r="C795" s="9"/>
      <c r="D795" s="9"/>
      <c r="E795" s="9"/>
      <c r="F795" s="9"/>
      <c r="G795" s="13"/>
    </row>
    <row r="796" spans="3:7">
      <c r="C796" s="9"/>
      <c r="D796" s="9"/>
      <c r="E796" s="9"/>
      <c r="F796" s="9"/>
      <c r="G796" s="9"/>
    </row>
    <row r="797" spans="3:7">
      <c r="C797" s="9"/>
      <c r="D797" s="9"/>
      <c r="E797" s="9"/>
      <c r="F797" s="9"/>
      <c r="G797" s="9"/>
    </row>
    <row r="798" spans="3:7">
      <c r="C798" s="9"/>
      <c r="D798" s="9"/>
      <c r="E798" s="9"/>
      <c r="F798" s="9"/>
      <c r="G798" s="9"/>
    </row>
    <row r="799" spans="3:7">
      <c r="C799" s="9"/>
      <c r="D799" s="9"/>
      <c r="E799" s="9"/>
      <c r="F799" s="9"/>
      <c r="G799" s="9"/>
    </row>
    <row r="800" spans="3:7">
      <c r="C800" s="9"/>
      <c r="D800" s="9"/>
      <c r="E800" s="9"/>
      <c r="F800" s="9"/>
      <c r="G800" s="9"/>
    </row>
    <row r="801" spans="3:7">
      <c r="C801" s="9"/>
      <c r="D801" s="9"/>
      <c r="E801" s="9"/>
      <c r="F801" s="9"/>
      <c r="G801" s="9"/>
    </row>
    <row r="802" spans="3:7">
      <c r="C802" s="9"/>
      <c r="D802" s="9"/>
      <c r="E802" s="9"/>
      <c r="F802" s="9"/>
      <c r="G802" s="10"/>
    </row>
    <row r="803" spans="3:7">
      <c r="C803" s="9"/>
      <c r="D803" s="9"/>
      <c r="E803" s="9"/>
      <c r="F803" s="9"/>
      <c r="G803" s="9"/>
    </row>
    <row r="804" spans="3:7">
      <c r="C804" s="9"/>
      <c r="D804" s="9"/>
      <c r="E804" s="9"/>
      <c r="F804" s="9"/>
      <c r="G804" s="9"/>
    </row>
    <row r="805" spans="3:7">
      <c r="C805" s="9"/>
      <c r="D805" s="9"/>
      <c r="E805" s="9"/>
      <c r="F805" s="9"/>
      <c r="G805" s="9"/>
    </row>
    <row r="806" spans="3:7">
      <c r="C806" s="9"/>
      <c r="D806" s="9"/>
      <c r="E806" s="9"/>
      <c r="F806" s="9"/>
      <c r="G806" s="9"/>
    </row>
    <row r="807" spans="3:7">
      <c r="C807" s="9"/>
      <c r="D807" s="9"/>
      <c r="E807" s="9"/>
      <c r="F807" s="9"/>
      <c r="G807" s="9"/>
    </row>
    <row r="808" spans="3:7">
      <c r="C808" s="9"/>
      <c r="D808" s="9"/>
      <c r="E808" s="9"/>
      <c r="F808" s="9"/>
      <c r="G808" s="9"/>
    </row>
    <row r="809" spans="3:7">
      <c r="C809" s="9"/>
      <c r="D809" s="9"/>
      <c r="E809" s="9"/>
      <c r="F809" s="9"/>
      <c r="G809" s="9"/>
    </row>
    <row r="810" spans="3:7">
      <c r="C810" s="9"/>
      <c r="D810" s="9"/>
      <c r="E810" s="9"/>
      <c r="F810" s="9"/>
      <c r="G810" s="9"/>
    </row>
    <row r="811" spans="3:7">
      <c r="C811" s="9"/>
      <c r="D811" s="9"/>
      <c r="E811" s="9"/>
      <c r="F811" s="9"/>
      <c r="G811" s="9"/>
    </row>
    <row r="812" spans="3:7">
      <c r="C812" s="9"/>
      <c r="D812" s="9"/>
      <c r="E812" s="9"/>
      <c r="F812" s="9"/>
      <c r="G812" s="9"/>
    </row>
    <row r="813" spans="3:7">
      <c r="C813" s="9"/>
      <c r="D813" s="9"/>
      <c r="E813" s="9"/>
      <c r="F813" s="9"/>
      <c r="G813" s="9"/>
    </row>
    <row r="814" spans="3:7">
      <c r="C814" s="9"/>
      <c r="D814" s="9"/>
      <c r="E814" s="9"/>
      <c r="F814" s="9"/>
      <c r="G814" s="9"/>
    </row>
    <row r="815" spans="3:7">
      <c r="C815" s="9"/>
      <c r="D815" s="9"/>
      <c r="E815" s="9"/>
      <c r="F815" s="9"/>
      <c r="G815" s="9"/>
    </row>
    <row r="816" spans="3:7">
      <c r="C816" s="9"/>
      <c r="D816" s="9"/>
      <c r="E816" s="9"/>
      <c r="F816" s="9"/>
      <c r="G816" s="9"/>
    </row>
    <row r="817" spans="3:7">
      <c r="C817" s="9"/>
      <c r="D817" s="9"/>
      <c r="E817" s="9"/>
      <c r="F817" s="9"/>
      <c r="G817" s="9"/>
    </row>
    <row r="818" spans="3:7">
      <c r="C818" s="9"/>
      <c r="D818" s="9"/>
      <c r="E818" s="9"/>
      <c r="F818" s="9"/>
      <c r="G818" s="9"/>
    </row>
    <row r="819" spans="3:7">
      <c r="C819" s="9"/>
      <c r="D819" s="9"/>
      <c r="E819" s="9"/>
      <c r="F819" s="9"/>
      <c r="G819" s="9"/>
    </row>
    <row r="820" spans="3:7">
      <c r="C820" s="9"/>
      <c r="D820" s="9"/>
      <c r="E820" s="9"/>
      <c r="F820" s="9"/>
      <c r="G820" s="9"/>
    </row>
    <row r="821" spans="3:7">
      <c r="C821" s="9"/>
      <c r="D821" s="9"/>
      <c r="E821" s="9"/>
      <c r="F821" s="9"/>
      <c r="G821" s="9"/>
    </row>
    <row r="822" spans="3:7">
      <c r="C822" s="9"/>
      <c r="D822" s="9"/>
      <c r="E822" s="9"/>
      <c r="F822" s="9"/>
      <c r="G822" s="9"/>
    </row>
    <row r="823" spans="3:7">
      <c r="C823" s="9"/>
      <c r="D823" s="9"/>
      <c r="E823" s="9"/>
      <c r="F823" s="9"/>
      <c r="G823" s="9"/>
    </row>
    <row r="824" spans="3:7">
      <c r="C824" s="9"/>
      <c r="D824" s="9"/>
      <c r="E824" s="9"/>
      <c r="F824" s="9"/>
      <c r="G824" s="9"/>
    </row>
    <row r="825" spans="3:7">
      <c r="C825" s="9"/>
      <c r="D825" s="9"/>
      <c r="E825" s="9"/>
      <c r="F825" s="9"/>
      <c r="G825" s="9"/>
    </row>
    <row r="826" spans="3:7">
      <c r="C826" s="9"/>
      <c r="D826" s="9"/>
      <c r="E826" s="9"/>
      <c r="F826" s="9"/>
      <c r="G826" s="9"/>
    </row>
    <row r="827" spans="3:7">
      <c r="C827" s="9"/>
      <c r="D827" s="9"/>
      <c r="E827" s="9"/>
      <c r="F827" s="9"/>
      <c r="G827" s="10"/>
    </row>
    <row r="828" spans="3:7">
      <c r="C828" s="9"/>
      <c r="D828" s="9"/>
      <c r="E828" s="9"/>
      <c r="F828" s="9"/>
      <c r="G828" s="9"/>
    </row>
    <row r="829" spans="3:7">
      <c r="C829" s="9"/>
      <c r="D829" s="9"/>
      <c r="E829" s="9"/>
      <c r="F829" s="9"/>
      <c r="G829" s="10"/>
    </row>
    <row r="830" spans="3:7">
      <c r="C830" s="9"/>
      <c r="D830" s="9"/>
      <c r="E830" s="9"/>
      <c r="F830" s="9"/>
      <c r="G830" s="9"/>
    </row>
    <row r="831" spans="3:7">
      <c r="C831" s="9"/>
      <c r="D831" s="9"/>
      <c r="E831" s="9"/>
      <c r="F831" s="9"/>
      <c r="G831" s="9"/>
    </row>
    <row r="832" spans="3:7">
      <c r="C832" s="9"/>
      <c r="D832" s="9"/>
      <c r="E832" s="9"/>
      <c r="F832" s="9"/>
      <c r="G832" s="9"/>
    </row>
    <row r="833" spans="3:7">
      <c r="C833" s="9"/>
      <c r="D833" s="9"/>
      <c r="E833" s="9"/>
      <c r="F833" s="9"/>
      <c r="G833" s="9"/>
    </row>
    <row r="834" spans="3:7">
      <c r="C834" s="9"/>
      <c r="D834" s="9"/>
      <c r="E834" s="9"/>
      <c r="F834" s="9"/>
      <c r="G834" s="9"/>
    </row>
    <row r="835" spans="3:7">
      <c r="C835" s="9"/>
      <c r="D835" s="9"/>
      <c r="E835" s="9"/>
      <c r="F835" s="9"/>
      <c r="G835" s="9"/>
    </row>
    <row r="836" spans="3:7">
      <c r="C836" s="9"/>
      <c r="D836" s="9"/>
      <c r="E836" s="9"/>
      <c r="F836" s="10"/>
      <c r="G836" s="9"/>
    </row>
    <row r="837" spans="3:7">
      <c r="C837" s="9"/>
      <c r="D837" s="9"/>
      <c r="E837" s="9"/>
      <c r="F837" s="9"/>
      <c r="G837" s="9"/>
    </row>
    <row r="838" spans="3:7">
      <c r="C838" s="9"/>
      <c r="D838" s="9"/>
      <c r="E838" s="9"/>
      <c r="F838" s="9"/>
      <c r="G838" s="9"/>
    </row>
    <row r="839" spans="3:7">
      <c r="C839" s="9"/>
      <c r="D839" s="9"/>
      <c r="E839" s="9"/>
      <c r="F839" s="9"/>
      <c r="G839" s="9"/>
    </row>
    <row r="840" spans="3:7">
      <c r="C840" s="9"/>
      <c r="D840" s="9"/>
      <c r="E840" s="9"/>
      <c r="F840" s="9"/>
      <c r="G840" s="9"/>
    </row>
    <row r="841" spans="3:7">
      <c r="C841" s="9"/>
      <c r="D841" s="9"/>
      <c r="E841" s="9"/>
      <c r="F841" s="9"/>
      <c r="G841" s="9"/>
    </row>
    <row r="842" spans="3:7">
      <c r="C842" s="9"/>
      <c r="D842" s="9"/>
      <c r="E842" s="9"/>
      <c r="F842" s="9"/>
      <c r="G842" s="9"/>
    </row>
    <row r="843" spans="3:7">
      <c r="C843" s="9"/>
      <c r="D843" s="9"/>
      <c r="E843" s="9"/>
      <c r="F843" s="9"/>
      <c r="G843" s="9"/>
    </row>
    <row r="844" spans="3:7">
      <c r="C844" s="9"/>
      <c r="D844" s="9"/>
      <c r="E844" s="9"/>
      <c r="F844" s="9"/>
      <c r="G844" s="9"/>
    </row>
    <row r="845" spans="3:7">
      <c r="C845" s="9"/>
      <c r="D845" s="9"/>
      <c r="E845" s="9"/>
      <c r="F845" s="9"/>
      <c r="G845" s="10"/>
    </row>
    <row r="846" spans="3:7">
      <c r="C846" s="9"/>
      <c r="D846" s="9"/>
      <c r="E846" s="9"/>
      <c r="F846" s="9"/>
      <c r="G846" s="9"/>
    </row>
    <row r="847" spans="3:7">
      <c r="C847" s="9"/>
      <c r="D847" s="9"/>
      <c r="E847" s="9"/>
      <c r="F847" s="9"/>
      <c r="G847" s="9"/>
    </row>
    <row r="848" spans="3:7">
      <c r="C848" s="9"/>
      <c r="D848" s="9"/>
      <c r="E848" s="9"/>
      <c r="F848" s="9"/>
      <c r="G848" s="9"/>
    </row>
    <row r="849" spans="3:7">
      <c r="C849" s="9"/>
      <c r="D849" s="9"/>
      <c r="E849" s="9"/>
      <c r="F849" s="9"/>
      <c r="G849" s="9"/>
    </row>
    <row r="850" spans="3:7">
      <c r="C850" s="9"/>
      <c r="D850" s="9"/>
      <c r="E850" s="9"/>
      <c r="F850" s="9"/>
      <c r="G850" s="9"/>
    </row>
    <row r="851" spans="3:7">
      <c r="C851" s="9"/>
      <c r="D851" s="9"/>
      <c r="E851" s="9"/>
      <c r="F851" s="9"/>
      <c r="G851" s="9"/>
    </row>
    <row r="852" spans="3:7">
      <c r="C852" s="9"/>
      <c r="D852" s="9"/>
      <c r="E852" s="9"/>
      <c r="F852" s="9"/>
      <c r="G852" s="9"/>
    </row>
    <row r="853" spans="3:7">
      <c r="C853" s="9"/>
      <c r="D853" s="9"/>
      <c r="E853" s="9"/>
      <c r="F853" s="9"/>
      <c r="G853" s="9"/>
    </row>
    <row r="854" spans="3:7">
      <c r="C854" s="9"/>
      <c r="D854" s="9"/>
      <c r="E854" s="9"/>
      <c r="F854" s="9"/>
      <c r="G854" s="9"/>
    </row>
    <row r="855" spans="3:7">
      <c r="C855" s="9"/>
      <c r="D855" s="9"/>
      <c r="E855" s="9"/>
      <c r="F855" s="9"/>
      <c r="G855" s="9"/>
    </row>
    <row r="856" spans="3:7">
      <c r="C856" s="9"/>
      <c r="D856" s="9"/>
      <c r="E856" s="9"/>
      <c r="F856" s="9"/>
      <c r="G856" s="9"/>
    </row>
    <row r="857" spans="3:7">
      <c r="C857" s="9"/>
      <c r="D857" s="9"/>
      <c r="E857" s="9"/>
      <c r="F857" s="9"/>
      <c r="G857" s="9"/>
    </row>
    <row r="858" spans="3:7">
      <c r="C858" s="9"/>
      <c r="D858" s="9"/>
      <c r="E858" s="9"/>
      <c r="F858" s="9"/>
      <c r="G858" s="9"/>
    </row>
    <row r="859" spans="3:7">
      <c r="C859" s="9"/>
      <c r="D859" s="9"/>
      <c r="E859" s="9"/>
      <c r="F859" s="9"/>
      <c r="G859" s="9"/>
    </row>
    <row r="860" spans="3:7">
      <c r="C860" s="9"/>
      <c r="D860" s="9"/>
      <c r="E860" s="9"/>
      <c r="F860" s="9"/>
      <c r="G860" s="9"/>
    </row>
    <row r="861" spans="3:7">
      <c r="C861" s="9"/>
      <c r="D861" s="9"/>
      <c r="E861" s="9"/>
      <c r="F861" s="9"/>
      <c r="G861" s="9"/>
    </row>
    <row r="862" spans="3:7">
      <c r="C862" s="9"/>
      <c r="D862" s="9"/>
      <c r="E862" s="9"/>
      <c r="F862" s="9"/>
      <c r="G862" s="9"/>
    </row>
    <row r="863" spans="3:7">
      <c r="C863" s="9"/>
      <c r="D863" s="9"/>
      <c r="E863" s="9"/>
      <c r="F863" s="9"/>
      <c r="G863" s="9"/>
    </row>
    <row r="864" spans="3:7">
      <c r="C864" s="9"/>
      <c r="D864" s="9"/>
      <c r="E864" s="9"/>
      <c r="F864" s="9"/>
      <c r="G864" s="9"/>
    </row>
    <row r="865" spans="3:7">
      <c r="C865" s="9"/>
      <c r="D865" s="9"/>
      <c r="E865" s="9"/>
      <c r="F865" s="9"/>
      <c r="G865" s="9"/>
    </row>
    <row r="866" spans="3:7">
      <c r="C866" s="9"/>
      <c r="D866" s="9"/>
      <c r="E866" s="9"/>
      <c r="F866" s="9"/>
      <c r="G866" s="9"/>
    </row>
    <row r="867" spans="3:7">
      <c r="C867" s="9"/>
      <c r="D867" s="9"/>
      <c r="E867" s="9"/>
      <c r="F867" s="9"/>
      <c r="G867" s="9"/>
    </row>
    <row r="868" spans="3:7">
      <c r="C868" s="9"/>
      <c r="D868" s="9"/>
      <c r="E868" s="9"/>
      <c r="F868" s="9"/>
      <c r="G868" s="9"/>
    </row>
    <row r="869" spans="3:7">
      <c r="C869" s="9"/>
      <c r="D869" s="9"/>
      <c r="E869" s="9"/>
      <c r="F869" s="9"/>
      <c r="G869" s="9"/>
    </row>
    <row r="870" spans="3:7">
      <c r="C870" s="9"/>
      <c r="D870" s="9"/>
      <c r="E870" s="9"/>
      <c r="F870" s="9"/>
      <c r="G870" s="9"/>
    </row>
    <row r="871" spans="3:7">
      <c r="C871" s="9"/>
      <c r="D871" s="9"/>
      <c r="E871" s="9"/>
      <c r="F871" s="9"/>
      <c r="G871" s="9"/>
    </row>
    <row r="872" spans="3:7">
      <c r="C872" s="9"/>
      <c r="D872" s="9"/>
      <c r="E872" s="9"/>
      <c r="F872" s="9"/>
      <c r="G872" s="9"/>
    </row>
    <row r="873" spans="3:7">
      <c r="C873" s="9"/>
      <c r="D873" s="9"/>
      <c r="E873" s="9"/>
      <c r="F873" s="9"/>
      <c r="G873" s="9"/>
    </row>
    <row r="874" spans="3:7">
      <c r="C874" s="9"/>
      <c r="D874" s="9"/>
      <c r="E874" s="9"/>
      <c r="F874" s="9"/>
      <c r="G874" s="9"/>
    </row>
    <row r="875" spans="3:7">
      <c r="C875" s="9"/>
      <c r="D875" s="9"/>
      <c r="E875" s="9"/>
      <c r="F875" s="9"/>
      <c r="G875" s="9"/>
    </row>
    <row r="876" spans="3:7">
      <c r="C876" s="9"/>
      <c r="D876" s="9"/>
      <c r="E876" s="9"/>
      <c r="F876" s="9"/>
      <c r="G876" s="9"/>
    </row>
    <row r="877" spans="3:7">
      <c r="C877" s="9"/>
      <c r="D877" s="9"/>
      <c r="E877" s="9"/>
      <c r="F877" s="9"/>
      <c r="G877" s="9"/>
    </row>
    <row r="878" spans="3:7">
      <c r="C878" s="9"/>
      <c r="D878" s="9"/>
      <c r="E878" s="9"/>
      <c r="F878" s="9"/>
      <c r="G878" s="9"/>
    </row>
    <row r="879" spans="3:7">
      <c r="C879" s="9"/>
      <c r="D879" s="9"/>
      <c r="E879" s="9"/>
      <c r="F879" s="9"/>
      <c r="G879" s="9"/>
    </row>
    <row r="880" spans="3:7">
      <c r="C880" s="9"/>
      <c r="D880" s="9"/>
      <c r="E880" s="9"/>
      <c r="F880" s="9"/>
      <c r="G880" s="9"/>
    </row>
    <row r="881" spans="3:7">
      <c r="C881" s="9"/>
      <c r="D881" s="9"/>
      <c r="E881" s="9"/>
      <c r="F881" s="9"/>
      <c r="G881" s="9"/>
    </row>
    <row r="882" spans="3:7">
      <c r="C882" s="9"/>
      <c r="D882" s="9"/>
      <c r="E882" s="9"/>
      <c r="F882" s="9"/>
      <c r="G882" s="9"/>
    </row>
    <row r="883" spans="3:7">
      <c r="C883" s="9"/>
      <c r="D883" s="9"/>
      <c r="E883" s="9"/>
      <c r="F883" s="9"/>
      <c r="G883" s="9"/>
    </row>
    <row r="884" spans="3:7">
      <c r="C884" s="9"/>
      <c r="D884" s="9"/>
      <c r="E884" s="9"/>
      <c r="F884" s="9"/>
      <c r="G884" s="9"/>
    </row>
    <row r="885" spans="3:7">
      <c r="C885" s="9"/>
      <c r="D885" s="9"/>
      <c r="E885" s="9"/>
      <c r="F885" s="9"/>
      <c r="G885" s="9"/>
    </row>
    <row r="886" spans="3:7">
      <c r="C886" s="9"/>
      <c r="D886" s="9"/>
      <c r="E886" s="9"/>
      <c r="F886" s="9"/>
      <c r="G886" s="9"/>
    </row>
    <row r="887" spans="3:7">
      <c r="C887" s="9"/>
      <c r="D887" s="9"/>
      <c r="E887" s="9"/>
      <c r="F887" s="9"/>
      <c r="G887" s="9"/>
    </row>
    <row r="888" spans="3:7">
      <c r="C888" s="9"/>
      <c r="D888" s="9"/>
      <c r="E888" s="9"/>
      <c r="F888" s="9"/>
      <c r="G888" s="9"/>
    </row>
    <row r="889" spans="3:7">
      <c r="C889" s="9"/>
      <c r="D889" s="9"/>
      <c r="E889" s="9"/>
      <c r="F889" s="9"/>
      <c r="G889" s="9"/>
    </row>
    <row r="890" spans="3:7">
      <c r="C890" s="9"/>
      <c r="D890" s="9"/>
      <c r="E890" s="9"/>
      <c r="F890" s="9"/>
      <c r="G890" s="9"/>
    </row>
    <row r="891" spans="3:7">
      <c r="C891" s="9"/>
      <c r="D891" s="9"/>
      <c r="E891" s="9"/>
      <c r="F891" s="9"/>
      <c r="G891" s="9"/>
    </row>
    <row r="892" spans="3:7">
      <c r="C892" s="9"/>
      <c r="D892" s="9"/>
      <c r="E892" s="9"/>
      <c r="F892" s="9"/>
      <c r="G892" s="9"/>
    </row>
    <row r="893" spans="3:7">
      <c r="C893" s="9"/>
      <c r="D893" s="9"/>
      <c r="E893" s="9"/>
      <c r="F893" s="9"/>
      <c r="G893" s="9"/>
    </row>
    <row r="894" spans="3:7">
      <c r="C894" s="9"/>
      <c r="D894" s="9"/>
      <c r="E894" s="9"/>
      <c r="F894" s="9"/>
      <c r="G894" s="9"/>
    </row>
    <row r="895" spans="3:7">
      <c r="C895" s="9"/>
      <c r="D895" s="9"/>
      <c r="E895" s="9"/>
      <c r="F895" s="9"/>
      <c r="G895" s="9"/>
    </row>
    <row r="896" spans="3:7">
      <c r="C896" s="9"/>
      <c r="D896" s="9"/>
      <c r="E896" s="9"/>
      <c r="F896" s="9"/>
      <c r="G896" s="9"/>
    </row>
    <row r="897" spans="3:7">
      <c r="C897" s="9"/>
      <c r="D897" s="9"/>
      <c r="E897" s="9"/>
      <c r="F897" s="9"/>
      <c r="G897" s="9"/>
    </row>
    <row r="898" spans="3:7">
      <c r="C898" s="9"/>
      <c r="D898" s="9"/>
      <c r="E898" s="9"/>
      <c r="F898" s="9"/>
      <c r="G898" s="9"/>
    </row>
    <row r="899" spans="3:7">
      <c r="C899" s="9"/>
      <c r="D899" s="9"/>
      <c r="E899" s="9"/>
      <c r="F899" s="9"/>
      <c r="G899" s="9"/>
    </row>
    <row r="900" spans="3:7">
      <c r="C900" s="9"/>
      <c r="D900" s="9"/>
      <c r="E900" s="9"/>
      <c r="F900" s="9"/>
      <c r="G900" s="9"/>
    </row>
    <row r="901" spans="3:7">
      <c r="C901" s="9"/>
      <c r="D901" s="9"/>
      <c r="E901" s="9"/>
      <c r="F901" s="9"/>
      <c r="G901" s="9"/>
    </row>
    <row r="902" spans="3:7">
      <c r="C902" s="9"/>
      <c r="D902" s="9"/>
      <c r="E902" s="9"/>
      <c r="F902" s="9"/>
      <c r="G902" s="9"/>
    </row>
    <row r="903" spans="3:7">
      <c r="C903" s="9"/>
      <c r="D903" s="9"/>
      <c r="E903" s="9"/>
      <c r="F903" s="9"/>
      <c r="G903" s="9"/>
    </row>
    <row r="904" spans="3:7">
      <c r="C904" s="9"/>
      <c r="D904" s="9"/>
      <c r="E904" s="9"/>
      <c r="F904" s="9"/>
      <c r="G904" s="9"/>
    </row>
    <row r="905" spans="3:7">
      <c r="C905" s="9"/>
      <c r="D905" s="9"/>
      <c r="E905" s="9"/>
      <c r="F905" s="9"/>
      <c r="G905" s="9"/>
    </row>
    <row r="906" spans="3:7">
      <c r="C906" s="9"/>
      <c r="D906" s="9"/>
      <c r="E906" s="9"/>
      <c r="F906" s="9"/>
      <c r="G906" s="9"/>
    </row>
    <row r="907" spans="3:7">
      <c r="C907" s="9"/>
      <c r="D907" s="9"/>
      <c r="E907" s="9"/>
      <c r="F907" s="9"/>
      <c r="G907" s="9"/>
    </row>
    <row r="908" spans="3:7">
      <c r="C908" s="9"/>
      <c r="D908" s="9"/>
      <c r="E908" s="9"/>
      <c r="F908" s="9"/>
      <c r="G908" s="9"/>
    </row>
    <row r="909" spans="3:7">
      <c r="C909" s="9"/>
      <c r="D909" s="9"/>
      <c r="E909" s="9"/>
      <c r="F909" s="9"/>
      <c r="G909" s="9"/>
    </row>
    <row r="910" spans="3:7">
      <c r="C910" s="9"/>
      <c r="D910" s="9"/>
      <c r="E910" s="9"/>
      <c r="F910" s="9"/>
      <c r="G910" s="9"/>
    </row>
    <row r="911" spans="3:7">
      <c r="C911" s="9"/>
      <c r="D911" s="9"/>
      <c r="E911" s="9"/>
      <c r="F911" s="9"/>
      <c r="G911" s="9"/>
    </row>
    <row r="912" spans="3:7">
      <c r="C912" s="9"/>
      <c r="D912" s="9"/>
      <c r="E912" s="9"/>
      <c r="F912" s="9"/>
      <c r="G912" s="9"/>
    </row>
    <row r="913" spans="3:7">
      <c r="C913" s="9"/>
      <c r="D913" s="9"/>
      <c r="E913" s="9"/>
      <c r="F913" s="9"/>
      <c r="G913" s="9"/>
    </row>
    <row r="914" spans="3:7">
      <c r="C914" s="9"/>
      <c r="D914" s="9"/>
      <c r="E914" s="9"/>
      <c r="F914" s="9"/>
      <c r="G914" s="9"/>
    </row>
    <row r="915" spans="3:7">
      <c r="C915" s="9"/>
      <c r="D915" s="9"/>
      <c r="E915" s="9"/>
      <c r="F915" s="9"/>
      <c r="G915" s="9"/>
    </row>
    <row r="916" spans="3:7">
      <c r="C916" s="9"/>
      <c r="D916" s="9"/>
      <c r="E916" s="9"/>
      <c r="F916" s="9"/>
      <c r="G916" s="9"/>
    </row>
    <row r="917" spans="3:7">
      <c r="C917" s="9"/>
      <c r="D917" s="9"/>
      <c r="E917" s="9"/>
      <c r="F917" s="9"/>
      <c r="G917" s="9"/>
    </row>
    <row r="918" spans="3:7">
      <c r="C918" s="9"/>
      <c r="D918" s="9"/>
      <c r="E918" s="9"/>
      <c r="F918" s="9"/>
      <c r="G918" s="9"/>
    </row>
    <row r="919" spans="3:7">
      <c r="C919" s="9"/>
      <c r="D919" s="9"/>
      <c r="E919" s="9"/>
      <c r="F919" s="9"/>
      <c r="G919" s="9"/>
    </row>
    <row r="920" spans="3:7">
      <c r="C920" s="9"/>
      <c r="D920" s="9"/>
      <c r="E920" s="9"/>
      <c r="F920" s="9"/>
      <c r="G920" s="9"/>
    </row>
    <row r="921" spans="3:7">
      <c r="C921" s="9"/>
      <c r="D921" s="9"/>
      <c r="E921" s="9"/>
      <c r="F921" s="9"/>
      <c r="G921" s="9"/>
    </row>
    <row r="922" spans="3:7">
      <c r="C922" s="9"/>
      <c r="D922" s="9"/>
      <c r="E922" s="9"/>
      <c r="F922" s="9"/>
      <c r="G922" s="9"/>
    </row>
    <row r="923" spans="3:7">
      <c r="C923" s="9"/>
      <c r="D923" s="9"/>
      <c r="E923" s="9"/>
      <c r="F923" s="9"/>
      <c r="G923" s="9"/>
    </row>
    <row r="924" spans="3:7">
      <c r="C924" s="9"/>
      <c r="D924" s="9"/>
      <c r="E924" s="9"/>
      <c r="F924" s="9"/>
      <c r="G924" s="9"/>
    </row>
    <row r="925" spans="3:7">
      <c r="C925" s="9"/>
      <c r="D925" s="9"/>
      <c r="E925" s="9"/>
      <c r="F925" s="9"/>
      <c r="G925" s="9"/>
    </row>
    <row r="926" spans="3:7">
      <c r="C926" s="9"/>
      <c r="D926" s="9"/>
      <c r="E926" s="9"/>
      <c r="F926" s="9"/>
      <c r="G926" s="9"/>
    </row>
    <row r="927" spans="3:7">
      <c r="C927" s="9"/>
      <c r="D927" s="9"/>
      <c r="E927" s="9"/>
      <c r="F927" s="9"/>
      <c r="G927" s="9"/>
    </row>
    <row r="928" spans="3:7">
      <c r="C928" s="9"/>
      <c r="D928" s="9"/>
      <c r="E928" s="9"/>
      <c r="F928" s="9"/>
      <c r="G928" s="9"/>
    </row>
    <row r="929" spans="3:7">
      <c r="C929" s="9"/>
      <c r="D929" s="9"/>
      <c r="E929" s="9"/>
      <c r="F929" s="9"/>
      <c r="G929" s="9"/>
    </row>
    <row r="930" spans="3:7">
      <c r="C930" s="9"/>
      <c r="D930" s="9"/>
      <c r="E930" s="9"/>
      <c r="F930" s="9"/>
      <c r="G930" s="9"/>
    </row>
    <row r="931" spans="3:7">
      <c r="C931" s="9"/>
      <c r="D931" s="9"/>
      <c r="E931" s="9"/>
      <c r="F931" s="9"/>
      <c r="G931" s="10"/>
    </row>
    <row r="932" spans="3:7">
      <c r="C932" s="9"/>
      <c r="D932" s="9"/>
      <c r="E932" s="9"/>
      <c r="F932" s="9"/>
      <c r="G932" s="9"/>
    </row>
    <row r="933" spans="3:7">
      <c r="C933" s="9"/>
      <c r="D933" s="9"/>
      <c r="E933" s="9"/>
      <c r="F933" s="9"/>
      <c r="G933" s="9"/>
    </row>
    <row r="934" spans="3:7">
      <c r="C934" s="9"/>
      <c r="D934" s="9"/>
      <c r="E934" s="9"/>
      <c r="F934" s="9"/>
      <c r="G934" s="9"/>
    </row>
    <row r="935" spans="3:7">
      <c r="C935" s="9"/>
      <c r="D935" s="9"/>
      <c r="E935" s="9"/>
      <c r="F935" s="9"/>
      <c r="G935" s="9"/>
    </row>
    <row r="936" spans="3:7">
      <c r="C936" s="9"/>
      <c r="D936" s="9"/>
      <c r="E936" s="9"/>
      <c r="F936" s="9"/>
      <c r="G936" s="9"/>
    </row>
    <row r="937" spans="3:7">
      <c r="C937" s="9"/>
      <c r="D937" s="9"/>
      <c r="E937" s="9"/>
      <c r="F937" s="9"/>
      <c r="G937" s="9"/>
    </row>
    <row r="938" spans="3:7">
      <c r="C938" s="9"/>
      <c r="D938" s="9"/>
      <c r="E938" s="9"/>
      <c r="F938" s="9"/>
      <c r="G938" s="9"/>
    </row>
    <row r="939" spans="3:7">
      <c r="C939" s="9"/>
      <c r="D939" s="9"/>
      <c r="E939" s="9"/>
      <c r="F939" s="9"/>
      <c r="G939" s="9"/>
    </row>
    <row r="940" spans="3:7">
      <c r="C940" s="9"/>
      <c r="D940" s="9"/>
      <c r="E940" s="9"/>
      <c r="F940" s="9"/>
      <c r="G940" s="9"/>
    </row>
    <row r="941" spans="3:7">
      <c r="C941" s="9"/>
      <c r="D941" s="9"/>
      <c r="E941" s="9"/>
      <c r="F941" s="9"/>
      <c r="G941" s="9"/>
    </row>
    <row r="942" spans="3:7">
      <c r="C942" s="9"/>
      <c r="D942" s="9"/>
      <c r="E942" s="9"/>
      <c r="F942" s="9"/>
      <c r="G942" s="9"/>
    </row>
    <row r="943" spans="3:7">
      <c r="C943" s="9"/>
      <c r="D943" s="9"/>
      <c r="E943" s="9"/>
      <c r="F943" s="9"/>
      <c r="G943" s="9"/>
    </row>
    <row r="944" spans="3:7">
      <c r="C944" s="9"/>
      <c r="D944" s="9"/>
      <c r="E944" s="9"/>
      <c r="F944" s="9"/>
      <c r="G944" s="9"/>
    </row>
    <row r="945" spans="3:7">
      <c r="C945" s="9"/>
      <c r="D945" s="9"/>
      <c r="E945" s="9"/>
      <c r="F945" s="9"/>
      <c r="G945" s="9"/>
    </row>
    <row r="946" spans="3:7">
      <c r="C946" s="9"/>
      <c r="D946" s="9"/>
      <c r="E946" s="9"/>
      <c r="F946" s="9"/>
      <c r="G946" s="9"/>
    </row>
    <row r="947" spans="3:7">
      <c r="C947" s="9"/>
      <c r="D947" s="9"/>
      <c r="E947" s="9"/>
      <c r="F947" s="9"/>
      <c r="G947" s="9"/>
    </row>
    <row r="948" spans="3:7">
      <c r="C948" s="9"/>
      <c r="D948" s="9"/>
      <c r="E948" s="9"/>
      <c r="F948" s="9"/>
      <c r="G948" s="9"/>
    </row>
    <row r="949" spans="3:7">
      <c r="C949" s="9"/>
      <c r="D949" s="9"/>
      <c r="E949" s="9"/>
      <c r="F949" s="9"/>
      <c r="G949" s="10"/>
    </row>
    <row r="950" spans="3:7">
      <c r="C950" s="9"/>
      <c r="D950" s="9"/>
      <c r="E950" s="9"/>
      <c r="F950" s="9"/>
      <c r="G950" s="9"/>
    </row>
    <row r="951" spans="3:7">
      <c r="C951" s="9"/>
      <c r="D951" s="9"/>
      <c r="E951" s="9"/>
      <c r="F951" s="9"/>
      <c r="G951" s="9"/>
    </row>
    <row r="952" spans="3:7">
      <c r="C952" s="9"/>
      <c r="D952" s="9"/>
      <c r="E952" s="9"/>
      <c r="F952" s="9"/>
      <c r="G952" s="9"/>
    </row>
    <row r="953" spans="3:7">
      <c r="C953" s="9"/>
      <c r="D953" s="9"/>
      <c r="E953" s="9"/>
      <c r="F953" s="9"/>
      <c r="G953" s="9"/>
    </row>
    <row r="954" spans="3:7">
      <c r="C954" s="9"/>
      <c r="D954" s="9"/>
      <c r="E954" s="9"/>
      <c r="F954" s="9"/>
      <c r="G954" s="9"/>
    </row>
    <row r="955" spans="3:7">
      <c r="C955" s="9"/>
      <c r="D955" s="9"/>
      <c r="E955" s="9"/>
      <c r="F955" s="9"/>
      <c r="G955" s="9"/>
    </row>
    <row r="956" spans="3:7">
      <c r="C956" s="9"/>
      <c r="D956" s="9"/>
      <c r="E956" s="9"/>
      <c r="F956" s="9"/>
      <c r="G956" s="9"/>
    </row>
    <row r="957" spans="3:7">
      <c r="C957" s="9"/>
      <c r="D957" s="9"/>
      <c r="E957" s="9"/>
      <c r="F957" s="9"/>
      <c r="G957" s="9"/>
    </row>
    <row r="958" spans="3:7">
      <c r="C958" s="9"/>
      <c r="D958" s="9"/>
      <c r="E958" s="9"/>
      <c r="F958" s="9"/>
      <c r="G958" s="9"/>
    </row>
    <row r="959" spans="3:7">
      <c r="C959" s="9"/>
      <c r="D959" s="9"/>
      <c r="E959" s="9"/>
      <c r="F959" s="9"/>
      <c r="G959" s="9"/>
    </row>
    <row r="960" spans="3:7">
      <c r="C960" s="9"/>
      <c r="D960" s="9"/>
      <c r="E960" s="9"/>
      <c r="F960" s="9"/>
      <c r="G960" s="10"/>
    </row>
    <row r="961" spans="3:7">
      <c r="C961" s="9"/>
      <c r="D961" s="9"/>
      <c r="E961" s="9"/>
      <c r="F961" s="9"/>
      <c r="G961" s="9"/>
    </row>
    <row r="962" spans="3:7">
      <c r="C962" s="9"/>
      <c r="D962" s="9"/>
      <c r="E962" s="9"/>
      <c r="F962" s="10"/>
      <c r="G962" s="9"/>
    </row>
    <row r="963" spans="3:7">
      <c r="C963" s="9"/>
      <c r="D963" s="9"/>
      <c r="E963" s="9"/>
      <c r="F963" s="9"/>
      <c r="G963" s="9"/>
    </row>
    <row r="964" spans="3:7">
      <c r="C964" s="9"/>
      <c r="D964" s="9"/>
      <c r="E964" s="9"/>
      <c r="F964" s="9"/>
      <c r="G964" s="9"/>
    </row>
    <row r="965" spans="3:7">
      <c r="C965" s="9"/>
      <c r="D965" s="9"/>
      <c r="E965" s="9"/>
      <c r="F965" s="9"/>
      <c r="G965" s="9"/>
    </row>
    <row r="966" spans="3:7">
      <c r="C966" s="9"/>
      <c r="D966" s="9"/>
      <c r="E966" s="9"/>
      <c r="F966" s="9"/>
      <c r="G966" s="9"/>
    </row>
    <row r="967" spans="3:7">
      <c r="C967" s="9"/>
      <c r="D967" s="9"/>
      <c r="E967" s="9"/>
      <c r="F967" s="9"/>
      <c r="G967" s="9"/>
    </row>
    <row r="968" spans="3:7">
      <c r="C968" s="9"/>
      <c r="D968" s="9"/>
      <c r="E968" s="9"/>
      <c r="F968" s="9"/>
      <c r="G968" s="9"/>
    </row>
    <row r="969" spans="3:7">
      <c r="C969" s="9"/>
      <c r="D969" s="9"/>
      <c r="E969" s="9"/>
      <c r="F969" s="9"/>
      <c r="G969" s="9"/>
    </row>
    <row r="970" spans="3:7">
      <c r="C970" s="9"/>
      <c r="D970" s="9"/>
      <c r="E970" s="9"/>
      <c r="F970" s="9"/>
      <c r="G970" s="9"/>
    </row>
    <row r="971" spans="3:7">
      <c r="C971" s="9"/>
      <c r="D971" s="9"/>
      <c r="E971" s="9"/>
      <c r="F971" s="9"/>
      <c r="G971" s="9"/>
    </row>
    <row r="972" spans="3:7">
      <c r="C972" s="9"/>
      <c r="D972" s="9"/>
      <c r="E972" s="9"/>
      <c r="F972" s="9"/>
      <c r="G972" s="9"/>
    </row>
    <row r="973" spans="3:7">
      <c r="C973" s="9"/>
      <c r="D973" s="9"/>
      <c r="E973" s="9"/>
      <c r="F973" s="9"/>
      <c r="G973" s="9"/>
    </row>
    <row r="974" spans="3:7">
      <c r="C974" s="9"/>
      <c r="D974" s="9"/>
      <c r="E974" s="9"/>
      <c r="F974" s="9"/>
      <c r="G974" s="9"/>
    </row>
    <row r="975" spans="3:7">
      <c r="C975" s="9"/>
      <c r="D975" s="9"/>
      <c r="E975" s="9"/>
      <c r="F975" s="9"/>
      <c r="G975" s="9"/>
    </row>
    <row r="976" spans="3:7">
      <c r="C976" s="9"/>
      <c r="D976" s="9"/>
      <c r="E976" s="9"/>
      <c r="F976" s="9"/>
      <c r="G976" s="9"/>
    </row>
    <row r="977" spans="3:7">
      <c r="C977" s="9"/>
      <c r="D977" s="9"/>
      <c r="E977" s="9"/>
      <c r="F977" s="9"/>
      <c r="G977" s="9"/>
    </row>
    <row r="978" spans="3:7">
      <c r="C978" s="9"/>
      <c r="D978" s="9"/>
      <c r="E978" s="9"/>
      <c r="F978" s="9"/>
      <c r="G978" s="9"/>
    </row>
    <row r="979" spans="3:7">
      <c r="C979" s="9"/>
      <c r="D979" s="9"/>
      <c r="E979" s="9"/>
      <c r="F979" s="9"/>
      <c r="G979" s="9"/>
    </row>
    <row r="980" spans="3:7">
      <c r="C980" s="9"/>
      <c r="D980" s="9"/>
      <c r="E980" s="9"/>
      <c r="F980" s="9"/>
      <c r="G980" s="9"/>
    </row>
    <row r="981" spans="3:7">
      <c r="C981" s="9"/>
      <c r="D981" s="9"/>
      <c r="E981" s="9"/>
      <c r="F981" s="9"/>
      <c r="G981" s="9"/>
    </row>
    <row r="982" spans="3:7">
      <c r="C982" s="9"/>
      <c r="D982" s="9"/>
      <c r="E982" s="9"/>
      <c r="F982" s="9"/>
      <c r="G982" s="10"/>
    </row>
    <row r="983" spans="3:7">
      <c r="C983" s="9"/>
      <c r="D983" s="9"/>
      <c r="E983" s="9"/>
      <c r="F983" s="9"/>
      <c r="G983" s="9"/>
    </row>
    <row r="984" spans="3:7">
      <c r="C984" s="9"/>
      <c r="D984" s="9"/>
      <c r="E984" s="9"/>
      <c r="F984" s="9"/>
      <c r="G984" s="9"/>
    </row>
    <row r="985" spans="3:7">
      <c r="C985" s="9"/>
      <c r="D985" s="9"/>
      <c r="E985" s="9"/>
      <c r="F985" s="9"/>
      <c r="G985" s="9"/>
    </row>
    <row r="986" spans="3:7">
      <c r="C986" s="9"/>
      <c r="D986" s="9"/>
      <c r="E986" s="9"/>
      <c r="F986" s="9"/>
      <c r="G986" s="9"/>
    </row>
    <row r="987" spans="3:7">
      <c r="C987" s="9"/>
      <c r="D987" s="9"/>
      <c r="E987" s="9"/>
      <c r="F987" s="9"/>
      <c r="G987" s="9"/>
    </row>
    <row r="988" spans="3:7">
      <c r="C988" s="9"/>
      <c r="D988" s="9"/>
      <c r="E988" s="9"/>
      <c r="F988" s="9"/>
      <c r="G988" s="9"/>
    </row>
    <row r="989" spans="3:7">
      <c r="C989" s="9"/>
      <c r="D989" s="9"/>
      <c r="E989" s="9"/>
      <c r="F989" s="9"/>
      <c r="G989" s="9"/>
    </row>
    <row r="990" spans="3:7">
      <c r="C990" s="9"/>
      <c r="D990" s="9"/>
      <c r="E990" s="9"/>
      <c r="F990" s="9"/>
      <c r="G990" s="9"/>
    </row>
    <row r="991" spans="3:7">
      <c r="C991" s="9"/>
      <c r="D991" s="9"/>
      <c r="E991" s="9"/>
      <c r="F991" s="9"/>
      <c r="G991" s="9"/>
    </row>
    <row r="992" spans="3:7">
      <c r="C992" s="9"/>
      <c r="D992" s="9"/>
      <c r="E992" s="9"/>
      <c r="F992" s="9"/>
      <c r="G992" s="9"/>
    </row>
    <row r="993" spans="3:7">
      <c r="C993" s="9"/>
      <c r="D993" s="9"/>
      <c r="E993" s="9"/>
      <c r="F993" s="9"/>
      <c r="G993" s="9"/>
    </row>
    <row r="994" spans="3:7">
      <c r="C994" s="9"/>
      <c r="D994" s="9"/>
      <c r="E994" s="9"/>
      <c r="F994" s="9"/>
      <c r="G994" s="9"/>
    </row>
    <row r="995" spans="3:7">
      <c r="C995" s="9"/>
      <c r="D995" s="9"/>
      <c r="E995" s="9"/>
      <c r="F995" s="9"/>
      <c r="G995" s="9"/>
    </row>
    <row r="996" spans="3:7">
      <c r="C996" s="9"/>
      <c r="D996" s="9"/>
      <c r="E996" s="9"/>
      <c r="F996" s="13"/>
      <c r="G996" s="13"/>
    </row>
    <row r="997" spans="3:7">
      <c r="C997" s="9"/>
      <c r="D997" s="9"/>
      <c r="E997" s="9"/>
      <c r="F997" s="13"/>
      <c r="G997" s="13"/>
    </row>
    <row r="998" spans="3:7">
      <c r="C998" s="9"/>
      <c r="D998" s="9"/>
      <c r="E998" s="9"/>
      <c r="F998" s="9"/>
      <c r="G998" s="9"/>
    </row>
    <row r="999" spans="3:7">
      <c r="C999" s="9"/>
      <c r="D999" s="9"/>
      <c r="E999" s="9"/>
      <c r="F999" s="9"/>
      <c r="G999" s="9"/>
    </row>
    <row r="1000" spans="3:7">
      <c r="C1000" s="9"/>
      <c r="D1000" s="9"/>
      <c r="E1000" s="9"/>
      <c r="F1000" s="9"/>
      <c r="G1000" s="9"/>
    </row>
    <row r="1001" spans="3:7">
      <c r="C1001" s="9"/>
      <c r="D1001" s="9"/>
      <c r="E1001" s="9"/>
      <c r="F1001" s="9"/>
      <c r="G1001" s="9"/>
    </row>
    <row r="1002" spans="3:7">
      <c r="C1002" s="9"/>
      <c r="D1002" s="9"/>
      <c r="E1002" s="9"/>
      <c r="F1002" s="9"/>
      <c r="G1002" s="9"/>
    </row>
    <row r="1003" spans="3:7">
      <c r="C1003" s="9"/>
      <c r="D1003" s="9"/>
      <c r="E1003" s="9"/>
      <c r="F1003" s="9"/>
      <c r="G1003" s="9"/>
    </row>
    <row r="1004" spans="3:7">
      <c r="C1004" s="9"/>
      <c r="D1004" s="9"/>
      <c r="E1004" s="9"/>
      <c r="F1004" s="9"/>
      <c r="G1004" s="9"/>
    </row>
    <row r="1005" spans="3:7">
      <c r="C1005" s="9"/>
      <c r="D1005" s="9"/>
      <c r="E1005" s="9"/>
      <c r="F1005" s="9"/>
      <c r="G1005" s="9"/>
    </row>
    <row r="1006" spans="3:7">
      <c r="C1006" s="9"/>
      <c r="D1006" s="9"/>
      <c r="E1006" s="9"/>
      <c r="F1006" s="9"/>
      <c r="G1006" s="9"/>
    </row>
    <row r="1007" spans="3:7">
      <c r="C1007" s="9"/>
      <c r="D1007" s="9"/>
      <c r="E1007" s="9"/>
      <c r="F1007" s="9"/>
      <c r="G1007" s="9"/>
    </row>
    <row r="1008" spans="3:7">
      <c r="C1008" s="9"/>
      <c r="D1008" s="9"/>
      <c r="E1008" s="9"/>
      <c r="F1008" s="9"/>
      <c r="G1008" s="9"/>
    </row>
    <row r="1009" spans="3:7">
      <c r="C1009" s="9"/>
      <c r="D1009" s="9"/>
      <c r="E1009" s="9"/>
      <c r="F1009" s="9"/>
      <c r="G1009" s="9"/>
    </row>
    <row r="1010" spans="3:7">
      <c r="C1010" s="9"/>
      <c r="D1010" s="9"/>
      <c r="E1010" s="9"/>
      <c r="F1010" s="9"/>
      <c r="G1010" s="9"/>
    </row>
    <row r="1011" spans="3:7">
      <c r="C1011" s="9"/>
      <c r="D1011" s="9"/>
      <c r="E1011" s="9"/>
      <c r="F1011" s="9"/>
      <c r="G1011" s="9"/>
    </row>
    <row r="1012" spans="3:7">
      <c r="C1012" s="9"/>
      <c r="D1012" s="9"/>
      <c r="E1012" s="9"/>
      <c r="F1012" s="9"/>
      <c r="G1012" s="9"/>
    </row>
    <row r="1013" spans="3:7">
      <c r="C1013" s="9"/>
      <c r="D1013" s="9"/>
      <c r="E1013" s="9"/>
      <c r="F1013" s="9"/>
      <c r="G1013" s="9"/>
    </row>
    <row r="1014" spans="3:7">
      <c r="C1014" s="9"/>
      <c r="D1014" s="9"/>
      <c r="E1014" s="9"/>
      <c r="F1014" s="9"/>
      <c r="G1014" s="9"/>
    </row>
    <row r="1015" spans="3:7">
      <c r="C1015" s="9"/>
      <c r="D1015" s="9"/>
      <c r="E1015" s="9"/>
      <c r="F1015" s="9"/>
      <c r="G1015" s="9"/>
    </row>
    <row r="1016" spans="3:7">
      <c r="C1016" s="9"/>
      <c r="D1016" s="9"/>
      <c r="E1016" s="9"/>
      <c r="F1016" s="9"/>
      <c r="G1016" s="9"/>
    </row>
    <row r="1017" spans="3:7">
      <c r="C1017" s="9"/>
      <c r="D1017" s="9"/>
      <c r="E1017" s="9"/>
      <c r="F1017" s="9"/>
      <c r="G1017" s="9"/>
    </row>
    <row r="1018" spans="3:7">
      <c r="C1018" s="9"/>
      <c r="D1018" s="9"/>
      <c r="E1018" s="9"/>
      <c r="F1018" s="9"/>
      <c r="G1018" s="9"/>
    </row>
    <row r="1019" spans="3:7">
      <c r="C1019" s="9"/>
      <c r="D1019" s="9"/>
      <c r="E1019" s="9"/>
      <c r="F1019" s="9"/>
      <c r="G1019" s="9"/>
    </row>
    <row r="1020" spans="3:7">
      <c r="C1020" s="9"/>
      <c r="D1020" s="9"/>
      <c r="E1020" s="9"/>
      <c r="F1020" s="9"/>
      <c r="G1020" s="9"/>
    </row>
    <row r="1021" spans="3:7">
      <c r="C1021" s="9"/>
      <c r="D1021" s="9"/>
      <c r="E1021" s="9"/>
      <c r="F1021" s="9"/>
      <c r="G1021" s="9"/>
    </row>
    <row r="1022" spans="3:7">
      <c r="C1022" s="9"/>
      <c r="D1022" s="9"/>
      <c r="E1022" s="9"/>
      <c r="F1022" s="9"/>
      <c r="G1022" s="9"/>
    </row>
    <row r="1023" spans="3:7">
      <c r="C1023" s="9"/>
      <c r="D1023" s="9"/>
      <c r="E1023" s="9"/>
      <c r="F1023" s="9"/>
      <c r="G1023" s="10"/>
    </row>
    <row r="1024" spans="3:7">
      <c r="C1024" s="9"/>
      <c r="D1024" s="9"/>
      <c r="E1024" s="9"/>
      <c r="F1024" s="9"/>
      <c r="G1024" s="9"/>
    </row>
    <row r="1025" spans="3:7">
      <c r="C1025" s="9"/>
      <c r="D1025" s="9"/>
      <c r="E1025" s="9"/>
      <c r="F1025" s="9"/>
      <c r="G1025" s="9"/>
    </row>
    <row r="1026" spans="3:7">
      <c r="C1026" s="9"/>
      <c r="D1026" s="9"/>
      <c r="E1026" s="9"/>
      <c r="F1026" s="9"/>
      <c r="G1026" s="9"/>
    </row>
    <row r="1027" spans="3:7">
      <c r="C1027" s="9"/>
      <c r="D1027" s="9"/>
      <c r="E1027" s="9"/>
      <c r="F1027" s="9"/>
      <c r="G1027" s="9"/>
    </row>
    <row r="1028" spans="3:7">
      <c r="C1028" s="9"/>
      <c r="D1028" s="9"/>
      <c r="E1028" s="9"/>
      <c r="F1028" s="9"/>
      <c r="G1028" s="9"/>
    </row>
    <row r="1029" spans="3:7">
      <c r="C1029" s="9"/>
      <c r="D1029" s="9"/>
      <c r="E1029" s="9"/>
      <c r="F1029" s="9"/>
      <c r="G1029" s="9"/>
    </row>
    <row r="1030" spans="3:7">
      <c r="C1030" s="9"/>
      <c r="D1030" s="9"/>
      <c r="E1030" s="9"/>
      <c r="F1030" s="9"/>
      <c r="G1030" s="9"/>
    </row>
    <row r="1031" spans="3:7">
      <c r="C1031" s="9"/>
      <c r="D1031" s="9"/>
      <c r="E1031" s="9"/>
      <c r="F1031" s="9"/>
      <c r="G1031" s="9"/>
    </row>
    <row r="1032" spans="3:7">
      <c r="C1032" s="9"/>
      <c r="D1032" s="9"/>
      <c r="E1032" s="9"/>
      <c r="F1032" s="9"/>
      <c r="G1032" s="9"/>
    </row>
    <row r="1033" spans="3:7">
      <c r="C1033" s="9"/>
      <c r="D1033" s="9"/>
      <c r="E1033" s="9"/>
      <c r="F1033" s="9"/>
      <c r="G1033" s="9"/>
    </row>
    <row r="1034" spans="3:7">
      <c r="C1034" s="9"/>
      <c r="D1034" s="9"/>
      <c r="E1034" s="9"/>
      <c r="F1034" s="9"/>
      <c r="G1034" s="9"/>
    </row>
    <row r="1035" spans="3:7">
      <c r="C1035" s="9"/>
      <c r="D1035" s="9"/>
      <c r="E1035" s="9"/>
      <c r="F1035" s="9"/>
      <c r="G1035" s="9"/>
    </row>
    <row r="1036" spans="3:7">
      <c r="C1036" s="9"/>
      <c r="D1036" s="9"/>
      <c r="E1036" s="9"/>
      <c r="F1036" s="9"/>
      <c r="G1036" s="9"/>
    </row>
    <row r="1037" spans="3:7">
      <c r="C1037" s="9"/>
      <c r="D1037" s="9"/>
      <c r="E1037" s="9"/>
      <c r="F1037" s="9"/>
      <c r="G1037" s="9"/>
    </row>
    <row r="1038" spans="3:7">
      <c r="C1038" s="9"/>
      <c r="D1038" s="9"/>
      <c r="E1038" s="9"/>
      <c r="F1038" s="9"/>
      <c r="G1038" s="9"/>
    </row>
    <row r="1039" spans="3:7">
      <c r="C1039" s="9"/>
      <c r="D1039" s="9"/>
      <c r="E1039" s="9"/>
      <c r="F1039" s="9"/>
      <c r="G1039" s="9"/>
    </row>
    <row r="1040" spans="3:7">
      <c r="C1040" s="9"/>
      <c r="D1040" s="9"/>
      <c r="E1040" s="9"/>
      <c r="F1040" s="9"/>
      <c r="G1040" s="9"/>
    </row>
    <row r="1041" spans="3:7">
      <c r="C1041" s="9"/>
      <c r="D1041" s="9"/>
      <c r="E1041" s="9"/>
      <c r="F1041" s="9"/>
      <c r="G1041" s="9"/>
    </row>
    <row r="1042" spans="3:7">
      <c r="C1042" s="9"/>
      <c r="D1042" s="9"/>
      <c r="E1042" s="9"/>
      <c r="F1042" s="9"/>
      <c r="G1042" s="10"/>
    </row>
    <row r="1043" spans="3:7">
      <c r="C1043" s="9"/>
      <c r="D1043" s="9"/>
      <c r="E1043" s="9"/>
      <c r="F1043" s="9"/>
      <c r="G1043" s="9"/>
    </row>
    <row r="1044" spans="3:7">
      <c r="C1044" s="9"/>
      <c r="D1044" s="9"/>
      <c r="E1044" s="9"/>
      <c r="F1044" s="9"/>
      <c r="G1044" s="9"/>
    </row>
    <row r="1045" spans="3:7">
      <c r="C1045" s="9"/>
      <c r="D1045" s="9"/>
      <c r="E1045" s="9"/>
      <c r="F1045" s="9"/>
      <c r="G1045" s="9"/>
    </row>
    <row r="1046" spans="3:7">
      <c r="C1046" s="9"/>
      <c r="D1046" s="9"/>
      <c r="E1046" s="9"/>
      <c r="F1046" s="9"/>
      <c r="G1046" s="9"/>
    </row>
    <row r="1047" spans="3:7">
      <c r="C1047" s="9"/>
      <c r="D1047" s="9"/>
      <c r="E1047" s="9"/>
      <c r="F1047" s="9"/>
      <c r="G1047" s="9"/>
    </row>
    <row r="1048" spans="3:7">
      <c r="C1048" s="9"/>
      <c r="D1048" s="9"/>
      <c r="E1048" s="9"/>
      <c r="F1048" s="9"/>
      <c r="G1048" s="9"/>
    </row>
    <row r="1049" spans="3:7">
      <c r="C1049" s="9"/>
      <c r="D1049" s="9"/>
      <c r="E1049" s="9"/>
      <c r="F1049" s="9"/>
      <c r="G1049" s="9"/>
    </row>
    <row r="1050" spans="3:7">
      <c r="C1050" s="9"/>
      <c r="D1050" s="9"/>
      <c r="E1050" s="9"/>
      <c r="F1050" s="9"/>
      <c r="G1050" s="9"/>
    </row>
    <row r="1051" spans="3:7">
      <c r="C1051" s="9"/>
      <c r="D1051" s="9"/>
      <c r="E1051" s="9"/>
      <c r="F1051" s="9"/>
      <c r="G1051" s="9"/>
    </row>
    <row r="1052" spans="3:7">
      <c r="C1052" s="9"/>
      <c r="D1052" s="9"/>
      <c r="E1052" s="9"/>
      <c r="F1052" s="9"/>
      <c r="G1052" s="9"/>
    </row>
    <row r="1053" spans="3:7">
      <c r="C1053" s="9"/>
      <c r="D1053" s="9"/>
      <c r="E1053" s="9"/>
      <c r="F1053" s="9"/>
      <c r="G1053" s="9"/>
    </row>
    <row r="1054" spans="3:7">
      <c r="C1054" s="9"/>
      <c r="D1054" s="9"/>
      <c r="E1054" s="9"/>
      <c r="F1054" s="9"/>
      <c r="G1054" s="9"/>
    </row>
    <row r="1055" spans="3:7">
      <c r="C1055" s="9"/>
      <c r="D1055" s="9"/>
      <c r="E1055" s="9"/>
      <c r="F1055" s="9"/>
      <c r="G1055" s="9"/>
    </row>
    <row r="1056" spans="3:7">
      <c r="C1056" s="9"/>
      <c r="D1056" s="9"/>
      <c r="E1056" s="9"/>
      <c r="F1056" s="9"/>
      <c r="G1056" s="9"/>
    </row>
    <row r="1057" spans="3:7">
      <c r="C1057" s="9"/>
      <c r="D1057" s="9"/>
      <c r="E1057" s="9"/>
      <c r="F1057" s="9"/>
      <c r="G1057" s="9"/>
    </row>
    <row r="1058" spans="3:7">
      <c r="C1058" s="9"/>
      <c r="D1058" s="9"/>
      <c r="E1058" s="9"/>
      <c r="F1058" s="9"/>
      <c r="G1058" s="9"/>
    </row>
    <row r="1059" spans="3:7">
      <c r="C1059" s="9"/>
      <c r="D1059" s="9"/>
      <c r="E1059" s="9"/>
      <c r="F1059" s="9"/>
      <c r="G1059" s="9"/>
    </row>
    <row r="1060" spans="3:7">
      <c r="C1060" s="9"/>
      <c r="D1060" s="9"/>
      <c r="E1060" s="9"/>
      <c r="F1060" s="9"/>
      <c r="G1060" s="9"/>
    </row>
    <row r="1061" spans="3:7">
      <c r="C1061" s="9"/>
      <c r="D1061" s="9"/>
      <c r="E1061" s="9"/>
      <c r="F1061" s="9"/>
      <c r="G1061" s="9"/>
    </row>
    <row r="1062" spans="3:7">
      <c r="C1062" s="9"/>
      <c r="D1062" s="9"/>
      <c r="E1062" s="9"/>
      <c r="F1062" s="9"/>
      <c r="G1062" s="9"/>
    </row>
    <row r="1063" spans="3:7">
      <c r="C1063" s="9"/>
      <c r="D1063" s="9"/>
      <c r="E1063" s="9"/>
      <c r="F1063" s="9"/>
      <c r="G1063" s="9"/>
    </row>
    <row r="1064" spans="3:7">
      <c r="C1064" s="9"/>
      <c r="D1064" s="9"/>
      <c r="E1064" s="9"/>
      <c r="F1064" s="9"/>
      <c r="G1064" s="9"/>
    </row>
    <row r="1065" spans="3:7">
      <c r="C1065" s="9"/>
      <c r="D1065" s="9"/>
      <c r="E1065" s="9"/>
      <c r="F1065" s="9"/>
      <c r="G1065" s="9"/>
    </row>
    <row r="1066" spans="3:7">
      <c r="C1066" s="9"/>
      <c r="D1066" s="9"/>
      <c r="E1066" s="9"/>
      <c r="F1066" s="9"/>
      <c r="G1066" s="9"/>
    </row>
    <row r="1067" spans="3:7">
      <c r="C1067" s="9"/>
      <c r="D1067" s="9"/>
      <c r="E1067" s="9"/>
      <c r="F1067" s="9"/>
      <c r="G1067" s="9"/>
    </row>
    <row r="1068" spans="3:7">
      <c r="C1068" s="9"/>
      <c r="D1068" s="9"/>
      <c r="E1068" s="9"/>
      <c r="F1068" s="9"/>
      <c r="G1068" s="9"/>
    </row>
    <row r="1069" spans="3:7">
      <c r="C1069" s="9"/>
      <c r="D1069" s="9"/>
      <c r="E1069" s="9"/>
      <c r="F1069" s="9"/>
      <c r="G1069" s="9"/>
    </row>
    <row r="1070" spans="3:7">
      <c r="C1070" s="9"/>
      <c r="D1070" s="9"/>
      <c r="E1070" s="9"/>
      <c r="F1070" s="9"/>
      <c r="G1070" s="9"/>
    </row>
    <row r="1071" spans="3:7">
      <c r="C1071" s="9"/>
      <c r="D1071" s="9"/>
      <c r="E1071" s="9"/>
      <c r="F1071" s="9"/>
      <c r="G1071" s="9"/>
    </row>
    <row r="1072" spans="3:7">
      <c r="C1072" s="9"/>
      <c r="D1072" s="9"/>
      <c r="E1072" s="9"/>
      <c r="F1072" s="9"/>
      <c r="G1072" s="9"/>
    </row>
    <row r="1073" spans="3:7">
      <c r="C1073" s="9"/>
      <c r="D1073" s="9"/>
      <c r="E1073" s="9"/>
      <c r="F1073" s="9"/>
      <c r="G1073" s="9"/>
    </row>
    <row r="1074" spans="3:7">
      <c r="C1074" s="9"/>
      <c r="D1074" s="9"/>
      <c r="E1074" s="9"/>
      <c r="F1074" s="9"/>
      <c r="G1074" s="9"/>
    </row>
    <row r="1075" spans="3:7">
      <c r="C1075" s="9"/>
      <c r="D1075" s="9"/>
      <c r="E1075" s="9"/>
      <c r="F1075" s="9"/>
      <c r="G1075" s="9"/>
    </row>
    <row r="1076" spans="3:7">
      <c r="C1076" s="9"/>
      <c r="D1076" s="9"/>
      <c r="E1076" s="9"/>
      <c r="F1076" s="9"/>
      <c r="G1076" s="9"/>
    </row>
    <row r="1077" spans="3:7">
      <c r="C1077" s="9"/>
      <c r="D1077" s="9"/>
      <c r="E1077" s="9"/>
      <c r="F1077" s="9"/>
      <c r="G1077" s="9"/>
    </row>
    <row r="1078" spans="3:7">
      <c r="C1078" s="9"/>
      <c r="D1078" s="9"/>
      <c r="E1078" s="9"/>
      <c r="F1078" s="9"/>
      <c r="G1078" s="9"/>
    </row>
    <row r="1079" spans="3:7">
      <c r="C1079" s="9"/>
      <c r="D1079" s="9"/>
      <c r="E1079" s="9"/>
      <c r="F1079" s="9"/>
      <c r="G1079" s="9"/>
    </row>
    <row r="1080" spans="3:7">
      <c r="C1080" s="9"/>
      <c r="D1080" s="9"/>
      <c r="E1080" s="9"/>
      <c r="F1080" s="9"/>
      <c r="G1080" s="9"/>
    </row>
    <row r="1081" spans="3:7">
      <c r="C1081" s="9"/>
      <c r="D1081" s="9"/>
      <c r="E1081" s="9"/>
      <c r="F1081" s="9"/>
      <c r="G1081" s="9"/>
    </row>
    <row r="1082" spans="3:7">
      <c r="C1082" s="9"/>
      <c r="D1082" s="9"/>
      <c r="E1082" s="9"/>
      <c r="F1082" s="9"/>
      <c r="G1082" s="9"/>
    </row>
    <row r="1083" spans="3:7">
      <c r="C1083" s="9"/>
      <c r="D1083" s="9"/>
      <c r="E1083" s="9"/>
      <c r="F1083" s="9"/>
      <c r="G1083" s="9"/>
    </row>
    <row r="1084" spans="3:7">
      <c r="C1084" s="9"/>
      <c r="D1084" s="9"/>
      <c r="E1084" s="9"/>
      <c r="F1084" s="9"/>
      <c r="G1084" s="9"/>
    </row>
    <row r="1085" spans="3:7">
      <c r="C1085" s="9"/>
      <c r="D1085" s="9"/>
      <c r="E1085" s="9"/>
      <c r="F1085" s="9"/>
      <c r="G1085" s="9"/>
    </row>
    <row r="1086" spans="3:7">
      <c r="C1086" s="9"/>
      <c r="D1086" s="9"/>
      <c r="E1086" s="9"/>
      <c r="F1086" s="9"/>
      <c r="G1086" s="9"/>
    </row>
    <row r="1087" spans="3:7">
      <c r="C1087" s="9"/>
      <c r="D1087" s="9"/>
      <c r="E1087" s="9"/>
      <c r="F1087" s="9"/>
      <c r="G1087" s="9"/>
    </row>
    <row r="1088" spans="3:7">
      <c r="C1088" s="9"/>
      <c r="D1088" s="9"/>
      <c r="E1088" s="9"/>
      <c r="F1088" s="9"/>
      <c r="G1088" s="9"/>
    </row>
    <row r="1089" spans="3:7">
      <c r="C1089" s="9"/>
      <c r="D1089" s="9"/>
      <c r="E1089" s="9"/>
      <c r="F1089" s="9"/>
      <c r="G1089" s="9"/>
    </row>
    <row r="1090" spans="3:7">
      <c r="C1090" s="9"/>
      <c r="D1090" s="9"/>
      <c r="E1090" s="9"/>
      <c r="F1090" s="9"/>
      <c r="G1090" s="9"/>
    </row>
    <row r="1091" spans="3:7">
      <c r="C1091" s="9"/>
      <c r="D1091" s="9"/>
      <c r="E1091" s="9"/>
      <c r="F1091" s="9"/>
      <c r="G1091" s="9"/>
    </row>
    <row r="1092" spans="3:7">
      <c r="C1092" s="9"/>
      <c r="D1092" s="9"/>
      <c r="E1092" s="9"/>
      <c r="F1092" s="9"/>
      <c r="G1092" s="9"/>
    </row>
    <row r="1093" spans="3:7">
      <c r="C1093" s="9"/>
      <c r="D1093" s="9"/>
      <c r="E1093" s="9"/>
      <c r="F1093" s="9"/>
      <c r="G1093" s="9"/>
    </row>
    <row r="1094" spans="3:7">
      <c r="C1094" s="9"/>
      <c r="D1094" s="9"/>
      <c r="E1094" s="9"/>
      <c r="F1094" s="9"/>
      <c r="G1094" s="9"/>
    </row>
    <row r="1095" spans="3:7">
      <c r="C1095" s="9"/>
      <c r="D1095" s="9"/>
      <c r="E1095" s="9"/>
      <c r="F1095" s="9"/>
      <c r="G1095" s="9"/>
    </row>
    <row r="1096" spans="3:7">
      <c r="C1096" s="9"/>
      <c r="D1096" s="9"/>
      <c r="E1096" s="9"/>
      <c r="F1096" s="9"/>
      <c r="G1096" s="9"/>
    </row>
    <row r="1097" spans="3:7">
      <c r="C1097" s="9"/>
      <c r="D1097" s="9"/>
      <c r="E1097" s="9"/>
      <c r="F1097" s="9"/>
      <c r="G1097" s="9"/>
    </row>
    <row r="1098" spans="3:7">
      <c r="C1098" s="9"/>
      <c r="D1098" s="9"/>
      <c r="E1098" s="9"/>
      <c r="F1098" s="9"/>
      <c r="G1098" s="9"/>
    </row>
    <row r="1099" spans="3:7">
      <c r="C1099" s="9"/>
      <c r="D1099" s="9"/>
      <c r="E1099" s="9"/>
      <c r="F1099" s="9"/>
      <c r="G1099" s="9"/>
    </row>
    <row r="1100" spans="3:7">
      <c r="C1100" s="9"/>
      <c r="D1100" s="9"/>
      <c r="E1100" s="9"/>
      <c r="F1100" s="9"/>
      <c r="G1100" s="9"/>
    </row>
    <row r="1101" spans="3:7">
      <c r="C1101" s="9"/>
      <c r="D1101" s="9"/>
      <c r="E1101" s="9"/>
      <c r="F1101" s="9"/>
      <c r="G1101" s="9"/>
    </row>
    <row r="1102" spans="3:7">
      <c r="C1102" s="9"/>
      <c r="D1102" s="9"/>
      <c r="E1102" s="9"/>
      <c r="F1102" s="9"/>
      <c r="G1102" s="9"/>
    </row>
    <row r="1103" spans="3:7">
      <c r="C1103" s="9"/>
      <c r="D1103" s="9"/>
      <c r="E1103" s="9"/>
      <c r="F1103" s="9"/>
      <c r="G1103" s="9"/>
    </row>
    <row r="1104" spans="3:7">
      <c r="C1104" s="9"/>
      <c r="D1104" s="9"/>
      <c r="E1104" s="9"/>
      <c r="F1104" s="9"/>
      <c r="G1104" s="9"/>
    </row>
    <row r="1105" spans="3:7">
      <c r="C1105" s="9"/>
      <c r="D1105" s="9"/>
      <c r="E1105" s="9"/>
      <c r="F1105" s="9"/>
      <c r="G1105" s="9"/>
    </row>
    <row r="1106" spans="3:7">
      <c r="C1106" s="9"/>
      <c r="D1106" s="9"/>
      <c r="E1106" s="9"/>
      <c r="F1106" s="9"/>
      <c r="G1106" s="9"/>
    </row>
    <row r="1107" spans="3:7">
      <c r="C1107" s="9"/>
      <c r="D1107" s="9"/>
      <c r="E1107" s="9"/>
      <c r="F1107" s="9"/>
      <c r="G1107" s="9"/>
    </row>
    <row r="1108" spans="3:7">
      <c r="C1108" s="9"/>
      <c r="D1108" s="9"/>
      <c r="E1108" s="9"/>
      <c r="F1108" s="9"/>
      <c r="G1108" s="9"/>
    </row>
    <row r="1109" spans="3:7">
      <c r="C1109" s="9"/>
      <c r="D1109" s="9"/>
      <c r="E1109" s="9"/>
      <c r="F1109" s="9"/>
      <c r="G1109" s="9"/>
    </row>
    <row r="1110" spans="3:7">
      <c r="C1110" s="9"/>
      <c r="D1110" s="9"/>
      <c r="E1110" s="9"/>
      <c r="F1110" s="9"/>
      <c r="G1110" s="10"/>
    </row>
    <row r="1111" spans="3:7">
      <c r="C1111" s="9"/>
      <c r="D1111" s="9"/>
      <c r="E1111" s="9"/>
      <c r="F1111" s="9"/>
      <c r="G1111" s="9"/>
    </row>
    <row r="1112" spans="3:7">
      <c r="C1112" s="9"/>
      <c r="D1112" s="9"/>
      <c r="E1112" s="9"/>
      <c r="F1112" s="9"/>
      <c r="G1112" s="9"/>
    </row>
    <row r="1113" spans="3:7">
      <c r="C1113" s="9"/>
      <c r="D1113" s="9"/>
      <c r="E1113" s="9"/>
      <c r="F1113" s="9"/>
      <c r="G1113" s="9"/>
    </row>
    <row r="1114" spans="3:7">
      <c r="C1114" s="9"/>
      <c r="D1114" s="9"/>
      <c r="E1114" s="9"/>
      <c r="F1114" s="9"/>
      <c r="G1114" s="9"/>
    </row>
    <row r="1115" spans="3:7">
      <c r="C1115" s="9"/>
      <c r="D1115" s="9"/>
      <c r="E1115" s="9"/>
      <c r="F1115" s="9"/>
      <c r="G1115" s="9"/>
    </row>
    <row r="1116" spans="3:7">
      <c r="C1116" s="9"/>
      <c r="D1116" s="9"/>
      <c r="E1116" s="9"/>
      <c r="F1116" s="9"/>
      <c r="G1116" s="9"/>
    </row>
    <row r="1117" spans="3:7">
      <c r="C1117" s="9"/>
      <c r="D1117" s="9"/>
      <c r="E1117" s="9"/>
      <c r="F1117" s="9"/>
      <c r="G1117" s="9"/>
    </row>
    <row r="1118" spans="3:7">
      <c r="C1118" s="9"/>
      <c r="D1118" s="9"/>
      <c r="E1118" s="9"/>
      <c r="F1118" s="9"/>
      <c r="G1118" s="9"/>
    </row>
    <row r="1119" spans="3:7">
      <c r="C1119" s="9"/>
      <c r="D1119" s="9"/>
      <c r="E1119" s="9"/>
      <c r="F1119" s="9"/>
      <c r="G1119" s="9"/>
    </row>
    <row r="1120" spans="3:7">
      <c r="C1120" s="9"/>
      <c r="D1120" s="9"/>
      <c r="E1120" s="9"/>
      <c r="F1120" s="9"/>
      <c r="G1120" s="9"/>
    </row>
    <row r="1121" spans="3:7">
      <c r="C1121" s="9"/>
      <c r="D1121" s="9"/>
      <c r="E1121" s="9"/>
      <c r="F1121" s="9"/>
      <c r="G1121" s="9"/>
    </row>
    <row r="1122" spans="3:7">
      <c r="C1122" s="9"/>
      <c r="D1122" s="9"/>
      <c r="E1122" s="9"/>
      <c r="F1122" s="9"/>
      <c r="G1122" s="9"/>
    </row>
    <row r="1123" spans="3:7">
      <c r="C1123" s="9"/>
      <c r="D1123" s="9"/>
      <c r="E1123" s="9"/>
      <c r="F1123" s="9"/>
      <c r="G1123" s="9"/>
    </row>
    <row r="1124" spans="3:7">
      <c r="C1124" s="9"/>
      <c r="D1124" s="9"/>
      <c r="E1124" s="9"/>
      <c r="F1124" s="9"/>
      <c r="G1124" s="9"/>
    </row>
    <row r="1125" spans="3:7">
      <c r="C1125" s="9"/>
      <c r="D1125" s="9"/>
      <c r="E1125" s="9"/>
      <c r="F1125" s="9"/>
      <c r="G1125" s="9"/>
    </row>
    <row r="1126" spans="3:7">
      <c r="C1126" s="9"/>
      <c r="D1126" s="9"/>
      <c r="E1126" s="9"/>
      <c r="F1126" s="9"/>
      <c r="G1126" s="9"/>
    </row>
    <row r="1127" spans="3:7">
      <c r="C1127" s="9"/>
      <c r="D1127" s="9"/>
      <c r="E1127" s="9"/>
      <c r="F1127" s="9"/>
      <c r="G1127" s="9"/>
    </row>
    <row r="1128" spans="3:7">
      <c r="C1128" s="9"/>
      <c r="D1128" s="9"/>
      <c r="E1128" s="9"/>
      <c r="F1128" s="9"/>
      <c r="G1128" s="9"/>
    </row>
    <row r="1129" spans="3:7">
      <c r="C1129" s="9"/>
      <c r="D1129" s="9"/>
      <c r="E1129" s="9"/>
      <c r="F1129" s="9"/>
      <c r="G1129" s="9"/>
    </row>
    <row r="1130" spans="3:7">
      <c r="C1130" s="9"/>
      <c r="D1130" s="9"/>
      <c r="E1130" s="9"/>
      <c r="F1130" s="9"/>
      <c r="G1130" s="9"/>
    </row>
    <row r="1131" spans="3:7">
      <c r="C1131" s="9"/>
      <c r="D1131" s="9"/>
      <c r="E1131" s="9"/>
      <c r="F1131" s="9"/>
      <c r="G1131" s="9"/>
    </row>
    <row r="1132" spans="3:7">
      <c r="C1132" s="9"/>
      <c r="D1132" s="9"/>
      <c r="E1132" s="9"/>
      <c r="F1132" s="9"/>
      <c r="G1132" s="9"/>
    </row>
    <row r="1133" spans="3:7">
      <c r="C1133" s="9"/>
      <c r="D1133" s="9"/>
      <c r="E1133" s="9"/>
      <c r="F1133" s="9"/>
      <c r="G1133" s="9"/>
    </row>
    <row r="1134" spans="3:7">
      <c r="C1134" s="9"/>
      <c r="D1134" s="9"/>
      <c r="E1134" s="9"/>
      <c r="F1134" s="9"/>
      <c r="G1134" s="9"/>
    </row>
    <row r="1135" spans="3:7">
      <c r="C1135" s="9"/>
      <c r="D1135" s="9"/>
      <c r="E1135" s="9"/>
      <c r="F1135" s="9"/>
      <c r="G1135" s="9"/>
    </row>
    <row r="1136" spans="3:7">
      <c r="C1136" s="9"/>
      <c r="D1136" s="9"/>
      <c r="E1136" s="9"/>
      <c r="F1136" s="9"/>
      <c r="G1136" s="9"/>
    </row>
    <row r="1137" spans="3:7">
      <c r="C1137" s="9"/>
      <c r="D1137" s="9"/>
      <c r="E1137" s="9"/>
      <c r="F1137" s="9"/>
      <c r="G1137" s="9"/>
    </row>
    <row r="1138" spans="3:7">
      <c r="C1138" s="9"/>
      <c r="D1138" s="9"/>
      <c r="E1138" s="9"/>
      <c r="F1138" s="9"/>
      <c r="G1138" s="9"/>
    </row>
    <row r="1139" spans="3:7">
      <c r="C1139" s="9"/>
      <c r="D1139" s="9"/>
      <c r="E1139" s="9"/>
      <c r="F1139" s="9"/>
      <c r="G1139" s="9"/>
    </row>
    <row r="1140" spans="3:7">
      <c r="C1140" s="9"/>
      <c r="D1140" s="9"/>
      <c r="E1140" s="9"/>
      <c r="F1140" s="9"/>
      <c r="G1140" s="9"/>
    </row>
    <row r="1141" spans="3:7">
      <c r="C1141" s="9"/>
      <c r="D1141" s="9"/>
      <c r="E1141" s="9"/>
      <c r="F1141" s="9"/>
      <c r="G1141" s="9"/>
    </row>
    <row r="1142" spans="3:7">
      <c r="C1142" s="9"/>
      <c r="D1142" s="9"/>
      <c r="E1142" s="9"/>
      <c r="F1142" s="9"/>
      <c r="G1142" s="9"/>
    </row>
    <row r="1143" spans="3:7">
      <c r="C1143" s="9"/>
      <c r="D1143" s="9"/>
      <c r="E1143" s="9"/>
      <c r="F1143" s="9"/>
      <c r="G1143" s="9"/>
    </row>
    <row r="1144" spans="3:7">
      <c r="C1144" s="9"/>
      <c r="D1144" s="9"/>
      <c r="E1144" s="9"/>
      <c r="F1144" s="9"/>
      <c r="G1144" s="9"/>
    </row>
    <row r="1145" spans="3:7">
      <c r="C1145" s="9"/>
      <c r="D1145" s="9"/>
      <c r="E1145" s="9"/>
      <c r="F1145" s="9"/>
      <c r="G1145" s="9"/>
    </row>
    <row r="1146" spans="3:7">
      <c r="C1146" s="9"/>
      <c r="D1146" s="9"/>
      <c r="E1146" s="9"/>
      <c r="F1146" s="9"/>
      <c r="G1146" s="9"/>
    </row>
    <row r="1147" spans="3:7">
      <c r="C1147" s="9"/>
      <c r="D1147" s="9"/>
      <c r="E1147" s="9"/>
      <c r="F1147" s="9"/>
      <c r="G1147" s="10"/>
    </row>
    <row r="1148" spans="3:7">
      <c r="C1148" s="9"/>
      <c r="D1148" s="9"/>
      <c r="E1148" s="9"/>
      <c r="F1148" s="10"/>
      <c r="G1148" s="9"/>
    </row>
    <row r="1149" spans="3:7">
      <c r="C1149" s="9"/>
      <c r="D1149" s="9"/>
      <c r="E1149" s="9"/>
      <c r="F1149" s="9"/>
      <c r="G1149" s="9"/>
    </row>
    <row r="1150" spans="3:7">
      <c r="C1150" s="9"/>
      <c r="D1150" s="9"/>
      <c r="E1150" s="9"/>
      <c r="F1150" s="9"/>
      <c r="G1150" s="9"/>
    </row>
    <row r="1151" spans="3:7">
      <c r="C1151" s="9"/>
      <c r="D1151" s="9"/>
      <c r="E1151" s="9"/>
      <c r="F1151" s="9"/>
      <c r="G1151" s="9"/>
    </row>
    <row r="1152" spans="3:7">
      <c r="C1152" s="9"/>
      <c r="D1152" s="9"/>
      <c r="E1152" s="9"/>
      <c r="F1152" s="9"/>
      <c r="G1152" s="9"/>
    </row>
    <row r="1153" spans="3:7">
      <c r="C1153" s="9"/>
      <c r="D1153" s="9"/>
      <c r="E1153" s="9"/>
      <c r="F1153" s="9"/>
      <c r="G1153" s="9"/>
    </row>
    <row r="1154" spans="3:7">
      <c r="C1154" s="9"/>
      <c r="D1154" s="9"/>
      <c r="E1154" s="9"/>
      <c r="F1154" s="9"/>
      <c r="G1154" s="9"/>
    </row>
    <row r="1155" spans="3:7">
      <c r="C1155" s="9"/>
      <c r="D1155" s="9"/>
      <c r="E1155" s="9"/>
      <c r="F1155" s="9"/>
      <c r="G1155" s="9"/>
    </row>
    <row r="1156" spans="3:7">
      <c r="C1156" s="9"/>
      <c r="D1156" s="9"/>
      <c r="E1156" s="9"/>
      <c r="F1156" s="9"/>
      <c r="G1156" s="9"/>
    </row>
    <row r="1157" spans="3:7">
      <c r="C1157" s="9"/>
      <c r="D1157" s="9"/>
      <c r="E1157" s="9"/>
      <c r="F1157" s="9"/>
      <c r="G1157" s="9"/>
    </row>
    <row r="1158" spans="3:7">
      <c r="C1158" s="9"/>
      <c r="D1158" s="9"/>
      <c r="E1158" s="9"/>
      <c r="F1158" s="9"/>
      <c r="G1158" s="9"/>
    </row>
    <row r="1159" spans="3:7">
      <c r="C1159" s="9"/>
      <c r="D1159" s="9"/>
      <c r="E1159" s="9"/>
      <c r="F1159" s="9"/>
      <c r="G1159" s="9"/>
    </row>
    <row r="1160" spans="3:7">
      <c r="C1160" s="9"/>
      <c r="D1160" s="9"/>
      <c r="E1160" s="9"/>
      <c r="F1160" s="9"/>
      <c r="G1160" s="9"/>
    </row>
    <row r="1161" spans="3:7">
      <c r="C1161" s="9"/>
      <c r="D1161" s="9"/>
      <c r="E1161" s="9"/>
      <c r="F1161" s="9"/>
      <c r="G1161" s="9"/>
    </row>
    <row r="1162" spans="3:7">
      <c r="C1162" s="9"/>
      <c r="D1162" s="9"/>
      <c r="E1162" s="9"/>
      <c r="F1162" s="9"/>
      <c r="G1162" s="9"/>
    </row>
    <row r="1163" spans="3:7">
      <c r="C1163" s="9"/>
      <c r="D1163" s="9"/>
      <c r="E1163" s="9"/>
      <c r="F1163" s="9"/>
      <c r="G1163" s="9"/>
    </row>
    <row r="1164" spans="3:7">
      <c r="C1164" s="9"/>
      <c r="D1164" s="9"/>
      <c r="E1164" s="9"/>
      <c r="F1164" s="9"/>
      <c r="G1164" s="9"/>
    </row>
    <row r="1165" spans="3:7">
      <c r="C1165" s="9"/>
      <c r="D1165" s="9"/>
      <c r="E1165" s="9"/>
      <c r="F1165" s="9"/>
      <c r="G1165" s="9"/>
    </row>
    <row r="1166" spans="3:7">
      <c r="C1166" s="9"/>
      <c r="D1166" s="9"/>
      <c r="E1166" s="9"/>
      <c r="F1166" s="9"/>
      <c r="G1166" s="9"/>
    </row>
    <row r="1167" spans="3:7">
      <c r="C1167" s="9"/>
      <c r="D1167" s="9"/>
      <c r="E1167" s="9"/>
      <c r="F1167" s="9"/>
      <c r="G1167" s="9"/>
    </row>
    <row r="1168" spans="3:7">
      <c r="C1168" s="9"/>
      <c r="D1168" s="9"/>
      <c r="E1168" s="9"/>
      <c r="F1168" s="9"/>
      <c r="G1168" s="9"/>
    </row>
    <row r="1169" spans="3:7">
      <c r="C1169" s="9"/>
      <c r="D1169" s="9"/>
      <c r="E1169" s="9"/>
      <c r="F1169" s="9"/>
      <c r="G1169" s="9"/>
    </row>
    <row r="1170" spans="3:7">
      <c r="C1170" s="9"/>
      <c r="D1170" s="9"/>
      <c r="E1170" s="9"/>
      <c r="F1170" s="9"/>
      <c r="G1170" s="9"/>
    </row>
    <row r="1171" spans="3:7">
      <c r="C1171" s="9"/>
      <c r="D1171" s="9"/>
      <c r="E1171" s="9"/>
      <c r="F1171" s="10"/>
      <c r="G1171" s="9"/>
    </row>
    <row r="1172" spans="3:7">
      <c r="C1172" s="9"/>
      <c r="D1172" s="9"/>
      <c r="E1172" s="9"/>
      <c r="F1172" s="9"/>
      <c r="G1172" s="9"/>
    </row>
    <row r="1173" spans="3:7">
      <c r="C1173" s="9"/>
      <c r="D1173" s="9"/>
      <c r="E1173" s="9"/>
      <c r="F1173" s="9"/>
      <c r="G1173" s="9"/>
    </row>
    <row r="1174" spans="3:7">
      <c r="C1174" s="9"/>
      <c r="D1174" s="9"/>
      <c r="E1174" s="9"/>
      <c r="F1174" s="9"/>
      <c r="G1174" s="9"/>
    </row>
    <row r="1175" spans="3:7">
      <c r="C1175" s="9"/>
      <c r="D1175" s="9"/>
      <c r="E1175" s="9"/>
      <c r="F1175" s="9"/>
      <c r="G1175" s="9"/>
    </row>
    <row r="1176" spans="3:7">
      <c r="C1176" s="9"/>
      <c r="D1176" s="9"/>
      <c r="E1176" s="9"/>
      <c r="F1176" s="9"/>
      <c r="G1176" s="9"/>
    </row>
    <row r="1177" spans="3:7">
      <c r="C1177" s="9"/>
      <c r="D1177" s="9"/>
      <c r="E1177" s="9"/>
      <c r="F1177" s="9"/>
      <c r="G1177" s="9"/>
    </row>
    <row r="1178" spans="3:7">
      <c r="C1178" s="9"/>
      <c r="D1178" s="9"/>
      <c r="E1178" s="9"/>
      <c r="F1178" s="9"/>
      <c r="G1178" s="9"/>
    </row>
    <row r="1179" spans="3:7">
      <c r="C1179" s="9"/>
      <c r="D1179" s="9"/>
      <c r="E1179" s="9"/>
      <c r="F1179" s="9"/>
      <c r="G1179" s="9"/>
    </row>
    <row r="1180" spans="3:7">
      <c r="C1180" s="9"/>
      <c r="D1180" s="9"/>
      <c r="E1180" s="9"/>
      <c r="F1180" s="9"/>
      <c r="G1180" s="9"/>
    </row>
    <row r="1181" spans="3:7">
      <c r="C1181" s="9"/>
      <c r="D1181" s="9"/>
      <c r="E1181" s="9"/>
      <c r="F1181" s="9"/>
      <c r="G1181" s="9"/>
    </row>
    <row r="1182" spans="3:7">
      <c r="C1182" s="9"/>
      <c r="D1182" s="9"/>
      <c r="E1182" s="9"/>
      <c r="F1182" s="9"/>
      <c r="G1182" s="9"/>
    </row>
    <row r="1183" spans="3:7">
      <c r="C1183" s="9"/>
      <c r="D1183" s="9"/>
      <c r="E1183" s="9"/>
      <c r="F1183" s="9"/>
      <c r="G1183" s="9"/>
    </row>
    <row r="1184" spans="3:7">
      <c r="C1184" s="9"/>
      <c r="D1184" s="9"/>
      <c r="E1184" s="9"/>
      <c r="F1184" s="9"/>
      <c r="G1184" s="9"/>
    </row>
    <row r="1185" spans="3:7">
      <c r="C1185" s="9"/>
      <c r="D1185" s="9"/>
      <c r="E1185" s="9"/>
      <c r="F1185" s="9"/>
      <c r="G1185" s="10"/>
    </row>
    <row r="1186" spans="3:7">
      <c r="C1186" s="9"/>
      <c r="D1186" s="9"/>
      <c r="E1186" s="9"/>
      <c r="F1186" s="10"/>
      <c r="G1186" s="9"/>
    </row>
    <row r="1187" spans="3:7">
      <c r="C1187" s="9"/>
      <c r="D1187" s="9"/>
      <c r="E1187" s="9"/>
      <c r="F1187" s="10"/>
      <c r="G1187" s="9"/>
    </row>
    <row r="1188" spans="3:7">
      <c r="C1188" s="9"/>
      <c r="D1188" s="9"/>
      <c r="E1188" s="9"/>
      <c r="F1188" s="9"/>
      <c r="G1188" s="9"/>
    </row>
    <row r="1189" spans="3:7">
      <c r="C1189" s="9"/>
      <c r="D1189" s="9"/>
      <c r="E1189" s="9"/>
      <c r="F1189" s="9"/>
      <c r="G1189" s="9"/>
    </row>
    <row r="1190" spans="3:7">
      <c r="C1190" s="9"/>
      <c r="D1190" s="9"/>
      <c r="E1190" s="9"/>
      <c r="F1190" s="9"/>
      <c r="G1190" s="9"/>
    </row>
    <row r="1191" spans="3:7">
      <c r="C1191" s="9"/>
      <c r="D1191" s="9"/>
      <c r="E1191" s="9"/>
      <c r="F1191" s="9"/>
      <c r="G1191" s="9"/>
    </row>
    <row r="1192" spans="3:7">
      <c r="C1192" s="9"/>
      <c r="D1192" s="9"/>
      <c r="E1192" s="9"/>
      <c r="F1192" s="9"/>
      <c r="G1192" s="9"/>
    </row>
    <row r="1193" spans="3:7">
      <c r="C1193" s="9"/>
      <c r="D1193" s="9"/>
      <c r="E1193" s="9"/>
      <c r="F1193" s="9"/>
      <c r="G1193" s="9"/>
    </row>
    <row r="1194" spans="3:7">
      <c r="C1194" s="9"/>
      <c r="D1194" s="9"/>
      <c r="E1194" s="9"/>
      <c r="F1194" s="9"/>
      <c r="G1194" s="9"/>
    </row>
    <row r="1195" spans="3:7">
      <c r="C1195" s="9"/>
      <c r="D1195" s="9"/>
      <c r="E1195" s="9"/>
      <c r="F1195" s="9"/>
      <c r="G1195" s="9"/>
    </row>
    <row r="1196" spans="3:7">
      <c r="C1196" s="9"/>
      <c r="D1196" s="9"/>
      <c r="E1196" s="9"/>
      <c r="F1196" s="9"/>
      <c r="G1196" s="9"/>
    </row>
    <row r="1197" spans="3:7">
      <c r="C1197" s="9"/>
      <c r="D1197" s="9"/>
      <c r="E1197" s="9"/>
      <c r="F1197" s="9"/>
      <c r="G1197" s="9"/>
    </row>
    <row r="1198" spans="3:7">
      <c r="C1198" s="9"/>
      <c r="D1198" s="9"/>
      <c r="E1198" s="9"/>
      <c r="F1198" s="9"/>
      <c r="G1198" s="9"/>
    </row>
    <row r="1199" spans="3:7">
      <c r="C1199" s="9"/>
      <c r="D1199" s="9"/>
      <c r="E1199" s="9"/>
      <c r="F1199" s="9"/>
      <c r="G1199" s="9"/>
    </row>
    <row r="1200" spans="3:7">
      <c r="C1200" s="9"/>
      <c r="D1200" s="9"/>
      <c r="E1200" s="9"/>
      <c r="F1200" s="9"/>
      <c r="G1200" s="9"/>
    </row>
    <row r="1201" spans="3:7">
      <c r="C1201" s="9"/>
      <c r="D1201" s="9"/>
      <c r="E1201" s="9"/>
      <c r="F1201" s="9"/>
      <c r="G1201" s="9"/>
    </row>
    <row r="1202" spans="3:7">
      <c r="C1202" s="9"/>
      <c r="D1202" s="9"/>
      <c r="E1202" s="9"/>
      <c r="F1202" s="9"/>
      <c r="G1202" s="9"/>
    </row>
    <row r="1203" spans="3:7">
      <c r="C1203" s="9"/>
      <c r="D1203" s="9"/>
      <c r="E1203" s="9"/>
      <c r="F1203" s="9"/>
      <c r="G1203" s="9"/>
    </row>
    <row r="1204" spans="3:7">
      <c r="C1204" s="9"/>
      <c r="D1204" s="9"/>
      <c r="E1204" s="9"/>
      <c r="F1204" s="9"/>
      <c r="G1204" s="9"/>
    </row>
    <row r="1205" spans="3:7">
      <c r="C1205" s="9"/>
      <c r="D1205" s="9"/>
      <c r="E1205" s="9"/>
      <c r="F1205" s="9"/>
      <c r="G1205" s="9"/>
    </row>
    <row r="1206" spans="3:7">
      <c r="C1206" s="9"/>
      <c r="D1206" s="9"/>
      <c r="E1206" s="9"/>
      <c r="F1206" s="9"/>
      <c r="G1206" s="9"/>
    </row>
    <row r="1207" spans="3:7">
      <c r="C1207" s="9"/>
      <c r="D1207" s="9"/>
      <c r="E1207" s="9"/>
      <c r="F1207" s="9"/>
      <c r="G1207" s="9"/>
    </row>
    <row r="1208" spans="3:7">
      <c r="C1208" s="9"/>
      <c r="D1208" s="9"/>
      <c r="E1208" s="9"/>
      <c r="F1208" s="9"/>
      <c r="G1208" s="9"/>
    </row>
    <row r="1209" spans="3:7">
      <c r="C1209" s="9"/>
      <c r="D1209" s="9"/>
      <c r="E1209" s="9"/>
      <c r="F1209" s="9"/>
      <c r="G1209" s="9"/>
    </row>
    <row r="1210" spans="3:7">
      <c r="C1210" s="9"/>
      <c r="D1210" s="9"/>
      <c r="E1210" s="9"/>
      <c r="F1210" s="9"/>
      <c r="G1210" s="9"/>
    </row>
    <row r="1211" spans="3:7">
      <c r="C1211" s="9"/>
      <c r="D1211" s="9"/>
      <c r="E1211" s="9"/>
      <c r="F1211" s="9"/>
      <c r="G1211" s="9"/>
    </row>
    <row r="1212" spans="3:7">
      <c r="C1212" s="9"/>
      <c r="D1212" s="9"/>
      <c r="E1212" s="9"/>
      <c r="F1212" s="9"/>
      <c r="G1212" s="9"/>
    </row>
    <row r="1213" spans="3:7">
      <c r="C1213" s="9"/>
      <c r="D1213" s="9"/>
      <c r="E1213" s="9"/>
      <c r="F1213" s="9"/>
      <c r="G1213" s="9"/>
    </row>
    <row r="1214" spans="3:7">
      <c r="C1214" s="9"/>
      <c r="D1214" s="9"/>
      <c r="E1214" s="9"/>
      <c r="F1214" s="9"/>
      <c r="G1214" s="9"/>
    </row>
    <row r="1215" spans="3:7">
      <c r="C1215" s="9"/>
      <c r="D1215" s="9"/>
      <c r="E1215" s="9"/>
      <c r="F1215" s="9"/>
      <c r="G1215" s="9"/>
    </row>
    <row r="1216" spans="3:7">
      <c r="C1216" s="9"/>
      <c r="D1216" s="9"/>
      <c r="E1216" s="9"/>
      <c r="F1216" s="9"/>
      <c r="G1216" s="9"/>
    </row>
    <row r="1217" spans="3:7">
      <c r="C1217" s="9"/>
      <c r="D1217" s="9"/>
      <c r="E1217" s="9"/>
      <c r="F1217" s="9"/>
      <c r="G1217" s="9"/>
    </row>
    <row r="1218" spans="3:7">
      <c r="C1218" s="9"/>
      <c r="D1218" s="9"/>
      <c r="E1218" s="9"/>
      <c r="F1218" s="9"/>
      <c r="G1218" s="9"/>
    </row>
    <row r="1219" spans="3:7">
      <c r="C1219" s="9"/>
      <c r="D1219" s="9"/>
      <c r="E1219" s="9"/>
      <c r="F1219" s="9"/>
      <c r="G1219" s="9"/>
    </row>
    <row r="1220" spans="3:7">
      <c r="C1220" s="9"/>
      <c r="D1220" s="9"/>
      <c r="E1220" s="9"/>
      <c r="F1220" s="9"/>
      <c r="G1220" s="9"/>
    </row>
    <row r="1221" spans="3:7">
      <c r="C1221" s="9"/>
      <c r="D1221" s="9"/>
      <c r="E1221" s="9"/>
      <c r="F1221" s="9"/>
      <c r="G1221" s="9"/>
    </row>
    <row r="1222" spans="3:7">
      <c r="C1222" s="9"/>
      <c r="D1222" s="9"/>
      <c r="E1222" s="9"/>
      <c r="F1222" s="9"/>
      <c r="G1222" s="9"/>
    </row>
    <row r="1223" spans="3:7">
      <c r="C1223" s="9"/>
      <c r="D1223" s="9"/>
      <c r="E1223" s="9"/>
      <c r="F1223" s="9"/>
      <c r="G1223" s="9"/>
    </row>
    <row r="1224" spans="3:7">
      <c r="C1224" s="9"/>
      <c r="D1224" s="9"/>
      <c r="E1224" s="9"/>
      <c r="F1224" s="9"/>
      <c r="G1224" s="9"/>
    </row>
    <row r="1225" spans="3:7">
      <c r="C1225" s="9"/>
      <c r="D1225" s="9"/>
      <c r="E1225" s="9"/>
      <c r="F1225" s="9"/>
      <c r="G1225" s="9"/>
    </row>
    <row r="1226" spans="3:7">
      <c r="C1226" s="9"/>
      <c r="D1226" s="9"/>
      <c r="E1226" s="9"/>
      <c r="F1226" s="9"/>
      <c r="G1226" s="9"/>
    </row>
    <row r="1227" spans="3:7">
      <c r="C1227" s="9"/>
      <c r="D1227" s="9"/>
      <c r="E1227" s="9"/>
      <c r="F1227" s="9"/>
      <c r="G1227" s="9"/>
    </row>
    <row r="1228" spans="3:7">
      <c r="C1228" s="9"/>
      <c r="D1228" s="9"/>
      <c r="E1228" s="9"/>
      <c r="F1228" s="14"/>
      <c r="G1228" s="9"/>
    </row>
    <row r="1229" spans="3:7">
      <c r="C1229" s="9"/>
      <c r="D1229" s="9"/>
      <c r="E1229" s="9"/>
      <c r="F1229" s="14"/>
      <c r="G1229" s="9"/>
    </row>
    <row r="1230" spans="3:7">
      <c r="C1230" s="9"/>
      <c r="D1230" s="9"/>
      <c r="E1230" s="9"/>
      <c r="F1230" s="9"/>
      <c r="G1230" s="9"/>
    </row>
    <row r="1231" spans="3:7">
      <c r="C1231" s="9"/>
      <c r="D1231" s="9"/>
      <c r="E1231" s="9"/>
      <c r="F1231" s="9"/>
      <c r="G1231" s="9"/>
    </row>
    <row r="1232" spans="3:7">
      <c r="C1232" s="9"/>
      <c r="D1232" s="9"/>
      <c r="E1232" s="9"/>
      <c r="F1232" s="9"/>
      <c r="G1232" s="9"/>
    </row>
    <row r="1233" spans="3:7">
      <c r="C1233" s="9"/>
      <c r="D1233" s="9"/>
      <c r="E1233" s="9"/>
      <c r="F1233" s="9"/>
      <c r="G1233" s="9"/>
    </row>
    <row r="1234" spans="3:7">
      <c r="C1234" s="9"/>
      <c r="D1234" s="9"/>
      <c r="E1234" s="9"/>
      <c r="F1234" s="9"/>
      <c r="G1234" s="9"/>
    </row>
    <row r="1235" spans="3:7">
      <c r="C1235" s="9"/>
      <c r="D1235" s="9"/>
      <c r="E1235" s="9"/>
      <c r="F1235" s="9"/>
      <c r="G1235" s="9"/>
    </row>
    <row r="1236" spans="3:7">
      <c r="C1236" s="9"/>
      <c r="D1236" s="9"/>
      <c r="E1236" s="9"/>
      <c r="F1236" s="9"/>
      <c r="G1236" s="9"/>
    </row>
    <row r="1237" spans="3:7">
      <c r="C1237" s="9"/>
      <c r="D1237" s="9"/>
      <c r="E1237" s="9"/>
      <c r="F1237" s="9"/>
      <c r="G1237" s="9"/>
    </row>
    <row r="1238" spans="3:7">
      <c r="C1238" s="9"/>
      <c r="D1238" s="9"/>
      <c r="E1238" s="9"/>
      <c r="F1238" s="9"/>
      <c r="G1238" s="9"/>
    </row>
    <row r="1239" spans="3:7">
      <c r="C1239" s="9"/>
      <c r="D1239" s="9"/>
      <c r="E1239" s="9"/>
      <c r="F1239" s="9"/>
      <c r="G1239" s="9"/>
    </row>
    <row r="1240" spans="3:7">
      <c r="C1240" s="9"/>
      <c r="D1240" s="9"/>
      <c r="E1240" s="9"/>
      <c r="F1240" s="14"/>
      <c r="G1240" s="9"/>
    </row>
    <row r="1241" spans="3:7">
      <c r="C1241" s="9"/>
      <c r="D1241" s="9"/>
      <c r="E1241" s="9"/>
      <c r="F1241" s="9"/>
      <c r="G1241" s="9"/>
    </row>
    <row r="1242" spans="3:7">
      <c r="C1242" s="9"/>
      <c r="D1242" s="9"/>
      <c r="E1242" s="9"/>
      <c r="F1242" s="9"/>
      <c r="G1242" s="9"/>
    </row>
    <row r="1243" spans="3:7">
      <c r="C1243" s="9"/>
      <c r="D1243" s="9"/>
      <c r="E1243" s="9"/>
      <c r="F1243" s="9"/>
      <c r="G1243" s="9"/>
    </row>
    <row r="1244" spans="3:7">
      <c r="C1244" s="9"/>
      <c r="D1244" s="9"/>
      <c r="E1244" s="9"/>
      <c r="F1244" s="9"/>
      <c r="G1244" s="9"/>
    </row>
    <row r="1245" spans="3:7">
      <c r="C1245" s="9"/>
      <c r="D1245" s="9"/>
      <c r="E1245" s="9"/>
      <c r="F1245" s="9"/>
      <c r="G1245" s="9"/>
    </row>
    <row r="1246" spans="3:7">
      <c r="C1246" s="9"/>
      <c r="D1246" s="9"/>
      <c r="E1246" s="9"/>
      <c r="F1246" s="9"/>
      <c r="G1246" s="9"/>
    </row>
    <row r="1247" spans="3:7">
      <c r="C1247" s="9"/>
      <c r="D1247" s="9"/>
      <c r="E1247" s="9"/>
      <c r="F1247" s="9"/>
      <c r="G1247" s="9"/>
    </row>
    <row r="1248" spans="3:7">
      <c r="C1248" s="9"/>
      <c r="D1248" s="9"/>
      <c r="E1248" s="9"/>
      <c r="F1248" s="9"/>
      <c r="G1248" s="9"/>
    </row>
    <row r="1249" spans="3:7">
      <c r="C1249" s="9"/>
      <c r="D1249" s="9"/>
      <c r="E1249" s="9"/>
      <c r="F1249" s="9"/>
      <c r="G1249" s="9"/>
    </row>
    <row r="1250" spans="3:7">
      <c r="C1250" s="9"/>
      <c r="D1250" s="9"/>
      <c r="E1250" s="9"/>
      <c r="F1250" s="9"/>
      <c r="G1250" s="9"/>
    </row>
    <row r="1251" spans="3:7">
      <c r="C1251" s="9"/>
      <c r="D1251" s="9"/>
      <c r="E1251" s="9"/>
      <c r="F1251" s="9"/>
      <c r="G1251" s="9"/>
    </row>
    <row r="1252" spans="3:7">
      <c r="C1252" s="9"/>
      <c r="D1252" s="9"/>
      <c r="E1252" s="9"/>
      <c r="F1252" s="9"/>
      <c r="G1252" s="9"/>
    </row>
    <row r="1253" spans="3:7">
      <c r="C1253" s="9"/>
      <c r="D1253" s="9"/>
      <c r="E1253" s="9"/>
      <c r="F1253" s="9"/>
      <c r="G1253" s="9"/>
    </row>
    <row r="1254" spans="3:7">
      <c r="C1254" s="9"/>
      <c r="D1254" s="9"/>
      <c r="E1254" s="9"/>
      <c r="F1254" s="9"/>
      <c r="G1254" s="9"/>
    </row>
    <row r="1255" spans="3:7">
      <c r="C1255" s="9"/>
      <c r="D1255" s="9"/>
      <c r="E1255" s="9"/>
      <c r="F1255" s="9"/>
      <c r="G1255" s="9"/>
    </row>
    <row r="1256" spans="3:7">
      <c r="C1256" s="9"/>
      <c r="D1256" s="9"/>
      <c r="E1256" s="9"/>
      <c r="F1256" s="9"/>
      <c r="G1256" s="9"/>
    </row>
    <row r="1257" spans="3:7">
      <c r="C1257" s="9"/>
      <c r="D1257" s="9"/>
      <c r="E1257" s="9"/>
      <c r="F1257" s="9"/>
      <c r="G1257" s="9"/>
    </row>
    <row r="1258" spans="3:7">
      <c r="C1258" s="9"/>
      <c r="D1258" s="9"/>
      <c r="E1258" s="9"/>
      <c r="F1258" s="9"/>
      <c r="G1258" s="9"/>
    </row>
    <row r="1259" spans="3:7">
      <c r="C1259" s="9"/>
      <c r="D1259" s="9"/>
      <c r="E1259" s="9"/>
      <c r="F1259" s="9"/>
      <c r="G1259" s="9"/>
    </row>
    <row r="1260" spans="3:7">
      <c r="C1260" s="9"/>
      <c r="D1260" s="9"/>
      <c r="E1260" s="9"/>
      <c r="F1260" s="9"/>
      <c r="G1260" s="9"/>
    </row>
    <row r="1261" spans="3:7">
      <c r="C1261" s="9"/>
      <c r="D1261" s="9"/>
      <c r="E1261" s="9"/>
      <c r="F1261" s="9"/>
      <c r="G1261" s="9"/>
    </row>
    <row r="1262" spans="3:7">
      <c r="C1262" s="9"/>
      <c r="D1262" s="9"/>
      <c r="E1262" s="9"/>
      <c r="F1262" s="9"/>
      <c r="G1262" s="9"/>
    </row>
    <row r="1263" spans="3:7">
      <c r="C1263" s="9"/>
      <c r="D1263" s="9"/>
      <c r="E1263" s="9"/>
      <c r="F1263" s="9"/>
      <c r="G1263" s="9"/>
    </row>
    <row r="1264" spans="3:7">
      <c r="C1264" s="9"/>
      <c r="D1264" s="9"/>
      <c r="E1264" s="9"/>
      <c r="F1264" s="9"/>
      <c r="G1264" s="9"/>
    </row>
    <row r="1265" spans="3:7">
      <c r="C1265" s="9"/>
      <c r="D1265" s="9"/>
      <c r="E1265" s="9"/>
      <c r="F1265" s="9"/>
      <c r="G1265" s="9"/>
    </row>
    <row r="1266" spans="3:7">
      <c r="C1266" s="9"/>
      <c r="D1266" s="9"/>
      <c r="E1266" s="9"/>
      <c r="F1266" s="9"/>
      <c r="G1266" s="9"/>
    </row>
    <row r="1267" spans="3:7">
      <c r="C1267" s="9"/>
      <c r="D1267" s="9"/>
      <c r="E1267" s="9"/>
      <c r="F1267" s="9"/>
      <c r="G1267" s="9"/>
    </row>
    <row r="1268" spans="3:7">
      <c r="C1268" s="9"/>
      <c r="D1268" s="9"/>
      <c r="E1268" s="9"/>
      <c r="F1268" s="9"/>
      <c r="G1268" s="9"/>
    </row>
    <row r="1269" spans="3:7">
      <c r="C1269" s="9"/>
      <c r="D1269" s="9"/>
      <c r="E1269" s="9"/>
      <c r="F1269" s="9"/>
      <c r="G1269" s="9"/>
    </row>
    <row r="1270" spans="3:7">
      <c r="C1270" s="9"/>
      <c r="D1270" s="9"/>
      <c r="E1270" s="9"/>
      <c r="F1270" s="9"/>
      <c r="G1270" s="9"/>
    </row>
    <row r="1271" spans="3:7">
      <c r="C1271" s="9"/>
      <c r="D1271" s="9"/>
      <c r="E1271" s="9"/>
      <c r="F1271" s="9"/>
      <c r="G1271" s="9"/>
    </row>
    <row r="1272" spans="3:7">
      <c r="C1272" s="9"/>
      <c r="D1272" s="9"/>
      <c r="E1272" s="9"/>
      <c r="F1272" s="9"/>
      <c r="G1272" s="9"/>
    </row>
    <row r="1273" spans="3:7">
      <c r="C1273" s="9"/>
      <c r="D1273" s="9"/>
      <c r="E1273" s="9"/>
      <c r="F1273" s="9"/>
      <c r="G1273" s="9"/>
    </row>
    <row r="1274" spans="3:7">
      <c r="C1274" s="9"/>
      <c r="D1274" s="9"/>
      <c r="E1274" s="9"/>
      <c r="F1274" s="9"/>
      <c r="G1274" s="9"/>
    </row>
    <row r="1275" spans="3:7">
      <c r="C1275" s="9"/>
      <c r="D1275" s="9"/>
      <c r="E1275" s="9"/>
      <c r="F1275" s="9"/>
      <c r="G1275" s="9"/>
    </row>
    <row r="1276" spans="3:7">
      <c r="C1276" s="9"/>
      <c r="D1276" s="9"/>
      <c r="E1276" s="9"/>
      <c r="F1276" s="9"/>
      <c r="G1276" s="9"/>
    </row>
    <row r="1277" spans="3:7">
      <c r="C1277" s="9"/>
      <c r="D1277" s="9"/>
      <c r="E1277" s="9"/>
      <c r="F1277" s="9"/>
      <c r="G1277" s="9"/>
    </row>
    <row r="1278" spans="3:7">
      <c r="C1278" s="9"/>
      <c r="D1278" s="9"/>
      <c r="E1278" s="9"/>
      <c r="F1278" s="9"/>
      <c r="G1278" s="9"/>
    </row>
    <row r="1279" spans="3:7">
      <c r="C1279" s="9"/>
      <c r="D1279" s="9"/>
      <c r="E1279" s="9"/>
      <c r="F1279" s="9"/>
      <c r="G1279" s="9"/>
    </row>
    <row r="1280" spans="3:7">
      <c r="C1280" s="9"/>
      <c r="D1280" s="9"/>
      <c r="E1280" s="9"/>
      <c r="F1280" s="9"/>
      <c r="G1280" s="9"/>
    </row>
    <row r="1281" spans="3:7">
      <c r="C1281" s="9"/>
      <c r="D1281" s="9"/>
      <c r="E1281" s="9"/>
      <c r="F1281" s="9"/>
      <c r="G1281" s="9"/>
    </row>
    <row r="1282" spans="3:7">
      <c r="C1282" s="9"/>
      <c r="D1282" s="9"/>
      <c r="E1282" s="9"/>
      <c r="F1282" s="9"/>
      <c r="G1282" s="9"/>
    </row>
    <row r="1283" spans="3:7">
      <c r="C1283" s="9"/>
      <c r="D1283" s="9"/>
      <c r="E1283" s="9"/>
      <c r="F1283" s="9"/>
      <c r="G1283" s="9"/>
    </row>
    <row r="1284" spans="3:7">
      <c r="C1284" s="9"/>
      <c r="D1284" s="9"/>
      <c r="E1284" s="9"/>
      <c r="F1284" s="9"/>
      <c r="G1284" s="9"/>
    </row>
    <row r="1285" spans="3:7">
      <c r="C1285" s="9"/>
      <c r="D1285" s="9"/>
      <c r="E1285" s="9"/>
      <c r="F1285" s="9"/>
      <c r="G1285" s="9"/>
    </row>
    <row r="1286" spans="3:7">
      <c r="C1286" s="9"/>
      <c r="D1286" s="9"/>
      <c r="E1286" s="9"/>
      <c r="F1286" s="9"/>
      <c r="G1286" s="9"/>
    </row>
    <row r="1287" spans="3:7">
      <c r="C1287" s="9"/>
      <c r="D1287" s="9"/>
      <c r="E1287" s="9"/>
      <c r="F1287" s="9"/>
      <c r="G1287" s="9"/>
    </row>
    <row r="1288" spans="3:7">
      <c r="C1288" s="9"/>
      <c r="D1288" s="9"/>
      <c r="E1288" s="9"/>
      <c r="F1288" s="9"/>
      <c r="G1288" s="9"/>
    </row>
    <row r="1289" spans="3:7">
      <c r="C1289" s="9"/>
      <c r="D1289" s="9"/>
      <c r="E1289" s="9"/>
      <c r="F1289" s="9"/>
      <c r="G1289" s="9"/>
    </row>
    <row r="1290" spans="3:7">
      <c r="C1290" s="9"/>
      <c r="D1290" s="9"/>
      <c r="E1290" s="9"/>
      <c r="F1290" s="9"/>
      <c r="G1290" s="9"/>
    </row>
    <row r="1291" spans="3:7">
      <c r="C1291" s="9"/>
      <c r="D1291" s="9"/>
      <c r="E1291" s="9"/>
      <c r="F1291" s="9"/>
      <c r="G1291" s="9"/>
    </row>
    <row r="1292" spans="3:7">
      <c r="C1292" s="9"/>
      <c r="D1292" s="9"/>
      <c r="E1292" s="9"/>
      <c r="F1292" s="9"/>
      <c r="G1292" s="9"/>
    </row>
    <row r="1293" spans="3:7">
      <c r="C1293" s="9"/>
      <c r="D1293" s="9"/>
      <c r="E1293" s="9"/>
      <c r="F1293" s="9"/>
      <c r="G1293" s="9"/>
    </row>
    <row r="1294" spans="3:7">
      <c r="C1294" s="9"/>
      <c r="D1294" s="9"/>
      <c r="E1294" s="9"/>
      <c r="F1294" s="9"/>
      <c r="G1294" s="9"/>
    </row>
    <row r="1295" spans="3:7">
      <c r="C1295" s="9"/>
      <c r="D1295" s="9"/>
      <c r="E1295" s="9"/>
      <c r="F1295" s="9"/>
      <c r="G1295" s="9"/>
    </row>
    <row r="1296" spans="3:7">
      <c r="C1296" s="9"/>
      <c r="D1296" s="9"/>
      <c r="E1296" s="9"/>
      <c r="F1296" s="9"/>
      <c r="G1296" s="9"/>
    </row>
    <row r="1297" spans="3:7">
      <c r="C1297" s="9"/>
      <c r="D1297" s="9"/>
      <c r="E1297" s="9"/>
      <c r="F1297" s="9"/>
      <c r="G1297" s="9"/>
    </row>
    <row r="1298" spans="3:7">
      <c r="C1298" s="9"/>
      <c r="D1298" s="9"/>
      <c r="E1298" s="9"/>
      <c r="F1298" s="9"/>
      <c r="G1298" s="9"/>
    </row>
    <row r="1299" spans="3:7">
      <c r="C1299" s="9"/>
      <c r="D1299" s="9"/>
      <c r="E1299" s="9"/>
      <c r="F1299" s="9"/>
      <c r="G1299" s="9"/>
    </row>
    <row r="1300" spans="3:7">
      <c r="C1300" s="9"/>
      <c r="D1300" s="9"/>
      <c r="E1300" s="9"/>
      <c r="F1300" s="9"/>
      <c r="G1300" s="9"/>
    </row>
    <row r="1301" spans="3:7">
      <c r="C1301" s="9"/>
      <c r="D1301" s="9"/>
      <c r="E1301" s="9"/>
      <c r="F1301" s="9"/>
      <c r="G1301" s="9"/>
    </row>
    <row r="1302" spans="3:7">
      <c r="C1302" s="9"/>
      <c r="D1302" s="9"/>
      <c r="E1302" s="9"/>
      <c r="F1302" s="9"/>
      <c r="G1302" s="9"/>
    </row>
    <row r="1303" spans="3:7">
      <c r="C1303" s="9"/>
      <c r="D1303" s="9"/>
      <c r="E1303" s="9"/>
      <c r="F1303" s="9"/>
      <c r="G1303" s="9"/>
    </row>
    <row r="1304" spans="3:7">
      <c r="C1304" s="9"/>
      <c r="D1304" s="9"/>
      <c r="E1304" s="9"/>
      <c r="F1304" s="9"/>
      <c r="G1304" s="9"/>
    </row>
    <row r="1305" spans="3:7">
      <c r="C1305" s="9"/>
      <c r="D1305" s="9"/>
      <c r="E1305" s="9"/>
      <c r="F1305" s="9"/>
      <c r="G1305" s="9"/>
    </row>
    <row r="1306" spans="3:7">
      <c r="C1306" s="9"/>
      <c r="D1306" s="9"/>
      <c r="E1306" s="9"/>
      <c r="F1306" s="9"/>
      <c r="G1306" s="9"/>
    </row>
    <row r="1307" spans="3:7">
      <c r="C1307" s="9"/>
      <c r="D1307" s="9"/>
      <c r="E1307" s="9"/>
      <c r="F1307" s="9"/>
      <c r="G1307" s="9"/>
    </row>
    <row r="1308" spans="3:7">
      <c r="C1308" s="9"/>
      <c r="D1308" s="9"/>
      <c r="E1308" s="9"/>
      <c r="F1308" s="9"/>
      <c r="G1308" s="9"/>
    </row>
    <row r="1309" spans="3:7">
      <c r="C1309" s="9"/>
      <c r="D1309" s="9"/>
      <c r="E1309" s="9"/>
      <c r="F1309" s="9"/>
      <c r="G1309" s="9"/>
    </row>
    <row r="1310" spans="3:7">
      <c r="C1310" s="9"/>
      <c r="D1310" s="9"/>
      <c r="E1310" s="9"/>
      <c r="F1310" s="9"/>
      <c r="G1310" s="9"/>
    </row>
    <row r="1311" spans="3:7">
      <c r="C1311" s="9"/>
      <c r="D1311" s="9"/>
      <c r="E1311" s="9"/>
      <c r="F1311" s="9"/>
      <c r="G1311" s="9"/>
    </row>
    <row r="1312" spans="3:7">
      <c r="C1312" s="9"/>
      <c r="D1312" s="9"/>
      <c r="E1312" s="9"/>
      <c r="F1312" s="9"/>
      <c r="G1312" s="9"/>
    </row>
    <row r="1313" spans="3:7">
      <c r="C1313" s="9"/>
      <c r="D1313" s="9"/>
      <c r="E1313" s="9"/>
      <c r="F1313" s="9"/>
      <c r="G1313" s="9"/>
    </row>
    <row r="1314" spans="3:7">
      <c r="C1314" s="9"/>
      <c r="D1314" s="9"/>
      <c r="E1314" s="9"/>
      <c r="F1314" s="9"/>
      <c r="G1314" s="9"/>
    </row>
    <row r="1315" spans="3:7">
      <c r="C1315" s="9"/>
      <c r="D1315" s="9"/>
      <c r="E1315" s="9"/>
      <c r="F1315" s="9"/>
      <c r="G1315" s="9"/>
    </row>
    <row r="1316" spans="3:7">
      <c r="C1316" s="9"/>
      <c r="D1316" s="9"/>
      <c r="E1316" s="9"/>
      <c r="F1316" s="9"/>
      <c r="G1316" s="9"/>
    </row>
    <row r="1317" spans="3:7">
      <c r="C1317" s="9"/>
      <c r="D1317" s="9"/>
      <c r="E1317" s="9"/>
      <c r="F1317" s="9"/>
      <c r="G1317" s="9"/>
    </row>
    <row r="1318" spans="3:7">
      <c r="C1318" s="9"/>
      <c r="D1318" s="9"/>
      <c r="E1318" s="9"/>
      <c r="F1318" s="9"/>
      <c r="G1318" s="9"/>
    </row>
    <row r="1319" spans="3:7">
      <c r="C1319" s="9"/>
      <c r="D1319" s="9"/>
      <c r="E1319" s="9"/>
      <c r="F1319" s="9"/>
      <c r="G1319" s="9"/>
    </row>
    <row r="1320" spans="3:7">
      <c r="C1320" s="9"/>
      <c r="D1320" s="9"/>
      <c r="E1320" s="9"/>
      <c r="F1320" s="10"/>
      <c r="G1320" s="9"/>
    </row>
    <row r="1321" spans="3:7">
      <c r="C1321" s="9"/>
      <c r="D1321" s="9"/>
      <c r="E1321" s="9"/>
      <c r="F1321" s="9"/>
      <c r="G1321" s="9"/>
    </row>
    <row r="1322" spans="3:7">
      <c r="C1322" s="9"/>
      <c r="D1322" s="9"/>
      <c r="E1322" s="9"/>
      <c r="F1322" s="9"/>
      <c r="G1322" s="9"/>
    </row>
    <row r="1323" spans="3:7">
      <c r="C1323" s="9"/>
      <c r="D1323" s="9"/>
      <c r="E1323" s="9"/>
      <c r="F1323" s="9"/>
      <c r="G1323" s="9"/>
    </row>
    <row r="1324" spans="3:7">
      <c r="C1324" s="9"/>
      <c r="D1324" s="9"/>
      <c r="E1324" s="9"/>
      <c r="F1324" s="9"/>
      <c r="G1324" s="9"/>
    </row>
    <row r="1325" spans="3:7">
      <c r="C1325" s="9"/>
      <c r="D1325" s="9"/>
      <c r="E1325" s="9"/>
      <c r="F1325" s="9"/>
      <c r="G1325" s="9"/>
    </row>
    <row r="1326" spans="3:7">
      <c r="C1326" s="9"/>
      <c r="D1326" s="9"/>
      <c r="E1326" s="9"/>
      <c r="F1326" s="9"/>
      <c r="G1326" s="9"/>
    </row>
    <row r="1327" spans="3:7">
      <c r="C1327" s="9"/>
      <c r="D1327" s="9"/>
      <c r="E1327" s="9"/>
      <c r="F1327" s="9"/>
      <c r="G1327" s="9"/>
    </row>
    <row r="1328" spans="3:7">
      <c r="C1328" s="9"/>
      <c r="D1328" s="9"/>
      <c r="E1328" s="9"/>
      <c r="F1328" s="9"/>
      <c r="G1328" s="9"/>
    </row>
    <row r="1329" spans="3:7">
      <c r="C1329" s="9"/>
      <c r="D1329" s="9"/>
      <c r="E1329" s="9"/>
      <c r="F1329" s="9"/>
      <c r="G1329" s="9"/>
    </row>
    <row r="1330" spans="3:7">
      <c r="C1330" s="9"/>
      <c r="D1330" s="9"/>
      <c r="E1330" s="9"/>
      <c r="F1330" s="9"/>
      <c r="G1330" s="9"/>
    </row>
    <row r="1331" spans="3:7">
      <c r="C1331" s="9"/>
      <c r="D1331" s="9"/>
      <c r="E1331" s="9"/>
      <c r="F1331" s="9"/>
      <c r="G1331" s="9"/>
    </row>
    <row r="1332" spans="3:7">
      <c r="C1332" s="9"/>
      <c r="D1332" s="9"/>
      <c r="E1332" s="9"/>
      <c r="F1332" s="9"/>
      <c r="G1332" s="9"/>
    </row>
    <row r="1333" spans="3:7">
      <c r="C1333" s="9"/>
      <c r="D1333" s="9"/>
      <c r="E1333" s="9"/>
      <c r="F1333" s="9"/>
      <c r="G1333" s="9"/>
    </row>
    <row r="1334" spans="3:7">
      <c r="C1334" s="9"/>
      <c r="D1334" s="9"/>
      <c r="E1334" s="9"/>
      <c r="F1334" s="9"/>
      <c r="G1334" s="9"/>
    </row>
    <row r="1335" spans="3:7">
      <c r="C1335" s="9"/>
      <c r="D1335" s="9"/>
      <c r="E1335" s="9"/>
      <c r="F1335" s="9"/>
      <c r="G1335" s="9"/>
    </row>
    <row r="1336" spans="3:7">
      <c r="C1336" s="9"/>
      <c r="D1336" s="9"/>
      <c r="E1336" s="9"/>
      <c r="F1336" s="9"/>
      <c r="G1336" s="9"/>
    </row>
    <row r="1337" spans="3:7">
      <c r="C1337" s="9"/>
      <c r="D1337" s="9"/>
      <c r="E1337" s="9"/>
      <c r="F1337" s="9"/>
      <c r="G1337" s="9"/>
    </row>
    <row r="1338" spans="3:7">
      <c r="C1338" s="9"/>
      <c r="D1338" s="9"/>
      <c r="E1338" s="9"/>
      <c r="F1338" s="9"/>
      <c r="G1338" s="9"/>
    </row>
    <row r="1339" spans="3:7">
      <c r="C1339" s="9"/>
      <c r="D1339" s="9"/>
      <c r="E1339" s="9"/>
      <c r="F1339" s="9"/>
      <c r="G1339" s="9"/>
    </row>
    <row r="1340" spans="3:7">
      <c r="C1340" s="9"/>
      <c r="D1340" s="9"/>
      <c r="E1340" s="9"/>
      <c r="F1340" s="9"/>
      <c r="G1340" s="9"/>
    </row>
    <row r="1341" spans="3:7">
      <c r="C1341" s="9"/>
      <c r="D1341" s="9"/>
      <c r="E1341" s="9"/>
      <c r="F1341" s="9"/>
      <c r="G1341" s="9"/>
    </row>
    <row r="1342" spans="3:7">
      <c r="C1342" s="9"/>
      <c r="D1342" s="9"/>
      <c r="E1342" s="9"/>
      <c r="F1342" s="9"/>
      <c r="G1342" s="9"/>
    </row>
    <row r="1343" spans="3:7">
      <c r="C1343" s="9"/>
      <c r="D1343" s="9"/>
      <c r="E1343" s="9"/>
      <c r="F1343" s="9"/>
      <c r="G1343" s="9"/>
    </row>
    <row r="1344" spans="3:7">
      <c r="C1344" s="9"/>
      <c r="D1344" s="9"/>
      <c r="E1344" s="9"/>
      <c r="F1344" s="9"/>
      <c r="G1344" s="9"/>
    </row>
    <row r="1345" spans="3:7">
      <c r="C1345" s="9"/>
      <c r="D1345" s="9"/>
      <c r="E1345" s="9"/>
      <c r="F1345" s="9"/>
      <c r="G1345" s="9"/>
    </row>
    <row r="1346" spans="3:7">
      <c r="C1346" s="9"/>
      <c r="D1346" s="9"/>
      <c r="E1346" s="9"/>
      <c r="F1346" s="9"/>
      <c r="G1346" s="9"/>
    </row>
    <row r="1347" spans="3:7">
      <c r="C1347" s="9"/>
      <c r="D1347" s="9"/>
      <c r="E1347" s="9"/>
      <c r="F1347" s="9"/>
      <c r="G1347" s="9"/>
    </row>
    <row r="1348" spans="3:7">
      <c r="C1348" s="9"/>
      <c r="D1348" s="9"/>
      <c r="E1348" s="9"/>
      <c r="F1348" s="9"/>
      <c r="G1348" s="9"/>
    </row>
    <row r="1349" spans="3:7">
      <c r="C1349" s="9"/>
      <c r="D1349" s="9"/>
      <c r="E1349" s="9"/>
      <c r="F1349" s="9"/>
      <c r="G1349" s="9"/>
    </row>
    <row r="1350" spans="3:7">
      <c r="C1350" s="9"/>
      <c r="D1350" s="9"/>
      <c r="E1350" s="9"/>
      <c r="F1350" s="9"/>
      <c r="G1350" s="9"/>
    </row>
    <row r="1351" spans="3:7">
      <c r="C1351" s="9"/>
      <c r="D1351" s="9"/>
      <c r="E1351" s="9"/>
      <c r="F1351" s="9"/>
      <c r="G1351" s="9"/>
    </row>
    <row r="1352" spans="3:7">
      <c r="C1352" s="9"/>
      <c r="D1352" s="9"/>
      <c r="E1352" s="9"/>
      <c r="F1352" s="9"/>
      <c r="G1352" s="9"/>
    </row>
    <row r="1353" spans="3:7">
      <c r="C1353" s="9"/>
      <c r="D1353" s="9"/>
      <c r="E1353" s="9"/>
      <c r="F1353" s="9"/>
      <c r="G1353" s="9"/>
    </row>
    <row r="1354" spans="3:7">
      <c r="C1354" s="9"/>
      <c r="D1354" s="9"/>
      <c r="E1354" s="9"/>
      <c r="F1354" s="9"/>
      <c r="G1354" s="9"/>
    </row>
    <row r="1355" spans="3:7">
      <c r="C1355" s="9"/>
      <c r="D1355" s="9"/>
      <c r="E1355" s="9"/>
      <c r="F1355" s="9"/>
      <c r="G1355" s="9"/>
    </row>
    <row r="1356" spans="3:7">
      <c r="C1356" s="9"/>
      <c r="D1356" s="9"/>
      <c r="E1356" s="9"/>
      <c r="F1356" s="9"/>
      <c r="G1356" s="9"/>
    </row>
    <row r="1357" spans="3:7">
      <c r="C1357" s="9"/>
      <c r="D1357" s="9"/>
      <c r="E1357" s="9"/>
      <c r="F1357" s="9"/>
      <c r="G1357" s="9"/>
    </row>
    <row r="1358" spans="3:7">
      <c r="C1358" s="9"/>
      <c r="D1358" s="9"/>
      <c r="E1358" s="9"/>
      <c r="F1358" s="9"/>
      <c r="G1358" s="9"/>
    </row>
    <row r="1359" spans="3:7">
      <c r="C1359" s="9"/>
      <c r="D1359" s="9"/>
      <c r="E1359" s="9"/>
      <c r="F1359" s="9"/>
      <c r="G1359" s="9"/>
    </row>
    <row r="1360" spans="3:7">
      <c r="C1360" s="9"/>
      <c r="D1360" s="9"/>
      <c r="E1360" s="9"/>
      <c r="F1360" s="9"/>
      <c r="G1360" s="9"/>
    </row>
    <row r="1361" spans="3:7">
      <c r="C1361" s="9"/>
      <c r="D1361" s="9"/>
      <c r="E1361" s="9"/>
      <c r="F1361" s="9"/>
      <c r="G1361" s="9"/>
    </row>
    <row r="1362" spans="3:7">
      <c r="C1362" s="9"/>
      <c r="D1362" s="9"/>
      <c r="E1362" s="9"/>
      <c r="F1362" s="9"/>
      <c r="G1362" s="9"/>
    </row>
    <row r="1363" spans="3:7">
      <c r="C1363" s="9"/>
      <c r="D1363" s="9"/>
      <c r="E1363" s="9"/>
      <c r="F1363" s="9"/>
      <c r="G1363" s="9"/>
    </row>
    <row r="1364" spans="3:7">
      <c r="C1364" s="9"/>
      <c r="D1364" s="9"/>
      <c r="E1364" s="9"/>
      <c r="F1364" s="9"/>
      <c r="G1364" s="9"/>
    </row>
    <row r="1365" spans="3:7">
      <c r="C1365" s="9"/>
      <c r="D1365" s="9"/>
      <c r="E1365" s="9"/>
      <c r="F1365" s="9"/>
      <c r="G1365" s="9"/>
    </row>
    <row r="1366" spans="3:7">
      <c r="C1366" s="9"/>
      <c r="D1366" s="9"/>
      <c r="E1366" s="9"/>
      <c r="F1366" s="9"/>
      <c r="G1366" s="9"/>
    </row>
    <row r="1367" spans="3:7">
      <c r="C1367" s="9"/>
      <c r="D1367" s="9"/>
      <c r="E1367" s="9"/>
      <c r="F1367" s="9"/>
      <c r="G1367" s="9"/>
    </row>
    <row r="1368" spans="3:7">
      <c r="C1368" s="9"/>
      <c r="D1368" s="9"/>
      <c r="E1368" s="9"/>
      <c r="F1368" s="9"/>
      <c r="G1368" s="9"/>
    </row>
    <row r="1369" spans="3:7">
      <c r="C1369" s="9"/>
      <c r="D1369" s="9"/>
      <c r="E1369" s="9"/>
      <c r="F1369" s="9"/>
      <c r="G1369" s="9"/>
    </row>
    <row r="1370" spans="3:7">
      <c r="C1370" s="9"/>
      <c r="D1370" s="9"/>
      <c r="E1370" s="9"/>
      <c r="F1370" s="9"/>
      <c r="G1370" s="9"/>
    </row>
    <row r="1371" spans="3:7">
      <c r="C1371" s="9"/>
      <c r="D1371" s="9"/>
      <c r="E1371" s="9"/>
      <c r="F1371" s="9"/>
      <c r="G1371" s="9"/>
    </row>
    <row r="1372" spans="3:7">
      <c r="C1372" s="9"/>
      <c r="D1372" s="9"/>
      <c r="E1372" s="9"/>
      <c r="F1372" s="9"/>
      <c r="G1372" s="10"/>
    </row>
    <row r="1373" spans="3:7">
      <c r="C1373" s="9"/>
      <c r="D1373" s="9"/>
      <c r="E1373" s="9"/>
      <c r="F1373" s="9"/>
      <c r="G1373" s="9"/>
    </row>
    <row r="1374" spans="3:7">
      <c r="C1374" s="9"/>
      <c r="D1374" s="9"/>
      <c r="E1374" s="9"/>
      <c r="F1374" s="9"/>
      <c r="G1374" s="9"/>
    </row>
    <row r="1375" spans="3:7">
      <c r="C1375" s="9"/>
      <c r="D1375" s="9"/>
      <c r="E1375" s="9"/>
      <c r="F1375" s="9"/>
      <c r="G1375" s="9"/>
    </row>
    <row r="1376" spans="3:7">
      <c r="C1376" s="9"/>
      <c r="D1376" s="9"/>
      <c r="E1376" s="9"/>
      <c r="F1376" s="9"/>
      <c r="G1376" s="9"/>
    </row>
    <row r="1377" spans="3:7">
      <c r="C1377" s="9"/>
      <c r="D1377" s="9"/>
      <c r="E1377" s="9"/>
      <c r="F1377" s="9"/>
      <c r="G1377" s="9"/>
    </row>
    <row r="1378" spans="3:7">
      <c r="C1378" s="9"/>
      <c r="D1378" s="9"/>
      <c r="E1378" s="9"/>
      <c r="F1378" s="9"/>
      <c r="G1378" s="9"/>
    </row>
    <row r="1379" spans="3:7">
      <c r="C1379" s="9"/>
      <c r="D1379" s="9"/>
      <c r="E1379" s="9"/>
      <c r="F1379" s="9"/>
      <c r="G1379" s="9"/>
    </row>
    <row r="1380" spans="3:7">
      <c r="C1380" s="9"/>
      <c r="D1380" s="9"/>
      <c r="E1380" s="9"/>
      <c r="F1380" s="9"/>
      <c r="G1380" s="9"/>
    </row>
    <row r="1381" spans="3:7">
      <c r="C1381" s="9"/>
      <c r="D1381" s="9"/>
      <c r="E1381" s="9"/>
      <c r="F1381" s="9"/>
      <c r="G1381" s="9"/>
    </row>
    <row r="1382" spans="3:7">
      <c r="C1382" s="9"/>
      <c r="D1382" s="9"/>
      <c r="E1382" s="9"/>
      <c r="F1382" s="9"/>
      <c r="G1382" s="9"/>
    </row>
    <row r="1383" spans="3:7">
      <c r="C1383" s="9"/>
      <c r="D1383" s="9"/>
      <c r="E1383" s="9"/>
      <c r="F1383" s="10"/>
      <c r="G1383" s="9"/>
    </row>
    <row r="1384" spans="3:7">
      <c r="C1384" s="9"/>
      <c r="D1384" s="9"/>
      <c r="E1384" s="9"/>
      <c r="F1384" s="9"/>
      <c r="G1384" s="9"/>
    </row>
    <row r="1385" spans="3:7">
      <c r="C1385" s="9"/>
      <c r="D1385" s="9"/>
      <c r="E1385" s="9"/>
      <c r="F1385" s="9"/>
      <c r="G1385" s="9"/>
    </row>
    <row r="1386" spans="3:7">
      <c r="C1386" s="9"/>
      <c r="D1386" s="9"/>
      <c r="E1386" s="9"/>
      <c r="F1386" s="9"/>
      <c r="G1386" s="9"/>
    </row>
    <row r="1387" spans="3:7">
      <c r="C1387" s="9"/>
      <c r="D1387" s="9"/>
      <c r="E1387" s="9"/>
      <c r="F1387" s="9"/>
      <c r="G1387" s="9"/>
    </row>
    <row r="1388" spans="3:7">
      <c r="C1388" s="9"/>
      <c r="D1388" s="9"/>
      <c r="E1388" s="9"/>
      <c r="F1388" s="9"/>
      <c r="G1388" s="9"/>
    </row>
    <row r="1389" spans="3:7">
      <c r="C1389" s="9"/>
      <c r="D1389" s="9"/>
      <c r="E1389" s="9"/>
      <c r="F1389" s="9"/>
      <c r="G1389" s="9"/>
    </row>
    <row r="1390" spans="3:7">
      <c r="C1390" s="9"/>
      <c r="D1390" s="9"/>
      <c r="E1390" s="9"/>
      <c r="F1390" s="9"/>
      <c r="G1390" s="9"/>
    </row>
    <row r="1391" spans="3:7">
      <c r="C1391" s="9"/>
      <c r="D1391" s="9"/>
      <c r="E1391" s="9"/>
      <c r="F1391" s="10"/>
      <c r="G1391" s="9"/>
    </row>
    <row r="1392" spans="3:7">
      <c r="C1392" s="9"/>
      <c r="D1392" s="9"/>
      <c r="E1392" s="9"/>
      <c r="F1392" s="9"/>
      <c r="G1392" s="9"/>
    </row>
    <row r="1393" spans="3:7">
      <c r="C1393" s="9"/>
      <c r="D1393" s="9"/>
      <c r="E1393" s="9"/>
      <c r="F1393" s="9"/>
      <c r="G1393" s="9"/>
    </row>
    <row r="1394" spans="3:7">
      <c r="C1394" s="9"/>
      <c r="D1394" s="9"/>
      <c r="E1394" s="9"/>
      <c r="F1394" s="9"/>
      <c r="G1394" s="9"/>
    </row>
    <row r="1395" spans="3:7">
      <c r="C1395" s="9"/>
      <c r="D1395" s="9"/>
      <c r="E1395" s="9"/>
      <c r="F1395" s="9"/>
      <c r="G1395" s="9"/>
    </row>
    <row r="1396" spans="3:7">
      <c r="C1396" s="9"/>
      <c r="D1396" s="9"/>
      <c r="E1396" s="9"/>
      <c r="F1396" s="9"/>
      <c r="G1396" s="9"/>
    </row>
    <row r="1397" spans="3:7">
      <c r="C1397" s="9"/>
      <c r="D1397" s="9"/>
      <c r="E1397" s="9"/>
      <c r="F1397" s="9"/>
      <c r="G1397" s="9"/>
    </row>
    <row r="1398" spans="3:7">
      <c r="C1398" s="9"/>
      <c r="D1398" s="9"/>
      <c r="E1398" s="9"/>
      <c r="F1398" s="9"/>
      <c r="G1398" s="9"/>
    </row>
    <row r="1399" spans="3:7">
      <c r="C1399" s="9"/>
      <c r="D1399" s="9"/>
      <c r="E1399" s="9"/>
      <c r="F1399" s="9"/>
      <c r="G1399" s="9"/>
    </row>
    <row r="1400" spans="3:7">
      <c r="C1400" s="9"/>
      <c r="D1400" s="9"/>
      <c r="E1400" s="9"/>
      <c r="F1400" s="9"/>
      <c r="G1400" s="9"/>
    </row>
    <row r="1401" spans="3:7">
      <c r="C1401" s="9"/>
      <c r="D1401" s="9"/>
      <c r="E1401" s="9"/>
      <c r="F1401" s="9"/>
      <c r="G1401" s="9"/>
    </row>
    <row r="1402" spans="3:7">
      <c r="C1402" s="9"/>
      <c r="D1402" s="9"/>
      <c r="E1402" s="9"/>
      <c r="F1402" s="9"/>
      <c r="G1402" s="9"/>
    </row>
    <row r="1403" spans="3:7">
      <c r="C1403" s="9"/>
      <c r="D1403" s="9"/>
      <c r="E1403" s="9"/>
      <c r="F1403" s="9"/>
      <c r="G1403" s="9"/>
    </row>
    <row r="1404" spans="3:7">
      <c r="C1404" s="9"/>
      <c r="D1404" s="9"/>
      <c r="E1404" s="9"/>
      <c r="F1404" s="9"/>
      <c r="G1404" s="9"/>
    </row>
    <row r="1405" spans="3:7">
      <c r="C1405" s="9"/>
      <c r="D1405" s="9"/>
      <c r="E1405" s="9"/>
      <c r="F1405" s="9"/>
      <c r="G1405" s="9"/>
    </row>
    <row r="1406" spans="3:7">
      <c r="C1406" s="9"/>
      <c r="D1406" s="9"/>
      <c r="E1406" s="9"/>
      <c r="F1406" s="9"/>
      <c r="G1406" s="9"/>
    </row>
    <row r="1407" spans="3:7">
      <c r="C1407" s="9"/>
      <c r="D1407" s="9"/>
      <c r="E1407" s="9"/>
      <c r="F1407" s="9"/>
      <c r="G1407" s="9"/>
    </row>
    <row r="1408" spans="3:7">
      <c r="C1408" s="9"/>
      <c r="D1408" s="9"/>
      <c r="E1408" s="9"/>
      <c r="F1408" s="9"/>
      <c r="G1408" s="9"/>
    </row>
    <row r="1409" spans="3:7">
      <c r="C1409" s="9"/>
      <c r="D1409" s="9"/>
      <c r="E1409" s="9"/>
      <c r="F1409" s="9"/>
      <c r="G1409" s="9"/>
    </row>
    <row r="1410" spans="3:7">
      <c r="C1410" s="9"/>
      <c r="D1410" s="9"/>
      <c r="E1410" s="9"/>
      <c r="F1410" s="9"/>
      <c r="G1410" s="9"/>
    </row>
    <row r="1411" spans="3:7">
      <c r="C1411" s="9"/>
      <c r="D1411" s="9"/>
      <c r="E1411" s="9"/>
      <c r="F1411" s="9"/>
      <c r="G1411" s="9"/>
    </row>
    <row r="1412" spans="3:7">
      <c r="C1412" s="9"/>
      <c r="D1412" s="9"/>
      <c r="E1412" s="9"/>
      <c r="F1412" s="9"/>
      <c r="G1412" s="9"/>
    </row>
    <row r="1413" spans="3:7">
      <c r="C1413" s="9"/>
      <c r="D1413" s="9"/>
      <c r="E1413" s="9"/>
      <c r="F1413" s="9"/>
      <c r="G1413" s="9"/>
    </row>
    <row r="1414" spans="3:7">
      <c r="C1414" s="9"/>
      <c r="D1414" s="9"/>
      <c r="E1414" s="9"/>
      <c r="F1414" s="9"/>
      <c r="G1414" s="9"/>
    </row>
    <row r="1415" spans="3:7">
      <c r="C1415" s="9"/>
      <c r="D1415" s="9"/>
      <c r="E1415" s="9"/>
      <c r="F1415" s="9"/>
      <c r="G1415" s="9"/>
    </row>
    <row r="1416" spans="3:7">
      <c r="C1416" s="9"/>
      <c r="D1416" s="9"/>
      <c r="E1416" s="9"/>
      <c r="F1416" s="9"/>
      <c r="G1416" s="9"/>
    </row>
    <row r="1417" spans="3:7">
      <c r="C1417" s="9"/>
      <c r="D1417" s="9"/>
      <c r="E1417" s="9"/>
      <c r="F1417" s="9"/>
      <c r="G1417" s="9"/>
    </row>
    <row r="1418" spans="3:7">
      <c r="C1418" s="9"/>
      <c r="D1418" s="9"/>
      <c r="E1418" s="9"/>
      <c r="F1418" s="9"/>
      <c r="G1418" s="9"/>
    </row>
    <row r="1419" spans="3:7">
      <c r="C1419" s="9"/>
      <c r="D1419" s="9"/>
      <c r="E1419" s="9"/>
      <c r="F1419" s="9"/>
      <c r="G1419" s="9"/>
    </row>
    <row r="1420" spans="3:7">
      <c r="C1420" s="9"/>
      <c r="D1420" s="9"/>
      <c r="E1420" s="9"/>
      <c r="F1420" s="9"/>
      <c r="G1420" s="9"/>
    </row>
    <row r="1421" spans="3:7">
      <c r="C1421" s="9"/>
      <c r="D1421" s="9"/>
      <c r="E1421" s="9"/>
      <c r="F1421" s="9"/>
      <c r="G1421" s="9"/>
    </row>
    <row r="1422" spans="3:7">
      <c r="C1422" s="9"/>
      <c r="D1422" s="9"/>
      <c r="E1422" s="9"/>
      <c r="F1422" s="9"/>
      <c r="G1422" s="9"/>
    </row>
    <row r="1423" spans="3:7">
      <c r="C1423" s="9"/>
      <c r="D1423" s="9"/>
      <c r="E1423" s="9"/>
      <c r="F1423" s="9"/>
      <c r="G1423" s="9"/>
    </row>
    <row r="1424" spans="3:7">
      <c r="C1424" s="9"/>
      <c r="D1424" s="9"/>
      <c r="E1424" s="9"/>
      <c r="F1424" s="9"/>
      <c r="G1424" s="9"/>
    </row>
    <row r="1425" spans="3:7">
      <c r="C1425" s="9"/>
      <c r="D1425" s="9"/>
      <c r="E1425" s="9"/>
      <c r="F1425" s="9"/>
      <c r="G1425" s="9"/>
    </row>
    <row r="1426" spans="3:7">
      <c r="C1426" s="9"/>
      <c r="D1426" s="9"/>
      <c r="E1426" s="9"/>
      <c r="F1426" s="9"/>
      <c r="G1426" s="9"/>
    </row>
    <row r="1427" spans="3:7">
      <c r="C1427" s="9"/>
      <c r="D1427" s="9"/>
      <c r="E1427" s="9"/>
      <c r="F1427" s="9"/>
      <c r="G1427" s="9"/>
    </row>
    <row r="1428" spans="3:7">
      <c r="C1428" s="9"/>
      <c r="D1428" s="9"/>
      <c r="E1428" s="9"/>
      <c r="F1428" s="9"/>
      <c r="G1428" s="9"/>
    </row>
    <row r="1429" spans="3:7">
      <c r="C1429" s="9"/>
      <c r="D1429" s="9"/>
      <c r="E1429" s="9"/>
      <c r="F1429" s="9"/>
      <c r="G1429" s="9"/>
    </row>
    <row r="1430" spans="3:7">
      <c r="C1430" s="9"/>
      <c r="D1430" s="9"/>
      <c r="E1430" s="9"/>
      <c r="F1430" s="9"/>
      <c r="G1430" s="9"/>
    </row>
    <row r="1431" spans="3:7">
      <c r="C1431" s="9"/>
      <c r="D1431" s="9"/>
      <c r="E1431" s="9"/>
      <c r="F1431" s="9"/>
      <c r="G1431" s="9"/>
    </row>
    <row r="1432" spans="3:7">
      <c r="C1432" s="9"/>
      <c r="D1432" s="9"/>
      <c r="E1432" s="9"/>
      <c r="F1432" s="9"/>
      <c r="G1432" s="9"/>
    </row>
    <row r="1433" spans="3:7">
      <c r="C1433" s="9"/>
      <c r="D1433" s="9"/>
      <c r="E1433" s="9"/>
      <c r="F1433" s="9"/>
      <c r="G1433" s="9"/>
    </row>
    <row r="1434" spans="3:7">
      <c r="C1434" s="9"/>
      <c r="D1434" s="9"/>
      <c r="E1434" s="9"/>
      <c r="F1434" s="9"/>
      <c r="G1434" s="9"/>
    </row>
    <row r="1435" spans="3:7">
      <c r="C1435" s="9"/>
      <c r="D1435" s="9"/>
      <c r="E1435" s="9"/>
      <c r="F1435" s="9"/>
      <c r="G1435" s="9"/>
    </row>
    <row r="1436" spans="3:7">
      <c r="C1436" s="9"/>
      <c r="D1436" s="9"/>
      <c r="E1436" s="9"/>
      <c r="F1436" s="9"/>
      <c r="G1436" s="9"/>
    </row>
    <row r="1437" spans="3:7">
      <c r="C1437" s="9"/>
      <c r="D1437" s="9"/>
      <c r="E1437" s="9"/>
      <c r="F1437" s="9"/>
      <c r="G1437" s="9"/>
    </row>
    <row r="1438" spans="3:7">
      <c r="C1438" s="9"/>
      <c r="D1438" s="9"/>
      <c r="E1438" s="9"/>
      <c r="F1438" s="9"/>
      <c r="G1438" s="9"/>
    </row>
    <row r="1439" spans="3:7">
      <c r="C1439" s="9"/>
      <c r="D1439" s="9"/>
      <c r="E1439" s="9"/>
      <c r="F1439" s="9"/>
      <c r="G1439" s="9"/>
    </row>
    <row r="1440" spans="3:7">
      <c r="C1440" s="9"/>
      <c r="D1440" s="9"/>
      <c r="E1440" s="9"/>
      <c r="F1440" s="9"/>
      <c r="G1440" s="9"/>
    </row>
    <row r="1441" spans="3:7">
      <c r="C1441" s="9"/>
      <c r="D1441" s="9"/>
      <c r="E1441" s="9"/>
      <c r="F1441" s="9"/>
      <c r="G1441" s="9"/>
    </row>
    <row r="1442" spans="3:7">
      <c r="C1442" s="9"/>
      <c r="D1442" s="9"/>
      <c r="E1442" s="9"/>
      <c r="F1442" s="9"/>
      <c r="G1442" s="9"/>
    </row>
    <row r="1443" spans="3:7">
      <c r="C1443" s="9"/>
      <c r="D1443" s="9"/>
      <c r="E1443" s="9"/>
      <c r="F1443" s="9"/>
      <c r="G1443" s="9"/>
    </row>
    <row r="1444" spans="3:7">
      <c r="C1444" s="9"/>
      <c r="D1444" s="9"/>
      <c r="E1444" s="9"/>
      <c r="F1444" s="9"/>
      <c r="G1444" s="9"/>
    </row>
    <row r="1445" spans="3:7">
      <c r="C1445" s="9"/>
      <c r="D1445" s="9"/>
      <c r="E1445" s="9"/>
      <c r="F1445" s="9"/>
      <c r="G1445" s="9"/>
    </row>
    <row r="1446" spans="3:7">
      <c r="C1446" s="9"/>
      <c r="D1446" s="9"/>
      <c r="E1446" s="9"/>
      <c r="F1446" s="9"/>
      <c r="G1446" s="9"/>
    </row>
    <row r="1447" spans="3:7">
      <c r="C1447" s="9"/>
      <c r="D1447" s="9"/>
      <c r="E1447" s="9"/>
      <c r="F1447" s="9"/>
      <c r="G1447" s="9"/>
    </row>
    <row r="1448" spans="3:7">
      <c r="C1448" s="9"/>
      <c r="D1448" s="9"/>
      <c r="E1448" s="9"/>
      <c r="F1448" s="9"/>
      <c r="G1448" s="9"/>
    </row>
    <row r="1449" spans="3:7">
      <c r="C1449" s="9"/>
      <c r="D1449" s="9"/>
      <c r="E1449" s="9"/>
      <c r="F1449" s="9"/>
      <c r="G144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47A0-FC3C-8149-840F-7A052F7C469A}">
  <dimension ref="A1:K1841"/>
  <sheetViews>
    <sheetView tabSelected="1" workbookViewId="0">
      <selection activeCell="N2" sqref="N2"/>
    </sheetView>
  </sheetViews>
  <sheetFormatPr defaultColWidth="11" defaultRowHeight="15.95"/>
  <cols>
    <col min="4" max="4" width="13.125" bestFit="1" customWidth="1"/>
    <col min="11" max="11" width="16.875" bestFit="1" customWidth="1"/>
  </cols>
  <sheetData>
    <row r="1" spans="1:11" ht="17.100000000000001" thickBot="1">
      <c r="A1" t="s">
        <v>25</v>
      </c>
      <c r="B1" t="s">
        <v>10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t="s">
        <v>5</v>
      </c>
      <c r="I1" t="s">
        <v>28</v>
      </c>
      <c r="J1" t="s">
        <v>12</v>
      </c>
      <c r="K1" t="s">
        <v>7</v>
      </c>
    </row>
    <row r="2" spans="1:11">
      <c r="A2">
        <v>1</v>
      </c>
      <c r="B2" t="s">
        <v>18</v>
      </c>
      <c r="C2" s="6">
        <v>1</v>
      </c>
      <c r="D2" s="7" t="s">
        <v>16</v>
      </c>
      <c r="E2" s="7" t="s">
        <v>19</v>
      </c>
      <c r="F2" s="7">
        <v>7</v>
      </c>
      <c r="G2" s="7"/>
      <c r="H2" s="15">
        <v>9.9999999999999995E-7</v>
      </c>
      <c r="I2">
        <f>AVERAGE(F2:G2)</f>
        <v>7</v>
      </c>
      <c r="J2">
        <v>10</v>
      </c>
      <c r="K2" s="16">
        <f>I2/(H2*(J2/1000))</f>
        <v>700000000</v>
      </c>
    </row>
    <row r="3" spans="1:11">
      <c r="A3">
        <v>1</v>
      </c>
      <c r="B3" t="s">
        <v>18</v>
      </c>
      <c r="C3" s="8">
        <v>1</v>
      </c>
      <c r="D3" s="9" t="s">
        <v>16</v>
      </c>
      <c r="E3" s="9" t="s">
        <v>20</v>
      </c>
      <c r="F3" s="9">
        <v>2</v>
      </c>
      <c r="G3" s="9"/>
      <c r="H3" s="17">
        <v>9.9999999999999995E-7</v>
      </c>
      <c r="I3">
        <f t="shared" ref="I3:I39" si="0">AVERAGE(F3:G3)</f>
        <v>2</v>
      </c>
      <c r="J3">
        <v>10</v>
      </c>
      <c r="K3" s="16">
        <f t="shared" ref="K3:L18" si="1">I3/(H3*(J3/1000))</f>
        <v>200000000</v>
      </c>
    </row>
    <row r="4" spans="1:11">
      <c r="A4">
        <v>1</v>
      </c>
      <c r="B4" t="s">
        <v>18</v>
      </c>
      <c r="C4" s="8">
        <v>1</v>
      </c>
      <c r="D4" s="9" t="s">
        <v>16</v>
      </c>
      <c r="E4" s="9" t="s">
        <v>21</v>
      </c>
      <c r="F4" s="9">
        <v>4</v>
      </c>
      <c r="G4" s="9"/>
      <c r="H4" s="17">
        <v>9.9999999999999995E-7</v>
      </c>
      <c r="I4">
        <f t="shared" si="0"/>
        <v>4</v>
      </c>
      <c r="J4">
        <v>10</v>
      </c>
      <c r="K4" s="16">
        <f t="shared" si="1"/>
        <v>400000000</v>
      </c>
    </row>
    <row r="5" spans="1:11">
      <c r="A5">
        <v>1</v>
      </c>
      <c r="B5" t="s">
        <v>18</v>
      </c>
      <c r="C5" s="8">
        <v>1</v>
      </c>
      <c r="D5" s="9" t="s">
        <v>16</v>
      </c>
      <c r="E5" s="9" t="s">
        <v>22</v>
      </c>
      <c r="F5" s="9">
        <v>4</v>
      </c>
      <c r="G5" s="9"/>
      <c r="H5" s="17">
        <v>9.9999999999999995E-7</v>
      </c>
      <c r="I5">
        <f t="shared" si="0"/>
        <v>4</v>
      </c>
      <c r="J5">
        <v>10</v>
      </c>
      <c r="K5" s="16">
        <f t="shared" si="1"/>
        <v>400000000</v>
      </c>
    </row>
    <row r="6" spans="1:11">
      <c r="A6">
        <v>1</v>
      </c>
      <c r="B6" t="s">
        <v>18</v>
      </c>
      <c r="C6" s="8">
        <v>1</v>
      </c>
      <c r="D6" s="9" t="s">
        <v>16</v>
      </c>
      <c r="E6" s="9">
        <v>1</v>
      </c>
      <c r="F6" s="9">
        <v>2</v>
      </c>
      <c r="G6" s="9"/>
      <c r="H6" s="17">
        <v>9.9999999999999995E-7</v>
      </c>
      <c r="I6">
        <f t="shared" si="0"/>
        <v>2</v>
      </c>
      <c r="J6">
        <v>10</v>
      </c>
      <c r="K6" s="16">
        <f t="shared" si="1"/>
        <v>200000000</v>
      </c>
    </row>
    <row r="7" spans="1:11">
      <c r="A7">
        <v>1</v>
      </c>
      <c r="B7" t="s">
        <v>18</v>
      </c>
      <c r="C7" s="8">
        <v>1</v>
      </c>
      <c r="D7" s="9" t="s">
        <v>16</v>
      </c>
      <c r="E7" s="9">
        <v>2</v>
      </c>
      <c r="F7" s="9">
        <v>3</v>
      </c>
      <c r="G7" s="9"/>
      <c r="H7" s="17">
        <v>9.9999999999999995E-7</v>
      </c>
      <c r="I7">
        <f t="shared" si="0"/>
        <v>3</v>
      </c>
      <c r="J7">
        <v>10</v>
      </c>
      <c r="K7" s="16">
        <f t="shared" si="1"/>
        <v>300000000</v>
      </c>
    </row>
    <row r="8" spans="1:11">
      <c r="A8">
        <v>1</v>
      </c>
      <c r="B8" t="s">
        <v>18</v>
      </c>
      <c r="C8" s="8">
        <v>1</v>
      </c>
      <c r="D8" s="9" t="s">
        <v>16</v>
      </c>
      <c r="E8" s="9">
        <v>3</v>
      </c>
      <c r="F8" s="9">
        <v>5</v>
      </c>
      <c r="G8" s="9"/>
      <c r="H8" s="17">
        <v>9.9999999999999995E-7</v>
      </c>
      <c r="I8">
        <f t="shared" si="0"/>
        <v>5</v>
      </c>
      <c r="J8">
        <v>10</v>
      </c>
      <c r="K8" s="16">
        <f t="shared" si="1"/>
        <v>500000000</v>
      </c>
    </row>
    <row r="9" spans="1:11">
      <c r="A9">
        <v>1</v>
      </c>
      <c r="B9" t="s">
        <v>18</v>
      </c>
      <c r="C9" s="8">
        <v>1</v>
      </c>
      <c r="D9" s="9" t="s">
        <v>16</v>
      </c>
      <c r="E9" s="9">
        <v>4</v>
      </c>
      <c r="F9" s="9">
        <v>4</v>
      </c>
      <c r="G9" s="9"/>
      <c r="H9" s="17">
        <v>9.9999999999999995E-7</v>
      </c>
      <c r="I9">
        <f t="shared" si="0"/>
        <v>4</v>
      </c>
      <c r="J9">
        <v>10</v>
      </c>
      <c r="K9" s="16">
        <f t="shared" si="1"/>
        <v>400000000</v>
      </c>
    </row>
    <row r="10" spans="1:11">
      <c r="A10">
        <v>1</v>
      </c>
      <c r="B10" t="s">
        <v>18</v>
      </c>
      <c r="C10" s="8">
        <v>1</v>
      </c>
      <c r="D10" s="9" t="s">
        <v>16</v>
      </c>
      <c r="E10" s="9">
        <v>5</v>
      </c>
      <c r="F10" s="9">
        <v>24</v>
      </c>
      <c r="G10" s="10">
        <v>50</v>
      </c>
      <c r="H10" s="17">
        <v>1.0000000000000001E-5</v>
      </c>
      <c r="I10">
        <f t="shared" si="0"/>
        <v>37</v>
      </c>
      <c r="J10">
        <v>10</v>
      </c>
      <c r="K10" s="16">
        <f t="shared" si="1"/>
        <v>369999999.99999994</v>
      </c>
    </row>
    <row r="11" spans="1:11">
      <c r="A11">
        <v>1</v>
      </c>
      <c r="B11" t="s">
        <v>18</v>
      </c>
      <c r="C11" s="8">
        <v>1</v>
      </c>
      <c r="D11" s="9" t="s">
        <v>16</v>
      </c>
      <c r="E11" s="9">
        <v>6</v>
      </c>
      <c r="F11" s="9">
        <v>29</v>
      </c>
      <c r="G11" s="10">
        <v>10</v>
      </c>
      <c r="H11" s="17">
        <v>1.0000000000000001E-5</v>
      </c>
      <c r="I11">
        <f t="shared" si="0"/>
        <v>19.5</v>
      </c>
      <c r="J11">
        <v>10</v>
      </c>
      <c r="K11" s="16">
        <f t="shared" si="1"/>
        <v>194999999.99999997</v>
      </c>
    </row>
    <row r="12" spans="1:11">
      <c r="A12">
        <v>1</v>
      </c>
      <c r="B12" t="s">
        <v>18</v>
      </c>
      <c r="C12" s="8">
        <v>1</v>
      </c>
      <c r="D12" s="9" t="s">
        <v>16</v>
      </c>
      <c r="E12" s="9">
        <v>7</v>
      </c>
      <c r="F12" s="9">
        <v>22</v>
      </c>
      <c r="G12" s="9"/>
      <c r="H12" s="17">
        <v>1.0000000000000001E-5</v>
      </c>
      <c r="I12">
        <f t="shared" si="0"/>
        <v>22</v>
      </c>
      <c r="J12">
        <v>10</v>
      </c>
      <c r="K12" s="16">
        <f t="shared" si="1"/>
        <v>219999999.99999997</v>
      </c>
    </row>
    <row r="13" spans="1:11">
      <c r="A13">
        <v>1</v>
      </c>
      <c r="B13" t="s">
        <v>18</v>
      </c>
      <c r="C13" s="8">
        <v>1</v>
      </c>
      <c r="D13" s="9" t="s">
        <v>16</v>
      </c>
      <c r="E13" s="9">
        <v>8</v>
      </c>
      <c r="F13" s="9">
        <v>31</v>
      </c>
      <c r="G13" s="9"/>
      <c r="H13" s="17">
        <v>1.0000000000000001E-5</v>
      </c>
      <c r="I13">
        <f t="shared" si="0"/>
        <v>31</v>
      </c>
      <c r="J13">
        <v>10</v>
      </c>
      <c r="K13" s="16">
        <f t="shared" si="1"/>
        <v>310000000</v>
      </c>
    </row>
    <row r="14" spans="1:11">
      <c r="A14">
        <v>1</v>
      </c>
      <c r="B14" t="s">
        <v>18</v>
      </c>
      <c r="C14" s="8">
        <v>1</v>
      </c>
      <c r="D14" s="9" t="s">
        <v>16</v>
      </c>
      <c r="E14" s="9">
        <v>9</v>
      </c>
      <c r="F14" s="9">
        <v>2</v>
      </c>
      <c r="G14" s="9"/>
      <c r="H14" s="17">
        <v>9.9999999999999995E-7</v>
      </c>
      <c r="I14">
        <f t="shared" si="0"/>
        <v>2</v>
      </c>
      <c r="J14">
        <v>10</v>
      </c>
      <c r="K14" s="16">
        <f t="shared" si="1"/>
        <v>200000000</v>
      </c>
    </row>
    <row r="15" spans="1:11">
      <c r="A15">
        <v>1</v>
      </c>
      <c r="B15" t="s">
        <v>18</v>
      </c>
      <c r="C15" s="8">
        <v>1</v>
      </c>
      <c r="D15" s="9" t="s">
        <v>16</v>
      </c>
      <c r="E15" s="9">
        <v>10</v>
      </c>
      <c r="F15" s="9">
        <v>4</v>
      </c>
      <c r="G15" s="9"/>
      <c r="H15" s="17">
        <v>9.9999999999999995E-7</v>
      </c>
      <c r="I15">
        <f t="shared" si="0"/>
        <v>4</v>
      </c>
      <c r="J15">
        <v>10</v>
      </c>
      <c r="K15" s="16">
        <f t="shared" si="1"/>
        <v>400000000</v>
      </c>
    </row>
    <row r="16" spans="1:11">
      <c r="A16">
        <v>1</v>
      </c>
      <c r="B16" t="s">
        <v>18</v>
      </c>
      <c r="C16" s="6">
        <v>1.5</v>
      </c>
      <c r="D16" s="7" t="s">
        <v>16</v>
      </c>
      <c r="E16" s="7">
        <v>1</v>
      </c>
      <c r="F16" s="7">
        <v>5</v>
      </c>
      <c r="G16" s="7">
        <v>7</v>
      </c>
      <c r="H16" s="15">
        <v>0.01</v>
      </c>
      <c r="I16">
        <f t="shared" si="0"/>
        <v>6</v>
      </c>
      <c r="J16">
        <v>10</v>
      </c>
      <c r="K16" s="16">
        <f t="shared" si="1"/>
        <v>60000</v>
      </c>
    </row>
    <row r="17" spans="1:11">
      <c r="A17">
        <v>1</v>
      </c>
      <c r="B17" t="s">
        <v>18</v>
      </c>
      <c r="C17" s="8">
        <v>1.5</v>
      </c>
      <c r="D17" s="9" t="s">
        <v>16</v>
      </c>
      <c r="E17" s="9">
        <v>2</v>
      </c>
      <c r="F17" s="9">
        <v>3</v>
      </c>
      <c r="G17" s="9">
        <v>4</v>
      </c>
      <c r="H17" s="17">
        <v>0.01</v>
      </c>
      <c r="I17">
        <f t="shared" si="0"/>
        <v>3.5</v>
      </c>
      <c r="J17">
        <v>10</v>
      </c>
      <c r="K17" s="16">
        <f t="shared" si="1"/>
        <v>35000</v>
      </c>
    </row>
    <row r="18" spans="1:11">
      <c r="A18">
        <v>1</v>
      </c>
      <c r="B18" t="s">
        <v>18</v>
      </c>
      <c r="C18" s="8">
        <v>1.5</v>
      </c>
      <c r="D18" s="9" t="s">
        <v>16</v>
      </c>
      <c r="E18" s="9">
        <v>3</v>
      </c>
      <c r="F18" s="9">
        <v>12</v>
      </c>
      <c r="G18" s="9">
        <v>6</v>
      </c>
      <c r="H18" s="17">
        <v>0.01</v>
      </c>
      <c r="I18">
        <f t="shared" si="0"/>
        <v>9</v>
      </c>
      <c r="J18">
        <v>10</v>
      </c>
      <c r="K18" s="16">
        <f t="shared" si="1"/>
        <v>90000</v>
      </c>
    </row>
    <row r="19" spans="1:11">
      <c r="A19">
        <v>1</v>
      </c>
      <c r="B19" t="s">
        <v>18</v>
      </c>
      <c r="C19" s="8">
        <v>1.5</v>
      </c>
      <c r="D19" s="9" t="s">
        <v>16</v>
      </c>
      <c r="E19" s="9">
        <v>4</v>
      </c>
      <c r="F19" s="9">
        <v>14</v>
      </c>
      <c r="G19" s="9">
        <v>9</v>
      </c>
      <c r="H19" s="17">
        <v>0.01</v>
      </c>
      <c r="I19">
        <f t="shared" si="0"/>
        <v>11.5</v>
      </c>
      <c r="J19">
        <v>10</v>
      </c>
      <c r="K19" s="16">
        <f t="shared" ref="K19:K82" si="2">I19/(H19*(J19/1000))</f>
        <v>115000</v>
      </c>
    </row>
    <row r="20" spans="1:11">
      <c r="A20">
        <v>1</v>
      </c>
      <c r="B20" t="s">
        <v>18</v>
      </c>
      <c r="C20" s="8">
        <v>1.5</v>
      </c>
      <c r="D20" s="9" t="s">
        <v>16</v>
      </c>
      <c r="E20" s="9">
        <v>5</v>
      </c>
      <c r="F20" s="9">
        <v>3</v>
      </c>
      <c r="G20" s="9">
        <v>6</v>
      </c>
      <c r="H20" s="17">
        <v>0.01</v>
      </c>
      <c r="I20">
        <f t="shared" si="0"/>
        <v>4.5</v>
      </c>
      <c r="J20">
        <v>10</v>
      </c>
      <c r="K20" s="16">
        <f t="shared" si="2"/>
        <v>45000</v>
      </c>
    </row>
    <row r="21" spans="1:11">
      <c r="A21">
        <v>1</v>
      </c>
      <c r="B21" t="s">
        <v>18</v>
      </c>
      <c r="C21" s="8">
        <v>1.5</v>
      </c>
      <c r="D21" s="9" t="s">
        <v>16</v>
      </c>
      <c r="E21" s="9">
        <v>6</v>
      </c>
      <c r="F21" s="9">
        <v>14</v>
      </c>
      <c r="G21" s="9"/>
      <c r="H21" s="17">
        <v>0.01</v>
      </c>
      <c r="I21">
        <f t="shared" si="0"/>
        <v>14</v>
      </c>
      <c r="J21">
        <v>10</v>
      </c>
      <c r="K21" s="16">
        <f t="shared" si="2"/>
        <v>140000</v>
      </c>
    </row>
    <row r="22" spans="1:11">
      <c r="A22">
        <v>1</v>
      </c>
      <c r="B22" t="s">
        <v>18</v>
      </c>
      <c r="C22" s="8">
        <v>1.5</v>
      </c>
      <c r="D22" s="9" t="s">
        <v>16</v>
      </c>
      <c r="E22" s="9">
        <v>7</v>
      </c>
      <c r="F22" s="9">
        <v>16</v>
      </c>
      <c r="G22" s="9">
        <v>12</v>
      </c>
      <c r="H22" s="17">
        <v>0.01</v>
      </c>
      <c r="I22">
        <f t="shared" si="0"/>
        <v>14</v>
      </c>
      <c r="J22">
        <v>10</v>
      </c>
      <c r="K22" s="16">
        <f t="shared" si="2"/>
        <v>140000</v>
      </c>
    </row>
    <row r="23" spans="1:11">
      <c r="A23">
        <v>1</v>
      </c>
      <c r="B23" t="s">
        <v>18</v>
      </c>
      <c r="C23" s="8">
        <v>1.5</v>
      </c>
      <c r="D23" s="9" t="s">
        <v>16</v>
      </c>
      <c r="E23" s="9">
        <v>8</v>
      </c>
      <c r="F23" s="9">
        <v>11</v>
      </c>
      <c r="G23" s="9">
        <v>13</v>
      </c>
      <c r="H23" s="17">
        <v>0.1</v>
      </c>
      <c r="I23">
        <f t="shared" si="0"/>
        <v>12</v>
      </c>
      <c r="J23">
        <v>10</v>
      </c>
      <c r="K23" s="16">
        <f t="shared" si="2"/>
        <v>12000</v>
      </c>
    </row>
    <row r="24" spans="1:11">
      <c r="A24">
        <v>1</v>
      </c>
      <c r="B24" t="s">
        <v>18</v>
      </c>
      <c r="C24" s="8">
        <v>1.5</v>
      </c>
      <c r="D24" s="9" t="s">
        <v>16</v>
      </c>
      <c r="E24" s="9">
        <v>9</v>
      </c>
      <c r="F24" s="9">
        <v>4</v>
      </c>
      <c r="G24" s="9">
        <v>5</v>
      </c>
      <c r="H24" s="17">
        <v>0.01</v>
      </c>
      <c r="I24">
        <f t="shared" si="0"/>
        <v>4.5</v>
      </c>
      <c r="J24">
        <v>10</v>
      </c>
      <c r="K24" s="16">
        <f t="shared" si="2"/>
        <v>45000</v>
      </c>
    </row>
    <row r="25" spans="1:11">
      <c r="A25">
        <v>1</v>
      </c>
      <c r="B25" t="s">
        <v>18</v>
      </c>
      <c r="C25" s="8">
        <v>1.5</v>
      </c>
      <c r="D25" s="9" t="s">
        <v>16</v>
      </c>
      <c r="E25" s="9">
        <v>10</v>
      </c>
      <c r="F25" s="9">
        <v>11</v>
      </c>
      <c r="G25" s="9"/>
      <c r="H25" s="17">
        <v>0.01</v>
      </c>
      <c r="I25">
        <f t="shared" si="0"/>
        <v>11</v>
      </c>
      <c r="J25">
        <v>10</v>
      </c>
      <c r="K25" s="16">
        <f t="shared" si="2"/>
        <v>110000</v>
      </c>
    </row>
    <row r="26" spans="1:11">
      <c r="A26">
        <v>1</v>
      </c>
      <c r="B26" t="s">
        <v>18</v>
      </c>
      <c r="C26" s="6">
        <v>2</v>
      </c>
      <c r="D26" s="7" t="s">
        <v>16</v>
      </c>
      <c r="E26" s="7" t="s">
        <v>19</v>
      </c>
      <c r="F26" s="7">
        <v>21</v>
      </c>
      <c r="G26" s="7">
        <v>20</v>
      </c>
      <c r="H26" s="15">
        <v>1.0000000000000001E-5</v>
      </c>
      <c r="I26">
        <f t="shared" si="0"/>
        <v>20.5</v>
      </c>
      <c r="J26">
        <v>10</v>
      </c>
      <c r="K26" s="16">
        <f t="shared" si="2"/>
        <v>204999999.99999997</v>
      </c>
    </row>
    <row r="27" spans="1:11">
      <c r="A27">
        <v>1</v>
      </c>
      <c r="B27" t="s">
        <v>18</v>
      </c>
      <c r="C27" s="8">
        <v>2</v>
      </c>
      <c r="D27" s="9" t="s">
        <v>16</v>
      </c>
      <c r="E27" s="9" t="s">
        <v>20</v>
      </c>
      <c r="F27" s="9">
        <v>23</v>
      </c>
      <c r="G27" s="10">
        <v>40</v>
      </c>
      <c r="H27" s="17">
        <v>1.0000000000000001E-5</v>
      </c>
      <c r="I27">
        <f t="shared" si="0"/>
        <v>31.5</v>
      </c>
      <c r="J27">
        <v>10</v>
      </c>
      <c r="K27" s="16">
        <f t="shared" si="2"/>
        <v>315000000</v>
      </c>
    </row>
    <row r="28" spans="1:11">
      <c r="A28">
        <v>1</v>
      </c>
      <c r="B28" t="s">
        <v>18</v>
      </c>
      <c r="C28" s="8">
        <v>2</v>
      </c>
      <c r="D28" s="9" t="s">
        <v>16</v>
      </c>
      <c r="E28" s="9" t="s">
        <v>21</v>
      </c>
      <c r="F28" s="9">
        <v>32</v>
      </c>
      <c r="G28" s="9">
        <v>28</v>
      </c>
      <c r="H28" s="17">
        <v>1.0000000000000001E-5</v>
      </c>
      <c r="I28">
        <f t="shared" si="0"/>
        <v>30</v>
      </c>
      <c r="J28">
        <v>10</v>
      </c>
      <c r="K28" s="16">
        <f t="shared" si="2"/>
        <v>300000000</v>
      </c>
    </row>
    <row r="29" spans="1:11">
      <c r="A29">
        <v>1</v>
      </c>
      <c r="B29" t="s">
        <v>18</v>
      </c>
      <c r="C29" s="8">
        <v>2</v>
      </c>
      <c r="D29" s="9" t="s">
        <v>16</v>
      </c>
      <c r="E29" s="9" t="s">
        <v>22</v>
      </c>
      <c r="F29" s="9">
        <v>23</v>
      </c>
      <c r="G29" s="9">
        <v>24</v>
      </c>
      <c r="H29" s="17">
        <v>1.0000000000000001E-5</v>
      </c>
      <c r="I29">
        <f t="shared" si="0"/>
        <v>23.5</v>
      </c>
      <c r="J29">
        <v>10</v>
      </c>
      <c r="K29" s="16">
        <f t="shared" si="2"/>
        <v>234999999.99999997</v>
      </c>
    </row>
    <row r="30" spans="1:11">
      <c r="A30">
        <v>1</v>
      </c>
      <c r="B30" t="s">
        <v>18</v>
      </c>
      <c r="C30" s="8">
        <v>2</v>
      </c>
      <c r="D30" s="9" t="s">
        <v>16</v>
      </c>
      <c r="E30" s="9">
        <v>1</v>
      </c>
      <c r="F30" s="9">
        <v>20</v>
      </c>
      <c r="G30" s="9">
        <v>17</v>
      </c>
      <c r="H30" s="17">
        <v>1.0000000000000001E-5</v>
      </c>
      <c r="I30">
        <f t="shared" si="0"/>
        <v>18.5</v>
      </c>
      <c r="J30">
        <v>10</v>
      </c>
      <c r="K30" s="16">
        <f t="shared" si="2"/>
        <v>184999999.99999997</v>
      </c>
    </row>
    <row r="31" spans="1:11">
      <c r="A31">
        <v>1</v>
      </c>
      <c r="B31" t="s">
        <v>18</v>
      </c>
      <c r="C31" s="8">
        <v>2</v>
      </c>
      <c r="D31" s="9" t="s">
        <v>16</v>
      </c>
      <c r="E31" s="9">
        <v>2</v>
      </c>
      <c r="F31" s="9">
        <v>16</v>
      </c>
      <c r="G31" s="9">
        <v>19</v>
      </c>
      <c r="H31" s="17">
        <v>1.0000000000000001E-5</v>
      </c>
      <c r="I31">
        <f t="shared" si="0"/>
        <v>17.5</v>
      </c>
      <c r="J31">
        <v>10</v>
      </c>
      <c r="K31" s="16">
        <f t="shared" si="2"/>
        <v>174999999.99999997</v>
      </c>
    </row>
    <row r="32" spans="1:11">
      <c r="A32">
        <v>1</v>
      </c>
      <c r="B32" t="s">
        <v>18</v>
      </c>
      <c r="C32" s="8">
        <v>2</v>
      </c>
      <c r="D32" s="9" t="s">
        <v>16</v>
      </c>
      <c r="E32" s="9">
        <v>3</v>
      </c>
      <c r="F32" s="9">
        <v>22</v>
      </c>
      <c r="G32" s="9">
        <v>25</v>
      </c>
      <c r="H32" s="17">
        <v>1.0000000000000001E-5</v>
      </c>
      <c r="I32">
        <f t="shared" si="0"/>
        <v>23.5</v>
      </c>
      <c r="J32">
        <v>10</v>
      </c>
      <c r="K32" s="16">
        <f t="shared" si="2"/>
        <v>234999999.99999997</v>
      </c>
    </row>
    <row r="33" spans="1:11">
      <c r="A33">
        <v>1</v>
      </c>
      <c r="B33" t="s">
        <v>18</v>
      </c>
      <c r="C33" s="8">
        <v>2</v>
      </c>
      <c r="D33" s="9" t="s">
        <v>16</v>
      </c>
      <c r="E33" s="9">
        <v>4</v>
      </c>
      <c r="F33" s="9">
        <v>17</v>
      </c>
      <c r="G33" s="9">
        <v>18</v>
      </c>
      <c r="H33" s="17">
        <v>1.0000000000000001E-5</v>
      </c>
      <c r="I33">
        <f t="shared" si="0"/>
        <v>17.5</v>
      </c>
      <c r="J33">
        <v>10</v>
      </c>
      <c r="K33" s="16">
        <f t="shared" si="2"/>
        <v>174999999.99999997</v>
      </c>
    </row>
    <row r="34" spans="1:11">
      <c r="A34">
        <v>1</v>
      </c>
      <c r="B34" t="s">
        <v>18</v>
      </c>
      <c r="C34" s="8">
        <v>2</v>
      </c>
      <c r="D34" s="9" t="s">
        <v>16</v>
      </c>
      <c r="E34" s="9">
        <v>5</v>
      </c>
      <c r="F34" s="9">
        <v>31</v>
      </c>
      <c r="G34" s="9">
        <v>20</v>
      </c>
      <c r="H34" s="17">
        <v>1.0000000000000001E-5</v>
      </c>
      <c r="I34">
        <f t="shared" si="0"/>
        <v>25.5</v>
      </c>
      <c r="J34">
        <v>10</v>
      </c>
      <c r="K34" s="16">
        <f t="shared" si="2"/>
        <v>254999999.99999997</v>
      </c>
    </row>
    <row r="35" spans="1:11">
      <c r="A35">
        <v>1</v>
      </c>
      <c r="B35" t="s">
        <v>18</v>
      </c>
      <c r="C35" s="8">
        <v>2</v>
      </c>
      <c r="D35" s="9" t="s">
        <v>16</v>
      </c>
      <c r="E35" s="9">
        <v>6</v>
      </c>
      <c r="F35" s="9">
        <v>21</v>
      </c>
      <c r="G35" s="10">
        <v>30</v>
      </c>
      <c r="H35" s="17">
        <v>1.0000000000000001E-5</v>
      </c>
      <c r="I35">
        <f t="shared" si="0"/>
        <v>25.5</v>
      </c>
      <c r="J35">
        <v>10</v>
      </c>
      <c r="K35" s="16">
        <f t="shared" si="2"/>
        <v>254999999.99999997</v>
      </c>
    </row>
    <row r="36" spans="1:11">
      <c r="A36">
        <v>1</v>
      </c>
      <c r="B36" t="s">
        <v>18</v>
      </c>
      <c r="C36" s="8">
        <v>2</v>
      </c>
      <c r="D36" s="9" t="s">
        <v>16</v>
      </c>
      <c r="E36" s="9">
        <v>7</v>
      </c>
      <c r="F36" s="9">
        <v>21</v>
      </c>
      <c r="G36" s="9">
        <v>20</v>
      </c>
      <c r="H36" s="17">
        <v>1.0000000000000001E-5</v>
      </c>
      <c r="I36">
        <f t="shared" si="0"/>
        <v>20.5</v>
      </c>
      <c r="J36">
        <v>10</v>
      </c>
      <c r="K36" s="16">
        <f t="shared" si="2"/>
        <v>204999999.99999997</v>
      </c>
    </row>
    <row r="37" spans="1:11">
      <c r="A37">
        <v>1</v>
      </c>
      <c r="B37" t="s">
        <v>18</v>
      </c>
      <c r="C37" s="8">
        <v>2</v>
      </c>
      <c r="D37" s="9" t="s">
        <v>16</v>
      </c>
      <c r="E37" s="9">
        <v>8</v>
      </c>
      <c r="F37" s="9">
        <v>21</v>
      </c>
      <c r="G37" s="9"/>
      <c r="H37" s="17">
        <v>1.0000000000000001E-5</v>
      </c>
      <c r="I37">
        <f t="shared" si="0"/>
        <v>21</v>
      </c>
      <c r="J37">
        <v>10</v>
      </c>
      <c r="K37" s="16">
        <f t="shared" si="2"/>
        <v>209999999.99999997</v>
      </c>
    </row>
    <row r="38" spans="1:11">
      <c r="A38">
        <v>1</v>
      </c>
      <c r="B38" t="s">
        <v>18</v>
      </c>
      <c r="C38" s="8">
        <v>2</v>
      </c>
      <c r="D38" s="9" t="s">
        <v>16</v>
      </c>
      <c r="E38" s="9">
        <v>9</v>
      </c>
      <c r="F38" s="9">
        <v>17</v>
      </c>
      <c r="G38" s="9">
        <v>24</v>
      </c>
      <c r="H38" s="17">
        <v>1.0000000000000001E-5</v>
      </c>
      <c r="I38">
        <f t="shared" si="0"/>
        <v>20.5</v>
      </c>
      <c r="J38">
        <v>10</v>
      </c>
      <c r="K38" s="16">
        <f t="shared" si="2"/>
        <v>204999999.99999997</v>
      </c>
    </row>
    <row r="39" spans="1:11">
      <c r="A39">
        <v>1</v>
      </c>
      <c r="B39" t="s">
        <v>18</v>
      </c>
      <c r="C39" s="8">
        <v>2</v>
      </c>
      <c r="D39" s="9" t="s">
        <v>16</v>
      </c>
      <c r="E39" s="9">
        <v>10</v>
      </c>
      <c r="F39" s="9">
        <v>13</v>
      </c>
      <c r="G39" s="9">
        <v>18</v>
      </c>
      <c r="H39" s="17">
        <v>1.0000000000000001E-5</v>
      </c>
      <c r="I39">
        <f t="shared" si="0"/>
        <v>15.5</v>
      </c>
      <c r="J39">
        <v>10</v>
      </c>
      <c r="K39" s="16">
        <f t="shared" si="2"/>
        <v>155000000</v>
      </c>
    </row>
    <row r="40" spans="1:11">
      <c r="A40">
        <v>1</v>
      </c>
      <c r="B40" t="s">
        <v>18</v>
      </c>
      <c r="C40" s="8">
        <v>2.5</v>
      </c>
      <c r="D40" s="9" t="s">
        <v>16</v>
      </c>
      <c r="E40" s="9">
        <v>1</v>
      </c>
      <c r="F40" s="9">
        <v>16</v>
      </c>
      <c r="G40" s="9">
        <v>12</v>
      </c>
      <c r="H40" s="17">
        <v>0.1</v>
      </c>
      <c r="I40">
        <f t="shared" ref="I40:I68" si="3">AVERAGE(F40:G40)</f>
        <v>14</v>
      </c>
      <c r="J40">
        <v>10</v>
      </c>
      <c r="K40" s="16">
        <f t="shared" si="2"/>
        <v>14000</v>
      </c>
    </row>
    <row r="41" spans="1:11">
      <c r="A41">
        <v>1</v>
      </c>
      <c r="B41" t="s">
        <v>18</v>
      </c>
      <c r="C41" s="8">
        <v>2.5</v>
      </c>
      <c r="D41" s="9" t="s">
        <v>16</v>
      </c>
      <c r="E41" s="9">
        <v>2</v>
      </c>
      <c r="F41" s="9">
        <v>9</v>
      </c>
      <c r="G41" s="9">
        <v>9</v>
      </c>
      <c r="H41" s="17">
        <v>0.1</v>
      </c>
      <c r="I41">
        <f t="shared" si="3"/>
        <v>9</v>
      </c>
      <c r="J41">
        <v>10</v>
      </c>
      <c r="K41" s="16">
        <f t="shared" si="2"/>
        <v>9000</v>
      </c>
    </row>
    <row r="42" spans="1:11">
      <c r="A42">
        <v>1</v>
      </c>
      <c r="B42" t="s">
        <v>18</v>
      </c>
      <c r="C42" s="8">
        <v>2.5</v>
      </c>
      <c r="D42" s="9" t="s">
        <v>16</v>
      </c>
      <c r="E42" s="9">
        <v>3</v>
      </c>
      <c r="F42" s="9">
        <v>11</v>
      </c>
      <c r="G42" s="9">
        <v>12</v>
      </c>
      <c r="H42" s="17">
        <v>0.1</v>
      </c>
      <c r="I42">
        <f t="shared" si="3"/>
        <v>11.5</v>
      </c>
      <c r="J42">
        <v>10</v>
      </c>
      <c r="K42" s="16">
        <f t="shared" si="2"/>
        <v>11500</v>
      </c>
    </row>
    <row r="43" spans="1:11">
      <c r="A43">
        <v>1</v>
      </c>
      <c r="B43" t="s">
        <v>18</v>
      </c>
      <c r="C43" s="8">
        <v>2.5</v>
      </c>
      <c r="D43" s="9" t="s">
        <v>16</v>
      </c>
      <c r="E43" s="9">
        <v>4</v>
      </c>
      <c r="F43" s="9">
        <v>14</v>
      </c>
      <c r="G43" s="9">
        <v>12</v>
      </c>
      <c r="H43" s="17">
        <v>0.1</v>
      </c>
      <c r="I43">
        <f t="shared" si="3"/>
        <v>13</v>
      </c>
      <c r="J43">
        <v>10</v>
      </c>
      <c r="K43" s="16">
        <f t="shared" si="2"/>
        <v>13000</v>
      </c>
    </row>
    <row r="44" spans="1:11">
      <c r="A44">
        <v>1</v>
      </c>
      <c r="B44" t="s">
        <v>18</v>
      </c>
      <c r="C44" s="8">
        <v>2.5</v>
      </c>
      <c r="D44" s="9" t="s">
        <v>16</v>
      </c>
      <c r="E44" s="9">
        <v>5</v>
      </c>
      <c r="F44" s="9">
        <v>14</v>
      </c>
      <c r="G44" s="9">
        <v>8</v>
      </c>
      <c r="H44" s="17">
        <v>0.1</v>
      </c>
      <c r="I44">
        <f t="shared" si="3"/>
        <v>11</v>
      </c>
      <c r="J44">
        <v>10</v>
      </c>
      <c r="K44" s="16">
        <f t="shared" si="2"/>
        <v>11000</v>
      </c>
    </row>
    <row r="45" spans="1:11">
      <c r="A45">
        <v>1</v>
      </c>
      <c r="B45" t="s">
        <v>18</v>
      </c>
      <c r="C45" s="8">
        <v>2.5</v>
      </c>
      <c r="D45" s="9" t="s">
        <v>16</v>
      </c>
      <c r="E45" s="9">
        <v>6</v>
      </c>
      <c r="F45" s="9">
        <v>25</v>
      </c>
      <c r="G45" s="9">
        <v>15</v>
      </c>
      <c r="H45" s="17">
        <v>0.1</v>
      </c>
      <c r="I45">
        <f t="shared" si="3"/>
        <v>20</v>
      </c>
      <c r="J45">
        <v>10</v>
      </c>
      <c r="K45" s="16">
        <f t="shared" si="2"/>
        <v>20000</v>
      </c>
    </row>
    <row r="46" spans="1:11">
      <c r="A46">
        <v>1</v>
      </c>
      <c r="B46" t="s">
        <v>18</v>
      </c>
      <c r="C46" s="8">
        <v>2.5</v>
      </c>
      <c r="D46" s="9" t="s">
        <v>16</v>
      </c>
      <c r="E46" s="9">
        <v>7</v>
      </c>
      <c r="F46" s="9">
        <v>11</v>
      </c>
      <c r="G46" s="9">
        <v>12</v>
      </c>
      <c r="H46" s="17">
        <v>0.1</v>
      </c>
      <c r="I46">
        <f t="shared" si="3"/>
        <v>11.5</v>
      </c>
      <c r="J46">
        <v>10</v>
      </c>
      <c r="K46" s="16">
        <f t="shared" si="2"/>
        <v>11500</v>
      </c>
    </row>
    <row r="47" spans="1:11">
      <c r="A47">
        <v>1</v>
      </c>
      <c r="B47" t="s">
        <v>18</v>
      </c>
      <c r="C47" s="8">
        <v>2.5</v>
      </c>
      <c r="D47" s="9" t="s">
        <v>16</v>
      </c>
      <c r="E47" s="9">
        <v>8</v>
      </c>
      <c r="F47" s="9">
        <v>14</v>
      </c>
      <c r="G47" s="9">
        <v>9</v>
      </c>
      <c r="H47" s="17">
        <v>0.1</v>
      </c>
      <c r="I47">
        <f t="shared" si="3"/>
        <v>11.5</v>
      </c>
      <c r="J47">
        <v>10</v>
      </c>
      <c r="K47" s="16">
        <f t="shared" si="2"/>
        <v>11500</v>
      </c>
    </row>
    <row r="48" spans="1:11">
      <c r="A48">
        <v>1</v>
      </c>
      <c r="B48" t="s">
        <v>18</v>
      </c>
      <c r="C48" s="8">
        <v>2.5</v>
      </c>
      <c r="D48" s="9" t="s">
        <v>16</v>
      </c>
      <c r="E48" s="9">
        <v>9</v>
      </c>
      <c r="F48" s="9">
        <v>8</v>
      </c>
      <c r="G48" s="9">
        <v>4</v>
      </c>
      <c r="H48" s="17">
        <v>0.01</v>
      </c>
      <c r="I48">
        <f t="shared" si="3"/>
        <v>6</v>
      </c>
      <c r="J48">
        <v>10</v>
      </c>
      <c r="K48" s="16">
        <f t="shared" si="2"/>
        <v>60000</v>
      </c>
    </row>
    <row r="49" spans="1:11">
      <c r="A49">
        <v>1</v>
      </c>
      <c r="B49" t="s">
        <v>18</v>
      </c>
      <c r="C49" s="8">
        <v>2.5</v>
      </c>
      <c r="D49" s="9" t="s">
        <v>16</v>
      </c>
      <c r="E49" s="9">
        <v>10</v>
      </c>
      <c r="F49" s="9">
        <v>10</v>
      </c>
      <c r="G49" s="9">
        <v>11</v>
      </c>
      <c r="H49" s="17">
        <v>0.1</v>
      </c>
      <c r="I49">
        <f t="shared" si="3"/>
        <v>10.5</v>
      </c>
      <c r="J49">
        <v>10</v>
      </c>
      <c r="K49" s="16">
        <f t="shared" si="2"/>
        <v>10500</v>
      </c>
    </row>
    <row r="50" spans="1:11">
      <c r="A50">
        <v>1</v>
      </c>
      <c r="B50" t="s">
        <v>18</v>
      </c>
      <c r="C50" s="9">
        <v>3</v>
      </c>
      <c r="D50" s="9" t="s">
        <v>16</v>
      </c>
      <c r="E50" s="9" t="s">
        <v>19</v>
      </c>
      <c r="F50" s="9">
        <v>29</v>
      </c>
      <c r="G50" s="10">
        <v>50</v>
      </c>
      <c r="H50" s="18">
        <v>1.0000000000000001E-5</v>
      </c>
      <c r="I50">
        <f t="shared" si="3"/>
        <v>39.5</v>
      </c>
      <c r="J50">
        <v>10</v>
      </c>
      <c r="K50" s="16">
        <f t="shared" si="2"/>
        <v>394999999.99999994</v>
      </c>
    </row>
    <row r="51" spans="1:11">
      <c r="A51">
        <v>1</v>
      </c>
      <c r="B51" t="s">
        <v>18</v>
      </c>
      <c r="C51" s="9">
        <v>3</v>
      </c>
      <c r="D51" s="9" t="s">
        <v>16</v>
      </c>
      <c r="E51" s="9" t="s">
        <v>20</v>
      </c>
      <c r="F51" s="9">
        <v>22</v>
      </c>
      <c r="G51" s="10">
        <v>20</v>
      </c>
      <c r="H51" s="18">
        <v>1.0000000000000001E-5</v>
      </c>
      <c r="I51">
        <f t="shared" si="3"/>
        <v>21</v>
      </c>
      <c r="J51">
        <v>10</v>
      </c>
      <c r="K51" s="16">
        <f t="shared" si="2"/>
        <v>209999999.99999997</v>
      </c>
    </row>
    <row r="52" spans="1:11">
      <c r="A52">
        <v>1</v>
      </c>
      <c r="B52" t="s">
        <v>18</v>
      </c>
      <c r="C52" s="9">
        <v>3</v>
      </c>
      <c r="D52" s="9" t="s">
        <v>16</v>
      </c>
      <c r="E52" s="9" t="s">
        <v>21</v>
      </c>
      <c r="F52" s="9">
        <v>3</v>
      </c>
      <c r="G52" s="9">
        <v>3</v>
      </c>
      <c r="H52" s="18">
        <v>9.9999999999999995E-7</v>
      </c>
      <c r="I52">
        <f t="shared" si="3"/>
        <v>3</v>
      </c>
      <c r="J52">
        <v>10</v>
      </c>
      <c r="K52" s="16">
        <f t="shared" si="2"/>
        <v>300000000</v>
      </c>
    </row>
    <row r="53" spans="1:11">
      <c r="A53">
        <v>1</v>
      </c>
      <c r="B53" t="s">
        <v>18</v>
      </c>
      <c r="C53" s="9">
        <v>3</v>
      </c>
      <c r="D53" s="9" t="s">
        <v>16</v>
      </c>
      <c r="E53" s="9" t="s">
        <v>22</v>
      </c>
      <c r="F53" s="9">
        <v>1</v>
      </c>
      <c r="G53" s="9">
        <v>2</v>
      </c>
      <c r="H53" s="18">
        <v>9.9999999999999995E-7</v>
      </c>
      <c r="I53">
        <f t="shared" si="3"/>
        <v>1.5</v>
      </c>
      <c r="J53">
        <v>10</v>
      </c>
      <c r="K53" s="16">
        <f t="shared" si="2"/>
        <v>150000000</v>
      </c>
    </row>
    <row r="54" spans="1:11">
      <c r="A54">
        <v>1</v>
      </c>
      <c r="B54" t="s">
        <v>18</v>
      </c>
      <c r="C54" s="9">
        <v>3</v>
      </c>
      <c r="D54" s="9" t="s">
        <v>16</v>
      </c>
      <c r="E54" s="9">
        <v>1</v>
      </c>
      <c r="F54" s="9">
        <v>8</v>
      </c>
      <c r="G54" s="9">
        <v>6</v>
      </c>
      <c r="H54" s="18">
        <v>9.9999999999999995E-7</v>
      </c>
      <c r="I54">
        <f t="shared" si="3"/>
        <v>7</v>
      </c>
      <c r="J54">
        <v>10</v>
      </c>
      <c r="K54" s="16">
        <f t="shared" si="2"/>
        <v>700000000</v>
      </c>
    </row>
    <row r="55" spans="1:11">
      <c r="A55">
        <v>1</v>
      </c>
      <c r="B55" t="s">
        <v>18</v>
      </c>
      <c r="C55" s="9">
        <v>3</v>
      </c>
      <c r="D55" s="9" t="s">
        <v>16</v>
      </c>
      <c r="E55" s="9">
        <v>2</v>
      </c>
      <c r="F55" s="9">
        <v>7</v>
      </c>
      <c r="G55" s="9"/>
      <c r="H55" s="18">
        <v>9.9999999999999995E-7</v>
      </c>
      <c r="I55">
        <f t="shared" si="3"/>
        <v>7</v>
      </c>
      <c r="J55">
        <v>10</v>
      </c>
      <c r="K55" s="16">
        <f t="shared" si="2"/>
        <v>700000000</v>
      </c>
    </row>
    <row r="56" spans="1:11">
      <c r="A56">
        <v>1</v>
      </c>
      <c r="B56" t="s">
        <v>18</v>
      </c>
      <c r="C56" s="9">
        <v>3</v>
      </c>
      <c r="D56" s="9" t="s">
        <v>16</v>
      </c>
      <c r="E56" s="9">
        <v>3</v>
      </c>
      <c r="F56" s="9">
        <v>2</v>
      </c>
      <c r="G56" s="9">
        <v>2</v>
      </c>
      <c r="H56" s="18">
        <v>9.9999999999999995E-7</v>
      </c>
      <c r="I56">
        <f t="shared" si="3"/>
        <v>2</v>
      </c>
      <c r="J56">
        <v>10</v>
      </c>
      <c r="K56" s="16">
        <f t="shared" si="2"/>
        <v>200000000</v>
      </c>
    </row>
    <row r="57" spans="1:11">
      <c r="A57">
        <v>1</v>
      </c>
      <c r="B57" t="s">
        <v>18</v>
      </c>
      <c r="C57" s="9">
        <v>3</v>
      </c>
      <c r="D57" s="9" t="s">
        <v>16</v>
      </c>
      <c r="E57" s="9">
        <v>4</v>
      </c>
      <c r="F57" s="9">
        <v>3</v>
      </c>
      <c r="G57" s="9">
        <v>2</v>
      </c>
      <c r="H57" s="18">
        <v>9.9999999999999995E-7</v>
      </c>
      <c r="I57">
        <f t="shared" si="3"/>
        <v>2.5</v>
      </c>
      <c r="J57">
        <v>10</v>
      </c>
      <c r="K57" s="16">
        <f t="shared" si="2"/>
        <v>250000000</v>
      </c>
    </row>
    <row r="58" spans="1:11">
      <c r="A58">
        <v>1</v>
      </c>
      <c r="B58" t="s">
        <v>18</v>
      </c>
      <c r="C58" s="9">
        <v>3</v>
      </c>
      <c r="D58" s="9" t="s">
        <v>16</v>
      </c>
      <c r="E58" s="9">
        <v>5</v>
      </c>
      <c r="F58" s="9">
        <v>3</v>
      </c>
      <c r="G58" s="9">
        <v>4</v>
      </c>
      <c r="H58" s="18">
        <v>9.9999999999999995E-7</v>
      </c>
      <c r="I58">
        <f t="shared" si="3"/>
        <v>3.5</v>
      </c>
      <c r="J58">
        <v>10</v>
      </c>
      <c r="K58" s="16">
        <f t="shared" si="2"/>
        <v>350000000</v>
      </c>
    </row>
    <row r="59" spans="1:11">
      <c r="A59">
        <v>1</v>
      </c>
      <c r="B59" t="s">
        <v>18</v>
      </c>
      <c r="C59" s="9">
        <v>3</v>
      </c>
      <c r="D59" s="9" t="s">
        <v>16</v>
      </c>
      <c r="E59" s="9">
        <v>6</v>
      </c>
      <c r="F59" s="9">
        <v>3</v>
      </c>
      <c r="G59" s="9">
        <v>2</v>
      </c>
      <c r="H59" s="18">
        <v>9.9999999999999995E-7</v>
      </c>
      <c r="I59">
        <f t="shared" si="3"/>
        <v>2.5</v>
      </c>
      <c r="J59">
        <v>10</v>
      </c>
      <c r="K59" s="16">
        <f t="shared" si="2"/>
        <v>250000000</v>
      </c>
    </row>
    <row r="60" spans="1:11">
      <c r="A60">
        <v>1</v>
      </c>
      <c r="B60" t="s">
        <v>18</v>
      </c>
      <c r="C60" s="9">
        <v>3</v>
      </c>
      <c r="D60" s="9" t="s">
        <v>16</v>
      </c>
      <c r="E60" s="9">
        <v>7</v>
      </c>
      <c r="F60" s="9">
        <v>6</v>
      </c>
      <c r="G60" s="9">
        <v>1</v>
      </c>
      <c r="H60" s="18">
        <v>9.9999999999999995E-7</v>
      </c>
      <c r="I60">
        <f t="shared" si="3"/>
        <v>3.5</v>
      </c>
      <c r="J60">
        <v>10</v>
      </c>
      <c r="K60" s="16">
        <f t="shared" si="2"/>
        <v>350000000</v>
      </c>
    </row>
    <row r="61" spans="1:11">
      <c r="A61">
        <v>1</v>
      </c>
      <c r="B61" t="s">
        <v>18</v>
      </c>
      <c r="C61" s="9">
        <v>3</v>
      </c>
      <c r="D61" s="9" t="s">
        <v>16</v>
      </c>
      <c r="E61" s="9">
        <v>8</v>
      </c>
      <c r="F61" s="9">
        <v>24</v>
      </c>
      <c r="G61" s="10">
        <v>30</v>
      </c>
      <c r="H61" s="18">
        <v>1.0000000000000001E-5</v>
      </c>
      <c r="I61">
        <f t="shared" si="3"/>
        <v>27</v>
      </c>
      <c r="J61">
        <v>10</v>
      </c>
      <c r="K61" s="16">
        <f t="shared" si="2"/>
        <v>270000000</v>
      </c>
    </row>
    <row r="62" spans="1:11">
      <c r="A62">
        <v>1</v>
      </c>
      <c r="B62" t="s">
        <v>18</v>
      </c>
      <c r="C62" s="9">
        <v>3</v>
      </c>
      <c r="D62" s="9" t="s">
        <v>16</v>
      </c>
      <c r="E62" s="9">
        <v>9</v>
      </c>
      <c r="F62" s="9">
        <v>4</v>
      </c>
      <c r="G62" s="9"/>
      <c r="H62" s="18">
        <v>9.9999999999999995E-7</v>
      </c>
      <c r="I62">
        <f t="shared" si="3"/>
        <v>4</v>
      </c>
      <c r="J62">
        <v>10</v>
      </c>
      <c r="K62" s="16">
        <f t="shared" si="2"/>
        <v>400000000</v>
      </c>
    </row>
    <row r="63" spans="1:11">
      <c r="A63">
        <v>1</v>
      </c>
      <c r="B63" t="s">
        <v>18</v>
      </c>
      <c r="C63" s="9">
        <v>3</v>
      </c>
      <c r="D63" s="9" t="s">
        <v>16</v>
      </c>
      <c r="E63" s="9">
        <v>10</v>
      </c>
      <c r="F63" s="9">
        <v>20</v>
      </c>
      <c r="G63" s="9"/>
      <c r="H63" s="18">
        <v>9.9999999999999995E-7</v>
      </c>
      <c r="I63">
        <f t="shared" si="3"/>
        <v>20</v>
      </c>
      <c r="J63">
        <v>10</v>
      </c>
      <c r="K63" s="16">
        <f t="shared" si="2"/>
        <v>2000000000</v>
      </c>
    </row>
    <row r="64" spans="1:11">
      <c r="A64">
        <v>1</v>
      </c>
      <c r="B64" t="s">
        <v>18</v>
      </c>
      <c r="C64" s="9">
        <v>3.5</v>
      </c>
      <c r="D64" s="9" t="s">
        <v>16</v>
      </c>
      <c r="E64" s="9">
        <v>1</v>
      </c>
      <c r="F64" s="9">
        <v>9</v>
      </c>
      <c r="G64" s="9">
        <v>14</v>
      </c>
      <c r="H64" s="18">
        <v>0.01</v>
      </c>
      <c r="I64">
        <f t="shared" si="3"/>
        <v>11.5</v>
      </c>
      <c r="J64">
        <v>10</v>
      </c>
      <c r="K64" s="16">
        <f t="shared" si="2"/>
        <v>115000</v>
      </c>
    </row>
    <row r="65" spans="1:11">
      <c r="A65">
        <v>1</v>
      </c>
      <c r="B65" t="s">
        <v>18</v>
      </c>
      <c r="C65" s="9">
        <v>3.5</v>
      </c>
      <c r="D65" s="9" t="s">
        <v>16</v>
      </c>
      <c r="E65" s="9">
        <v>2</v>
      </c>
      <c r="F65" s="9">
        <v>20</v>
      </c>
      <c r="G65" s="9">
        <v>22</v>
      </c>
      <c r="H65" s="18">
        <v>0.1</v>
      </c>
      <c r="I65">
        <f t="shared" si="3"/>
        <v>21</v>
      </c>
      <c r="J65">
        <v>10</v>
      </c>
      <c r="K65" s="16">
        <f t="shared" si="2"/>
        <v>21000</v>
      </c>
    </row>
    <row r="66" spans="1:11">
      <c r="A66">
        <v>1</v>
      </c>
      <c r="B66" t="s">
        <v>18</v>
      </c>
      <c r="C66" s="9">
        <v>3.5</v>
      </c>
      <c r="D66" s="9" t="s">
        <v>16</v>
      </c>
      <c r="E66" s="9">
        <v>3</v>
      </c>
      <c r="F66" s="9">
        <v>15</v>
      </c>
      <c r="G66" s="9">
        <v>19</v>
      </c>
      <c r="H66" s="18">
        <v>0.1</v>
      </c>
      <c r="I66">
        <f t="shared" si="3"/>
        <v>17</v>
      </c>
      <c r="J66">
        <v>10</v>
      </c>
      <c r="K66" s="16">
        <f t="shared" si="2"/>
        <v>17000</v>
      </c>
    </row>
    <row r="67" spans="1:11">
      <c r="A67">
        <v>1</v>
      </c>
      <c r="B67" t="s">
        <v>18</v>
      </c>
      <c r="C67" s="9">
        <v>3.5</v>
      </c>
      <c r="D67" s="9" t="s">
        <v>16</v>
      </c>
      <c r="E67" s="9">
        <v>4</v>
      </c>
      <c r="F67" s="9">
        <v>8</v>
      </c>
      <c r="G67" s="9">
        <v>4</v>
      </c>
      <c r="H67" s="18">
        <v>0.01</v>
      </c>
      <c r="I67">
        <f t="shared" si="3"/>
        <v>6</v>
      </c>
      <c r="J67">
        <v>10</v>
      </c>
      <c r="K67" s="16">
        <f t="shared" si="2"/>
        <v>60000</v>
      </c>
    </row>
    <row r="68" spans="1:11">
      <c r="A68">
        <v>1</v>
      </c>
      <c r="B68" t="s">
        <v>18</v>
      </c>
      <c r="C68" s="9">
        <v>3.5</v>
      </c>
      <c r="D68" s="9" t="s">
        <v>16</v>
      </c>
      <c r="E68" s="9">
        <v>5</v>
      </c>
      <c r="F68" s="9">
        <v>3</v>
      </c>
      <c r="G68" s="9">
        <v>3</v>
      </c>
      <c r="H68" s="18">
        <v>0.01</v>
      </c>
      <c r="I68">
        <f t="shared" si="3"/>
        <v>3</v>
      </c>
      <c r="J68">
        <v>10</v>
      </c>
      <c r="K68" s="16">
        <f t="shared" si="2"/>
        <v>30000</v>
      </c>
    </row>
    <row r="69" spans="1:11">
      <c r="A69">
        <v>1</v>
      </c>
      <c r="B69" t="s">
        <v>18</v>
      </c>
      <c r="C69" s="9">
        <v>3.5</v>
      </c>
      <c r="D69" s="9" t="s">
        <v>16</v>
      </c>
      <c r="E69" s="9">
        <v>6</v>
      </c>
      <c r="F69" s="9">
        <v>4</v>
      </c>
      <c r="G69" s="9">
        <v>4</v>
      </c>
      <c r="H69" s="18">
        <v>0.01</v>
      </c>
      <c r="I69">
        <f t="shared" ref="I69:I98" si="4">AVERAGE(F69:G69)</f>
        <v>4</v>
      </c>
      <c r="J69">
        <v>10</v>
      </c>
      <c r="K69" s="16">
        <f t="shared" si="2"/>
        <v>40000</v>
      </c>
    </row>
    <row r="70" spans="1:11">
      <c r="A70">
        <v>1</v>
      </c>
      <c r="B70" t="s">
        <v>18</v>
      </c>
      <c r="C70" s="9">
        <v>3.5</v>
      </c>
      <c r="D70" s="9" t="s">
        <v>16</v>
      </c>
      <c r="E70" s="9">
        <v>7</v>
      </c>
      <c r="F70" s="9">
        <v>14</v>
      </c>
      <c r="G70" s="9">
        <v>17</v>
      </c>
      <c r="H70" s="18">
        <v>0.01</v>
      </c>
      <c r="I70">
        <f t="shared" si="4"/>
        <v>15.5</v>
      </c>
      <c r="J70">
        <v>10</v>
      </c>
      <c r="K70" s="16">
        <f t="shared" si="2"/>
        <v>155000</v>
      </c>
    </row>
    <row r="71" spans="1:11">
      <c r="A71">
        <v>1</v>
      </c>
      <c r="B71" t="s">
        <v>18</v>
      </c>
      <c r="C71" s="9">
        <v>3.5</v>
      </c>
      <c r="D71" s="9" t="s">
        <v>16</v>
      </c>
      <c r="E71" s="9">
        <v>8</v>
      </c>
      <c r="F71" s="9">
        <v>15</v>
      </c>
      <c r="G71" s="9">
        <v>14</v>
      </c>
      <c r="H71" s="18">
        <v>0.1</v>
      </c>
      <c r="I71">
        <f t="shared" si="4"/>
        <v>14.5</v>
      </c>
      <c r="J71">
        <v>10</v>
      </c>
      <c r="K71" s="16">
        <f t="shared" si="2"/>
        <v>14500</v>
      </c>
    </row>
    <row r="72" spans="1:11">
      <c r="A72">
        <v>1</v>
      </c>
      <c r="B72" t="s">
        <v>18</v>
      </c>
      <c r="C72" s="9">
        <v>3.5</v>
      </c>
      <c r="D72" s="9" t="s">
        <v>16</v>
      </c>
      <c r="E72" s="9">
        <v>9</v>
      </c>
      <c r="F72" s="9">
        <v>8</v>
      </c>
      <c r="G72" s="9"/>
      <c r="H72" s="18">
        <v>0.1</v>
      </c>
      <c r="I72">
        <f t="shared" si="4"/>
        <v>8</v>
      </c>
      <c r="J72">
        <v>10</v>
      </c>
      <c r="K72" s="16">
        <f t="shared" si="2"/>
        <v>8000</v>
      </c>
    </row>
    <row r="73" spans="1:11">
      <c r="A73">
        <v>1</v>
      </c>
      <c r="B73" t="s">
        <v>18</v>
      </c>
      <c r="C73" s="9">
        <v>3.5</v>
      </c>
      <c r="D73" s="9" t="s">
        <v>16</v>
      </c>
      <c r="E73" s="9">
        <v>10</v>
      </c>
      <c r="F73" s="9">
        <v>13</v>
      </c>
      <c r="G73" s="9">
        <v>12</v>
      </c>
      <c r="H73" s="18">
        <v>0.1</v>
      </c>
      <c r="I73">
        <f t="shared" si="4"/>
        <v>12.5</v>
      </c>
      <c r="J73">
        <v>10</v>
      </c>
      <c r="K73" s="16">
        <f t="shared" si="2"/>
        <v>12500</v>
      </c>
    </row>
    <row r="74" spans="1:11">
      <c r="A74">
        <v>1</v>
      </c>
      <c r="B74" t="s">
        <v>18</v>
      </c>
      <c r="C74" s="9">
        <v>4</v>
      </c>
      <c r="D74" s="9" t="s">
        <v>16</v>
      </c>
      <c r="E74" s="9" t="s">
        <v>19</v>
      </c>
      <c r="F74" s="9">
        <v>2</v>
      </c>
      <c r="G74" s="9">
        <v>1</v>
      </c>
      <c r="H74" s="18">
        <v>9.9999999999999995E-7</v>
      </c>
      <c r="I74">
        <f t="shared" si="4"/>
        <v>1.5</v>
      </c>
      <c r="J74">
        <v>10</v>
      </c>
      <c r="K74" s="16">
        <f t="shared" si="2"/>
        <v>150000000</v>
      </c>
    </row>
    <row r="75" spans="1:11">
      <c r="A75">
        <v>1</v>
      </c>
      <c r="B75" t="s">
        <v>18</v>
      </c>
      <c r="C75" s="9">
        <v>4</v>
      </c>
      <c r="D75" s="9" t="s">
        <v>16</v>
      </c>
      <c r="E75" s="9" t="s">
        <v>20</v>
      </c>
      <c r="F75" s="9">
        <v>21</v>
      </c>
      <c r="G75" s="10">
        <v>30</v>
      </c>
      <c r="H75" s="18">
        <v>1.0000000000000001E-5</v>
      </c>
      <c r="I75">
        <f t="shared" si="4"/>
        <v>25.5</v>
      </c>
      <c r="J75">
        <v>10</v>
      </c>
      <c r="K75" s="16">
        <f t="shared" si="2"/>
        <v>254999999.99999997</v>
      </c>
    </row>
    <row r="76" spans="1:11">
      <c r="A76">
        <v>1</v>
      </c>
      <c r="B76" t="s">
        <v>18</v>
      </c>
      <c r="C76" s="9">
        <v>4</v>
      </c>
      <c r="D76" s="9" t="s">
        <v>16</v>
      </c>
      <c r="E76" s="9" t="s">
        <v>21</v>
      </c>
      <c r="F76" s="9">
        <v>5</v>
      </c>
      <c r="G76" s="9">
        <v>3</v>
      </c>
      <c r="H76" s="18">
        <v>9.9999999999999995E-7</v>
      </c>
      <c r="I76">
        <f t="shared" si="4"/>
        <v>4</v>
      </c>
      <c r="J76">
        <v>10</v>
      </c>
      <c r="K76" s="16">
        <f t="shared" si="2"/>
        <v>400000000</v>
      </c>
    </row>
    <row r="77" spans="1:11">
      <c r="A77">
        <v>1</v>
      </c>
      <c r="B77" t="s">
        <v>18</v>
      </c>
      <c r="C77" s="9">
        <v>4</v>
      </c>
      <c r="D77" s="9" t="s">
        <v>16</v>
      </c>
      <c r="E77" s="9" t="s">
        <v>22</v>
      </c>
      <c r="F77" s="9">
        <v>18</v>
      </c>
      <c r="G77" s="10">
        <v>10</v>
      </c>
      <c r="H77" s="18">
        <v>1.0000000000000001E-5</v>
      </c>
      <c r="I77">
        <f t="shared" si="4"/>
        <v>14</v>
      </c>
      <c r="J77">
        <v>10</v>
      </c>
      <c r="K77" s="16">
        <f t="shared" si="2"/>
        <v>140000000</v>
      </c>
    </row>
    <row r="78" spans="1:11">
      <c r="A78">
        <v>1</v>
      </c>
      <c r="B78" t="s">
        <v>18</v>
      </c>
      <c r="C78" s="9">
        <v>4</v>
      </c>
      <c r="D78" s="9" t="s">
        <v>16</v>
      </c>
      <c r="E78" s="9">
        <v>1</v>
      </c>
      <c r="F78" s="9">
        <v>2</v>
      </c>
      <c r="G78" s="9">
        <v>2</v>
      </c>
      <c r="H78" s="18">
        <v>9.9999999999999995E-7</v>
      </c>
      <c r="I78">
        <f t="shared" si="4"/>
        <v>2</v>
      </c>
      <c r="J78">
        <v>10</v>
      </c>
      <c r="K78" s="16">
        <f t="shared" si="2"/>
        <v>200000000</v>
      </c>
    </row>
    <row r="79" spans="1:11">
      <c r="A79">
        <v>1</v>
      </c>
      <c r="B79" t="s">
        <v>18</v>
      </c>
      <c r="C79" s="9">
        <v>4</v>
      </c>
      <c r="D79" s="9" t="s">
        <v>16</v>
      </c>
      <c r="E79" s="9">
        <v>2</v>
      </c>
      <c r="F79" s="9">
        <v>4</v>
      </c>
      <c r="G79" s="9">
        <v>2</v>
      </c>
      <c r="H79" s="18">
        <v>9.9999999999999995E-7</v>
      </c>
      <c r="I79">
        <f t="shared" si="4"/>
        <v>3</v>
      </c>
      <c r="J79">
        <v>10</v>
      </c>
      <c r="K79" s="16">
        <f t="shared" si="2"/>
        <v>300000000</v>
      </c>
    </row>
    <row r="80" spans="1:11">
      <c r="A80">
        <v>1</v>
      </c>
      <c r="B80" t="s">
        <v>18</v>
      </c>
      <c r="C80" s="9">
        <v>4</v>
      </c>
      <c r="D80" s="9" t="s">
        <v>16</v>
      </c>
      <c r="E80" s="9">
        <v>3</v>
      </c>
      <c r="F80" s="9">
        <v>4</v>
      </c>
      <c r="G80" s="9">
        <v>2</v>
      </c>
      <c r="H80" s="18">
        <v>9.9999999999999995E-7</v>
      </c>
      <c r="I80">
        <f t="shared" si="4"/>
        <v>3</v>
      </c>
      <c r="J80">
        <v>10</v>
      </c>
      <c r="K80" s="16">
        <f t="shared" si="2"/>
        <v>300000000</v>
      </c>
    </row>
    <row r="81" spans="1:11">
      <c r="A81">
        <v>1</v>
      </c>
      <c r="B81" t="s">
        <v>18</v>
      </c>
      <c r="C81" s="9">
        <v>4</v>
      </c>
      <c r="D81" s="9" t="s">
        <v>16</v>
      </c>
      <c r="E81" s="9">
        <v>4</v>
      </c>
      <c r="F81" s="9">
        <v>2</v>
      </c>
      <c r="G81" s="9">
        <v>1</v>
      </c>
      <c r="H81" s="18">
        <v>9.9999999999999995E-7</v>
      </c>
      <c r="I81">
        <f t="shared" si="4"/>
        <v>1.5</v>
      </c>
      <c r="J81">
        <v>10</v>
      </c>
      <c r="K81" s="16">
        <f t="shared" si="2"/>
        <v>150000000</v>
      </c>
    </row>
    <row r="82" spans="1:11">
      <c r="A82">
        <v>1</v>
      </c>
      <c r="B82" t="s">
        <v>18</v>
      </c>
      <c r="C82" s="9">
        <v>4</v>
      </c>
      <c r="D82" s="9" t="s">
        <v>16</v>
      </c>
      <c r="E82" s="9">
        <v>5</v>
      </c>
      <c r="F82" s="9">
        <v>4</v>
      </c>
      <c r="G82" s="9">
        <v>2</v>
      </c>
      <c r="H82" s="18">
        <v>9.9999999999999995E-7</v>
      </c>
      <c r="I82">
        <f t="shared" si="4"/>
        <v>3</v>
      </c>
      <c r="J82">
        <v>10</v>
      </c>
      <c r="K82" s="16">
        <f t="shared" si="2"/>
        <v>300000000</v>
      </c>
    </row>
    <row r="83" spans="1:11">
      <c r="A83">
        <v>1</v>
      </c>
      <c r="B83" t="s">
        <v>18</v>
      </c>
      <c r="C83" s="9">
        <v>4</v>
      </c>
      <c r="D83" s="9" t="s">
        <v>16</v>
      </c>
      <c r="E83" s="9">
        <v>6</v>
      </c>
      <c r="F83" s="9">
        <v>1</v>
      </c>
      <c r="G83" s="9">
        <v>2</v>
      </c>
      <c r="H83" s="18">
        <v>9.9999999999999995E-7</v>
      </c>
      <c r="I83">
        <f t="shared" si="4"/>
        <v>1.5</v>
      </c>
      <c r="J83">
        <v>10</v>
      </c>
      <c r="K83" s="16">
        <f t="shared" ref="K83:K146" si="5">I83/(H83*(J83/1000))</f>
        <v>150000000</v>
      </c>
    </row>
    <row r="84" spans="1:11">
      <c r="A84">
        <v>1</v>
      </c>
      <c r="B84" t="s">
        <v>18</v>
      </c>
      <c r="C84" s="9">
        <v>4</v>
      </c>
      <c r="D84" s="9" t="s">
        <v>16</v>
      </c>
      <c r="E84" s="9">
        <v>7</v>
      </c>
      <c r="F84" s="10">
        <v>60</v>
      </c>
      <c r="G84" s="9">
        <v>34</v>
      </c>
      <c r="H84" s="18">
        <v>1.0000000000000001E-5</v>
      </c>
      <c r="I84">
        <f t="shared" si="4"/>
        <v>47</v>
      </c>
      <c r="J84">
        <v>10</v>
      </c>
      <c r="K84" s="16">
        <f t="shared" si="5"/>
        <v>469999999.99999994</v>
      </c>
    </row>
    <row r="85" spans="1:11">
      <c r="A85">
        <v>1</v>
      </c>
      <c r="B85" t="s">
        <v>18</v>
      </c>
      <c r="C85" s="9">
        <v>4</v>
      </c>
      <c r="D85" s="9" t="s">
        <v>16</v>
      </c>
      <c r="E85" s="9">
        <v>8</v>
      </c>
      <c r="F85" s="9">
        <v>4</v>
      </c>
      <c r="G85" s="9">
        <v>1</v>
      </c>
      <c r="H85" s="18">
        <v>9.9999999999999995E-7</v>
      </c>
      <c r="I85">
        <f t="shared" si="4"/>
        <v>2.5</v>
      </c>
      <c r="J85">
        <v>10</v>
      </c>
      <c r="K85" s="16">
        <f t="shared" si="5"/>
        <v>250000000</v>
      </c>
    </row>
    <row r="86" spans="1:11">
      <c r="A86">
        <v>1</v>
      </c>
      <c r="B86" t="s">
        <v>18</v>
      </c>
      <c r="C86" s="9">
        <v>4</v>
      </c>
      <c r="D86" s="9" t="s">
        <v>16</v>
      </c>
      <c r="E86" s="9">
        <v>9</v>
      </c>
      <c r="F86" s="9">
        <v>5</v>
      </c>
      <c r="G86" s="9">
        <v>9</v>
      </c>
      <c r="H86" s="18">
        <v>9.9999999999999995E-7</v>
      </c>
      <c r="I86">
        <f t="shared" si="4"/>
        <v>7</v>
      </c>
      <c r="J86">
        <v>10</v>
      </c>
      <c r="K86" s="16">
        <f t="shared" si="5"/>
        <v>700000000</v>
      </c>
    </row>
    <row r="87" spans="1:11">
      <c r="A87">
        <v>1</v>
      </c>
      <c r="B87" t="s">
        <v>18</v>
      </c>
      <c r="C87" s="9">
        <v>4</v>
      </c>
      <c r="D87" s="9" t="s">
        <v>16</v>
      </c>
      <c r="E87" s="9">
        <v>10</v>
      </c>
      <c r="F87" s="9">
        <v>2</v>
      </c>
      <c r="G87" s="9">
        <v>2</v>
      </c>
      <c r="H87" s="18">
        <v>9.9999999999999995E-7</v>
      </c>
      <c r="I87">
        <f t="shared" si="4"/>
        <v>2</v>
      </c>
      <c r="J87">
        <v>10</v>
      </c>
      <c r="K87" s="16">
        <f t="shared" si="5"/>
        <v>200000000</v>
      </c>
    </row>
    <row r="88" spans="1:11">
      <c r="A88">
        <v>1</v>
      </c>
      <c r="B88" t="s">
        <v>18</v>
      </c>
      <c r="C88" s="9">
        <v>4.5</v>
      </c>
      <c r="D88" s="9" t="s">
        <v>16</v>
      </c>
      <c r="E88" s="9">
        <v>1</v>
      </c>
      <c r="F88" s="9">
        <v>4</v>
      </c>
      <c r="G88" s="9">
        <v>2</v>
      </c>
      <c r="H88" s="18">
        <v>1E-3</v>
      </c>
      <c r="I88">
        <f t="shared" si="4"/>
        <v>3</v>
      </c>
      <c r="J88">
        <v>10</v>
      </c>
      <c r="K88" s="16">
        <f t="shared" si="5"/>
        <v>300000</v>
      </c>
    </row>
    <row r="89" spans="1:11">
      <c r="A89">
        <v>1</v>
      </c>
      <c r="B89" t="s">
        <v>18</v>
      </c>
      <c r="C89" s="9">
        <v>4.5</v>
      </c>
      <c r="D89" s="9" t="s">
        <v>16</v>
      </c>
      <c r="E89" s="9">
        <v>2</v>
      </c>
      <c r="F89" s="9">
        <v>6</v>
      </c>
      <c r="G89" s="9">
        <v>4</v>
      </c>
      <c r="H89" s="18">
        <v>1E-4</v>
      </c>
      <c r="I89">
        <f t="shared" si="4"/>
        <v>5</v>
      </c>
      <c r="J89">
        <v>10</v>
      </c>
      <c r="K89" s="16">
        <f t="shared" si="5"/>
        <v>4999999.9999999991</v>
      </c>
    </row>
    <row r="90" spans="1:11">
      <c r="A90">
        <v>1</v>
      </c>
      <c r="B90" t="s">
        <v>18</v>
      </c>
      <c r="C90" s="9">
        <v>4.5</v>
      </c>
      <c r="D90" s="9" t="s">
        <v>16</v>
      </c>
      <c r="E90" s="9">
        <v>3</v>
      </c>
      <c r="F90" s="9">
        <v>14</v>
      </c>
      <c r="G90" s="9">
        <v>16</v>
      </c>
      <c r="H90" s="18">
        <v>1E-3</v>
      </c>
      <c r="I90">
        <f t="shared" si="4"/>
        <v>15</v>
      </c>
      <c r="J90">
        <v>10</v>
      </c>
      <c r="K90" s="16">
        <f t="shared" si="5"/>
        <v>1499999.9999999998</v>
      </c>
    </row>
    <row r="91" spans="1:11">
      <c r="A91">
        <v>1</v>
      </c>
      <c r="B91" t="s">
        <v>18</v>
      </c>
      <c r="C91" s="9">
        <v>4.5</v>
      </c>
      <c r="D91" s="9" t="s">
        <v>16</v>
      </c>
      <c r="E91" s="9">
        <v>4</v>
      </c>
      <c r="F91" s="9">
        <v>22</v>
      </c>
      <c r="G91" s="9">
        <v>20</v>
      </c>
      <c r="H91" s="18">
        <v>1E-3</v>
      </c>
      <c r="I91">
        <f t="shared" si="4"/>
        <v>21</v>
      </c>
      <c r="J91">
        <v>10</v>
      </c>
      <c r="K91" s="16">
        <f t="shared" si="5"/>
        <v>2100000</v>
      </c>
    </row>
    <row r="92" spans="1:11">
      <c r="A92">
        <v>1</v>
      </c>
      <c r="B92" t="s">
        <v>18</v>
      </c>
      <c r="C92" s="9">
        <v>4.5</v>
      </c>
      <c r="D92" s="9" t="s">
        <v>16</v>
      </c>
      <c r="E92" s="9">
        <v>5</v>
      </c>
      <c r="F92" s="9">
        <v>17</v>
      </c>
      <c r="G92" s="9">
        <v>18</v>
      </c>
      <c r="H92" s="18">
        <v>0.01</v>
      </c>
      <c r="I92">
        <f t="shared" si="4"/>
        <v>17.5</v>
      </c>
      <c r="J92">
        <v>10</v>
      </c>
      <c r="K92" s="16">
        <f t="shared" si="5"/>
        <v>175000</v>
      </c>
    </row>
    <row r="93" spans="1:11">
      <c r="A93">
        <v>1</v>
      </c>
      <c r="B93" t="s">
        <v>18</v>
      </c>
      <c r="C93" s="9">
        <v>4.5</v>
      </c>
      <c r="D93" s="9" t="s">
        <v>16</v>
      </c>
      <c r="E93" s="9">
        <v>6</v>
      </c>
      <c r="F93" s="9">
        <v>7</v>
      </c>
      <c r="G93" s="9">
        <v>10</v>
      </c>
      <c r="H93" s="18">
        <v>1E-4</v>
      </c>
      <c r="I93">
        <f t="shared" si="4"/>
        <v>8.5</v>
      </c>
      <c r="J93">
        <v>10</v>
      </c>
      <c r="K93" s="16">
        <f t="shared" si="5"/>
        <v>8499999.9999999981</v>
      </c>
    </row>
    <row r="94" spans="1:11">
      <c r="A94">
        <v>1</v>
      </c>
      <c r="B94" t="s">
        <v>18</v>
      </c>
      <c r="C94" s="9">
        <v>4.5</v>
      </c>
      <c r="D94" s="9" t="s">
        <v>16</v>
      </c>
      <c r="E94" s="9">
        <v>7</v>
      </c>
      <c r="F94" s="9">
        <v>8</v>
      </c>
      <c r="G94" s="9">
        <v>9</v>
      </c>
      <c r="H94" s="18">
        <v>1E-3</v>
      </c>
      <c r="I94">
        <f t="shared" si="4"/>
        <v>8.5</v>
      </c>
      <c r="J94">
        <v>10</v>
      </c>
      <c r="K94" s="16">
        <f t="shared" si="5"/>
        <v>849999.99999999988</v>
      </c>
    </row>
    <row r="95" spans="1:11">
      <c r="A95">
        <v>1</v>
      </c>
      <c r="B95" t="s">
        <v>18</v>
      </c>
      <c r="C95" s="9">
        <v>4.5</v>
      </c>
      <c r="D95" s="9" t="s">
        <v>16</v>
      </c>
      <c r="E95" s="9">
        <v>8</v>
      </c>
      <c r="F95" s="9">
        <v>10</v>
      </c>
      <c r="G95" s="9">
        <v>13</v>
      </c>
      <c r="H95" s="18">
        <v>1E-3</v>
      </c>
      <c r="I95">
        <f t="shared" si="4"/>
        <v>11.5</v>
      </c>
      <c r="J95">
        <v>10</v>
      </c>
      <c r="K95" s="16">
        <f t="shared" si="5"/>
        <v>1150000</v>
      </c>
    </row>
    <row r="96" spans="1:11">
      <c r="A96">
        <v>1</v>
      </c>
      <c r="B96" t="s">
        <v>18</v>
      </c>
      <c r="C96" s="9">
        <v>4.5</v>
      </c>
      <c r="D96" s="9" t="s">
        <v>16</v>
      </c>
      <c r="E96" s="9">
        <v>9</v>
      </c>
      <c r="F96" s="9">
        <v>8</v>
      </c>
      <c r="G96" s="9">
        <v>11</v>
      </c>
      <c r="H96" s="18">
        <v>1E-3</v>
      </c>
      <c r="I96">
        <f t="shared" si="4"/>
        <v>9.5</v>
      </c>
      <c r="J96">
        <v>10</v>
      </c>
      <c r="K96" s="16">
        <f t="shared" si="5"/>
        <v>949999.99999999988</v>
      </c>
    </row>
    <row r="97" spans="1:11">
      <c r="A97">
        <v>1</v>
      </c>
      <c r="B97" t="s">
        <v>18</v>
      </c>
      <c r="C97" s="9">
        <v>4.5</v>
      </c>
      <c r="D97" s="9" t="s">
        <v>16</v>
      </c>
      <c r="E97" s="9">
        <v>10</v>
      </c>
      <c r="F97" s="9">
        <v>13</v>
      </c>
      <c r="G97" s="9">
        <v>17</v>
      </c>
      <c r="H97" s="18">
        <v>1E-3</v>
      </c>
      <c r="I97">
        <f t="shared" si="4"/>
        <v>15</v>
      </c>
      <c r="J97">
        <v>10</v>
      </c>
      <c r="K97" s="16">
        <f t="shared" si="5"/>
        <v>1499999.9999999998</v>
      </c>
    </row>
    <row r="98" spans="1:11">
      <c r="A98">
        <v>1</v>
      </c>
      <c r="B98" t="s">
        <v>18</v>
      </c>
      <c r="C98" s="9">
        <v>5</v>
      </c>
      <c r="D98" s="9" t="s">
        <v>16</v>
      </c>
      <c r="E98" s="9" t="s">
        <v>19</v>
      </c>
      <c r="F98" s="9">
        <v>22</v>
      </c>
      <c r="G98" s="9">
        <v>20</v>
      </c>
      <c r="H98" s="18">
        <v>1.0000000000000001E-5</v>
      </c>
      <c r="I98">
        <f t="shared" si="4"/>
        <v>21</v>
      </c>
      <c r="J98">
        <v>10</v>
      </c>
      <c r="K98" s="16">
        <f t="shared" si="5"/>
        <v>209999999.99999997</v>
      </c>
    </row>
    <row r="99" spans="1:11">
      <c r="A99">
        <v>1</v>
      </c>
      <c r="B99" t="s">
        <v>18</v>
      </c>
      <c r="C99" s="9">
        <v>5</v>
      </c>
      <c r="D99" s="9" t="s">
        <v>16</v>
      </c>
      <c r="E99" s="9" t="s">
        <v>20</v>
      </c>
      <c r="F99" s="9">
        <v>19</v>
      </c>
      <c r="G99" s="9">
        <v>12</v>
      </c>
      <c r="H99" s="18">
        <v>1.0000000000000001E-5</v>
      </c>
      <c r="I99">
        <f t="shared" ref="I99:I135" si="6">AVERAGE(F99:G99)</f>
        <v>15.5</v>
      </c>
      <c r="J99">
        <v>10</v>
      </c>
      <c r="K99" s="16">
        <f t="shared" si="5"/>
        <v>155000000</v>
      </c>
    </row>
    <row r="100" spans="1:11">
      <c r="A100">
        <v>1</v>
      </c>
      <c r="B100" t="s">
        <v>18</v>
      </c>
      <c r="C100" s="9">
        <v>5</v>
      </c>
      <c r="D100" s="9" t="s">
        <v>16</v>
      </c>
      <c r="E100" s="9" t="s">
        <v>21</v>
      </c>
      <c r="F100" s="9">
        <v>23</v>
      </c>
      <c r="G100" s="9">
        <v>19</v>
      </c>
      <c r="H100" s="18">
        <v>1.0000000000000001E-5</v>
      </c>
      <c r="I100">
        <f t="shared" si="6"/>
        <v>21</v>
      </c>
      <c r="J100">
        <v>10</v>
      </c>
      <c r="K100" s="16">
        <f t="shared" si="5"/>
        <v>209999999.99999997</v>
      </c>
    </row>
    <row r="101" spans="1:11">
      <c r="A101">
        <v>1</v>
      </c>
      <c r="B101" t="s">
        <v>18</v>
      </c>
      <c r="C101" s="9">
        <v>5</v>
      </c>
      <c r="D101" s="9" t="s">
        <v>16</v>
      </c>
      <c r="E101" s="9" t="s">
        <v>22</v>
      </c>
      <c r="F101" s="9">
        <v>11</v>
      </c>
      <c r="G101" s="9">
        <v>20</v>
      </c>
      <c r="H101" s="18">
        <v>1.0000000000000001E-5</v>
      </c>
      <c r="I101">
        <f t="shared" si="6"/>
        <v>15.5</v>
      </c>
      <c r="J101">
        <v>10</v>
      </c>
      <c r="K101" s="16">
        <f t="shared" si="5"/>
        <v>155000000</v>
      </c>
    </row>
    <row r="102" spans="1:11">
      <c r="A102">
        <v>1</v>
      </c>
      <c r="B102" t="s">
        <v>18</v>
      </c>
      <c r="C102" s="9">
        <v>5</v>
      </c>
      <c r="D102" s="9" t="s">
        <v>16</v>
      </c>
      <c r="E102" s="9">
        <v>1</v>
      </c>
      <c r="F102" s="9">
        <v>3</v>
      </c>
      <c r="G102" s="9">
        <v>4</v>
      </c>
      <c r="H102" s="18">
        <v>9.9999999999999995E-7</v>
      </c>
      <c r="I102">
        <f t="shared" si="6"/>
        <v>3.5</v>
      </c>
      <c r="J102">
        <v>10</v>
      </c>
      <c r="K102" s="16">
        <f t="shared" si="5"/>
        <v>350000000</v>
      </c>
    </row>
    <row r="103" spans="1:11">
      <c r="A103">
        <v>1</v>
      </c>
      <c r="B103" t="s">
        <v>18</v>
      </c>
      <c r="C103" s="9">
        <v>5</v>
      </c>
      <c r="D103" s="9" t="s">
        <v>16</v>
      </c>
      <c r="E103" s="9">
        <v>2</v>
      </c>
      <c r="F103" s="9">
        <v>13</v>
      </c>
      <c r="G103" s="9">
        <v>4</v>
      </c>
      <c r="H103" s="18">
        <v>9.9999999999999995E-7</v>
      </c>
      <c r="I103">
        <f t="shared" si="6"/>
        <v>8.5</v>
      </c>
      <c r="J103">
        <v>10</v>
      </c>
      <c r="K103" s="16">
        <f t="shared" si="5"/>
        <v>850000000</v>
      </c>
    </row>
    <row r="104" spans="1:11">
      <c r="A104">
        <v>1</v>
      </c>
      <c r="B104" t="s">
        <v>18</v>
      </c>
      <c r="C104" s="9">
        <v>5</v>
      </c>
      <c r="D104" s="9" t="s">
        <v>16</v>
      </c>
      <c r="E104" s="9">
        <v>3</v>
      </c>
      <c r="F104" s="9">
        <v>30</v>
      </c>
      <c r="G104" s="9">
        <v>25</v>
      </c>
      <c r="H104" s="18">
        <v>1.0000000000000001E-5</v>
      </c>
      <c r="I104">
        <f t="shared" si="6"/>
        <v>27.5</v>
      </c>
      <c r="J104">
        <v>10</v>
      </c>
      <c r="K104" s="16">
        <f t="shared" si="5"/>
        <v>275000000</v>
      </c>
    </row>
    <row r="105" spans="1:11">
      <c r="A105">
        <v>1</v>
      </c>
      <c r="B105" t="s">
        <v>18</v>
      </c>
      <c r="C105" s="9">
        <v>5</v>
      </c>
      <c r="D105" s="9" t="s">
        <v>16</v>
      </c>
      <c r="E105" s="9">
        <v>4</v>
      </c>
      <c r="F105" s="9">
        <v>25</v>
      </c>
      <c r="G105" s="9">
        <v>29</v>
      </c>
      <c r="H105" s="18">
        <v>1.0000000000000001E-5</v>
      </c>
      <c r="I105">
        <f t="shared" si="6"/>
        <v>27</v>
      </c>
      <c r="J105">
        <v>10</v>
      </c>
      <c r="K105" s="16">
        <f t="shared" si="5"/>
        <v>270000000</v>
      </c>
    </row>
    <row r="106" spans="1:11">
      <c r="A106">
        <v>1</v>
      </c>
      <c r="B106" t="s">
        <v>18</v>
      </c>
      <c r="C106" s="9">
        <v>5</v>
      </c>
      <c r="D106" s="9" t="s">
        <v>16</v>
      </c>
      <c r="E106" s="9">
        <v>5</v>
      </c>
      <c r="F106" s="9">
        <v>21</v>
      </c>
      <c r="G106" s="9">
        <v>22</v>
      </c>
      <c r="H106" s="18">
        <v>1.0000000000000001E-5</v>
      </c>
      <c r="I106">
        <f t="shared" si="6"/>
        <v>21.5</v>
      </c>
      <c r="J106">
        <v>10</v>
      </c>
      <c r="K106" s="16">
        <f t="shared" si="5"/>
        <v>214999999.99999997</v>
      </c>
    </row>
    <row r="107" spans="1:11">
      <c r="A107">
        <v>1</v>
      </c>
      <c r="B107" t="s">
        <v>18</v>
      </c>
      <c r="C107" s="9">
        <v>5</v>
      </c>
      <c r="D107" s="9" t="s">
        <v>16</v>
      </c>
      <c r="E107" s="9">
        <v>6</v>
      </c>
      <c r="F107" s="9">
        <v>15</v>
      </c>
      <c r="G107" s="9">
        <v>20</v>
      </c>
      <c r="H107" s="18">
        <v>1.0000000000000001E-5</v>
      </c>
      <c r="I107">
        <f t="shared" si="6"/>
        <v>17.5</v>
      </c>
      <c r="J107">
        <v>10</v>
      </c>
      <c r="K107" s="16">
        <f t="shared" si="5"/>
        <v>174999999.99999997</v>
      </c>
    </row>
    <row r="108" spans="1:11">
      <c r="A108">
        <v>1</v>
      </c>
      <c r="B108" t="s">
        <v>18</v>
      </c>
      <c r="C108" s="9">
        <v>5</v>
      </c>
      <c r="D108" s="9" t="s">
        <v>16</v>
      </c>
      <c r="E108" s="9">
        <v>7</v>
      </c>
      <c r="F108" s="9">
        <v>10</v>
      </c>
      <c r="G108" s="9">
        <v>15</v>
      </c>
      <c r="H108" s="18">
        <v>1.0000000000000001E-5</v>
      </c>
      <c r="I108">
        <f t="shared" si="6"/>
        <v>12.5</v>
      </c>
      <c r="J108">
        <v>10</v>
      </c>
      <c r="K108" s="16">
        <f t="shared" si="5"/>
        <v>124999999.99999999</v>
      </c>
    </row>
    <row r="109" spans="1:11">
      <c r="A109">
        <v>1</v>
      </c>
      <c r="B109" t="s">
        <v>18</v>
      </c>
      <c r="C109" s="9">
        <v>5</v>
      </c>
      <c r="D109" s="9" t="s">
        <v>16</v>
      </c>
      <c r="E109" s="9">
        <v>8</v>
      </c>
      <c r="F109" s="9">
        <v>22</v>
      </c>
      <c r="G109" s="9">
        <v>19</v>
      </c>
      <c r="H109" s="18">
        <v>1.0000000000000001E-5</v>
      </c>
      <c r="I109">
        <f t="shared" si="6"/>
        <v>20.5</v>
      </c>
      <c r="J109">
        <v>10</v>
      </c>
      <c r="K109" s="16">
        <f t="shared" si="5"/>
        <v>204999999.99999997</v>
      </c>
    </row>
    <row r="110" spans="1:11">
      <c r="A110">
        <v>1</v>
      </c>
      <c r="B110" t="s">
        <v>18</v>
      </c>
      <c r="C110" s="9">
        <v>5</v>
      </c>
      <c r="D110" s="9" t="s">
        <v>16</v>
      </c>
      <c r="E110" s="9">
        <v>9</v>
      </c>
      <c r="F110" s="9">
        <v>14</v>
      </c>
      <c r="G110" s="9">
        <v>15</v>
      </c>
      <c r="H110" s="18">
        <v>1.0000000000000001E-5</v>
      </c>
      <c r="I110">
        <f t="shared" si="6"/>
        <v>14.5</v>
      </c>
      <c r="J110">
        <v>10</v>
      </c>
      <c r="K110" s="16">
        <f t="shared" si="5"/>
        <v>145000000</v>
      </c>
    </row>
    <row r="111" spans="1:11">
      <c r="A111">
        <v>1</v>
      </c>
      <c r="B111" t="s">
        <v>18</v>
      </c>
      <c r="C111" s="9">
        <v>5</v>
      </c>
      <c r="D111" s="9" t="s">
        <v>16</v>
      </c>
      <c r="E111" s="9">
        <v>10</v>
      </c>
      <c r="F111" s="9">
        <v>18</v>
      </c>
      <c r="G111" s="9">
        <v>16</v>
      </c>
      <c r="H111" s="18">
        <v>1.0000000000000001E-5</v>
      </c>
      <c r="I111">
        <f t="shared" si="6"/>
        <v>17</v>
      </c>
      <c r="J111">
        <v>10</v>
      </c>
      <c r="K111" s="16">
        <f t="shared" si="5"/>
        <v>170000000</v>
      </c>
    </row>
    <row r="112" spans="1:11">
      <c r="A112">
        <v>1</v>
      </c>
      <c r="B112" t="s">
        <v>18</v>
      </c>
      <c r="C112" s="9">
        <v>5.5</v>
      </c>
      <c r="D112" s="9" t="s">
        <v>16</v>
      </c>
      <c r="E112" s="9">
        <v>1</v>
      </c>
      <c r="F112" s="9">
        <v>11</v>
      </c>
      <c r="G112" s="9">
        <v>7</v>
      </c>
      <c r="H112" s="18">
        <v>1E-4</v>
      </c>
      <c r="I112">
        <f t="shared" si="6"/>
        <v>9</v>
      </c>
      <c r="J112">
        <v>10</v>
      </c>
      <c r="K112" s="16">
        <f t="shared" si="5"/>
        <v>8999999.9999999981</v>
      </c>
    </row>
    <row r="113" spans="1:11">
      <c r="A113">
        <v>1</v>
      </c>
      <c r="B113" t="s">
        <v>18</v>
      </c>
      <c r="C113" s="9">
        <v>5.5</v>
      </c>
      <c r="D113" s="9" t="s">
        <v>16</v>
      </c>
      <c r="E113" s="9">
        <v>2</v>
      </c>
      <c r="F113" s="9">
        <v>3</v>
      </c>
      <c r="G113" s="9">
        <v>2</v>
      </c>
      <c r="H113" s="18">
        <v>1E-4</v>
      </c>
      <c r="I113">
        <f t="shared" si="6"/>
        <v>2.5</v>
      </c>
      <c r="J113">
        <v>10</v>
      </c>
      <c r="K113" s="16">
        <f t="shared" si="5"/>
        <v>2499999.9999999995</v>
      </c>
    </row>
    <row r="114" spans="1:11">
      <c r="A114">
        <v>1</v>
      </c>
      <c r="B114" t="s">
        <v>18</v>
      </c>
      <c r="C114" s="9">
        <v>5.5</v>
      </c>
      <c r="D114" s="9" t="s">
        <v>16</v>
      </c>
      <c r="E114" s="9">
        <v>3</v>
      </c>
      <c r="F114" s="9">
        <v>16</v>
      </c>
      <c r="G114" s="9">
        <v>13</v>
      </c>
      <c r="H114" s="18">
        <v>1E-4</v>
      </c>
      <c r="I114">
        <f t="shared" si="6"/>
        <v>14.5</v>
      </c>
      <c r="J114">
        <v>10</v>
      </c>
      <c r="K114" s="16">
        <f t="shared" si="5"/>
        <v>14499999.999999998</v>
      </c>
    </row>
    <row r="115" spans="1:11">
      <c r="A115">
        <v>1</v>
      </c>
      <c r="B115" t="s">
        <v>18</v>
      </c>
      <c r="C115" s="9">
        <v>5.5</v>
      </c>
      <c r="D115" s="9" t="s">
        <v>16</v>
      </c>
      <c r="E115" s="9">
        <v>4</v>
      </c>
      <c r="F115" s="9">
        <v>22</v>
      </c>
      <c r="G115" s="9">
        <v>23</v>
      </c>
      <c r="H115" s="18">
        <v>1E-4</v>
      </c>
      <c r="I115">
        <f t="shared" si="6"/>
        <v>22.5</v>
      </c>
      <c r="J115">
        <v>10</v>
      </c>
      <c r="K115" s="16">
        <f t="shared" si="5"/>
        <v>22499999.999999996</v>
      </c>
    </row>
    <row r="116" spans="1:11">
      <c r="A116">
        <v>1</v>
      </c>
      <c r="B116" t="s">
        <v>18</v>
      </c>
      <c r="C116" s="9">
        <v>5.5</v>
      </c>
      <c r="D116" s="9" t="s">
        <v>16</v>
      </c>
      <c r="E116" s="9">
        <v>5</v>
      </c>
      <c r="F116" s="9">
        <v>4</v>
      </c>
      <c r="G116" s="9">
        <v>5</v>
      </c>
      <c r="H116" s="18">
        <v>1E-4</v>
      </c>
      <c r="I116">
        <f t="shared" si="6"/>
        <v>4.5</v>
      </c>
      <c r="J116">
        <v>10</v>
      </c>
      <c r="K116" s="16">
        <f t="shared" si="5"/>
        <v>4499999.9999999991</v>
      </c>
    </row>
    <row r="117" spans="1:11">
      <c r="A117">
        <v>1</v>
      </c>
      <c r="B117" t="s">
        <v>18</v>
      </c>
      <c r="C117" s="9">
        <v>5.5</v>
      </c>
      <c r="D117" s="9" t="s">
        <v>16</v>
      </c>
      <c r="E117" s="9">
        <v>6</v>
      </c>
      <c r="F117" s="9">
        <v>19</v>
      </c>
      <c r="G117" s="9">
        <v>24</v>
      </c>
      <c r="H117" s="18">
        <v>1E-4</v>
      </c>
      <c r="I117">
        <f t="shared" si="6"/>
        <v>21.5</v>
      </c>
      <c r="J117">
        <v>10</v>
      </c>
      <c r="K117" s="16">
        <f t="shared" si="5"/>
        <v>21499999.999999996</v>
      </c>
    </row>
    <row r="118" spans="1:11">
      <c r="A118">
        <v>1</v>
      </c>
      <c r="B118" t="s">
        <v>18</v>
      </c>
      <c r="C118" s="9">
        <v>5.5</v>
      </c>
      <c r="D118" s="9" t="s">
        <v>16</v>
      </c>
      <c r="E118" s="9">
        <v>7</v>
      </c>
      <c r="F118" s="9">
        <v>4</v>
      </c>
      <c r="G118" s="9">
        <v>4</v>
      </c>
      <c r="H118" s="18">
        <v>1E-3</v>
      </c>
      <c r="I118">
        <f t="shared" si="6"/>
        <v>4</v>
      </c>
      <c r="J118">
        <v>10</v>
      </c>
      <c r="K118" s="16">
        <f t="shared" si="5"/>
        <v>399999.99999999994</v>
      </c>
    </row>
    <row r="119" spans="1:11">
      <c r="A119">
        <v>1</v>
      </c>
      <c r="B119" t="s">
        <v>18</v>
      </c>
      <c r="C119" s="9">
        <v>5.5</v>
      </c>
      <c r="D119" s="9" t="s">
        <v>16</v>
      </c>
      <c r="E119" s="9">
        <v>8</v>
      </c>
      <c r="F119" s="9">
        <v>13</v>
      </c>
      <c r="G119" s="9">
        <v>15</v>
      </c>
      <c r="H119" s="18">
        <v>1E-3</v>
      </c>
      <c r="I119">
        <f t="shared" si="6"/>
        <v>14</v>
      </c>
      <c r="J119">
        <v>10</v>
      </c>
      <c r="K119" s="16">
        <f t="shared" si="5"/>
        <v>1400000</v>
      </c>
    </row>
    <row r="120" spans="1:11">
      <c r="A120">
        <v>1</v>
      </c>
      <c r="B120" t="s">
        <v>18</v>
      </c>
      <c r="C120" s="9">
        <v>5.5</v>
      </c>
      <c r="D120" s="9" t="s">
        <v>16</v>
      </c>
      <c r="E120" s="9">
        <v>9</v>
      </c>
      <c r="F120" s="9">
        <v>12</v>
      </c>
      <c r="G120" s="9">
        <v>11</v>
      </c>
      <c r="H120" s="18">
        <v>1E-4</v>
      </c>
      <c r="I120">
        <f t="shared" si="6"/>
        <v>11.5</v>
      </c>
      <c r="J120">
        <v>10</v>
      </c>
      <c r="K120" s="16">
        <f t="shared" si="5"/>
        <v>11499999.999999998</v>
      </c>
    </row>
    <row r="121" spans="1:11">
      <c r="A121">
        <v>1</v>
      </c>
      <c r="B121" t="s">
        <v>18</v>
      </c>
      <c r="C121" s="9">
        <v>5.5</v>
      </c>
      <c r="D121" s="9" t="s">
        <v>16</v>
      </c>
      <c r="E121" s="9">
        <v>10</v>
      </c>
      <c r="F121" s="9">
        <v>22</v>
      </c>
      <c r="G121" s="9">
        <v>23</v>
      </c>
      <c r="H121" s="18">
        <v>1E-4</v>
      </c>
      <c r="I121">
        <f t="shared" si="6"/>
        <v>22.5</v>
      </c>
      <c r="J121">
        <v>10</v>
      </c>
      <c r="K121" s="16">
        <f t="shared" si="5"/>
        <v>22499999.999999996</v>
      </c>
    </row>
    <row r="122" spans="1:11">
      <c r="A122">
        <v>1</v>
      </c>
      <c r="B122" t="s">
        <v>18</v>
      </c>
      <c r="C122" s="9">
        <v>6</v>
      </c>
      <c r="D122" s="9" t="s">
        <v>16</v>
      </c>
      <c r="E122" s="9" t="s">
        <v>19</v>
      </c>
      <c r="F122" s="9">
        <v>15</v>
      </c>
      <c r="G122" s="9">
        <v>7</v>
      </c>
      <c r="H122" s="18">
        <v>9.9999999999999995E-7</v>
      </c>
      <c r="I122">
        <f t="shared" si="6"/>
        <v>11</v>
      </c>
      <c r="J122">
        <v>10</v>
      </c>
      <c r="K122" s="16">
        <f t="shared" si="5"/>
        <v>1100000000</v>
      </c>
    </row>
    <row r="123" spans="1:11">
      <c r="A123">
        <v>1</v>
      </c>
      <c r="B123" t="s">
        <v>18</v>
      </c>
      <c r="C123" s="9">
        <v>6</v>
      </c>
      <c r="D123" s="9" t="s">
        <v>16</v>
      </c>
      <c r="E123" s="9" t="s">
        <v>20</v>
      </c>
      <c r="F123" s="9">
        <v>11</v>
      </c>
      <c r="G123" s="9">
        <v>13</v>
      </c>
      <c r="H123" s="18">
        <v>9.9999999999999995E-7</v>
      </c>
      <c r="I123">
        <f t="shared" si="6"/>
        <v>12</v>
      </c>
      <c r="J123">
        <v>10</v>
      </c>
      <c r="K123" s="16">
        <f t="shared" si="5"/>
        <v>1200000000</v>
      </c>
    </row>
    <row r="124" spans="1:11">
      <c r="A124">
        <v>1</v>
      </c>
      <c r="B124" t="s">
        <v>18</v>
      </c>
      <c r="C124" s="9">
        <v>6</v>
      </c>
      <c r="D124" s="9" t="s">
        <v>16</v>
      </c>
      <c r="E124" s="9" t="s">
        <v>21</v>
      </c>
      <c r="F124" s="9">
        <v>11</v>
      </c>
      <c r="G124" s="9">
        <v>5</v>
      </c>
      <c r="H124" s="18">
        <v>9.9999999999999995E-7</v>
      </c>
      <c r="I124">
        <f t="shared" si="6"/>
        <v>8</v>
      </c>
      <c r="J124">
        <v>10</v>
      </c>
      <c r="K124" s="16">
        <f t="shared" si="5"/>
        <v>800000000</v>
      </c>
    </row>
    <row r="125" spans="1:11">
      <c r="A125">
        <v>1</v>
      </c>
      <c r="B125" t="s">
        <v>18</v>
      </c>
      <c r="C125" s="9">
        <v>6</v>
      </c>
      <c r="D125" s="9" t="s">
        <v>16</v>
      </c>
      <c r="E125" s="9" t="s">
        <v>22</v>
      </c>
      <c r="F125" s="9">
        <v>8</v>
      </c>
      <c r="G125" s="9">
        <v>14</v>
      </c>
      <c r="H125" s="18">
        <v>9.9999999999999995E-7</v>
      </c>
      <c r="I125">
        <f t="shared" si="6"/>
        <v>11</v>
      </c>
      <c r="J125">
        <v>10</v>
      </c>
      <c r="K125" s="16">
        <f t="shared" si="5"/>
        <v>1100000000</v>
      </c>
    </row>
    <row r="126" spans="1:11">
      <c r="A126">
        <v>1</v>
      </c>
      <c r="B126" t="s">
        <v>18</v>
      </c>
      <c r="C126" s="9">
        <v>6</v>
      </c>
      <c r="D126" s="9" t="s">
        <v>16</v>
      </c>
      <c r="E126" s="9">
        <v>1</v>
      </c>
      <c r="F126" s="9">
        <v>13</v>
      </c>
      <c r="G126" s="9">
        <v>3</v>
      </c>
      <c r="H126" s="18">
        <v>9.9999999999999995E-7</v>
      </c>
      <c r="I126">
        <f t="shared" si="6"/>
        <v>8</v>
      </c>
      <c r="J126">
        <v>10</v>
      </c>
      <c r="K126" s="16">
        <f t="shared" si="5"/>
        <v>800000000</v>
      </c>
    </row>
    <row r="127" spans="1:11">
      <c r="A127">
        <v>1</v>
      </c>
      <c r="B127" t="s">
        <v>18</v>
      </c>
      <c r="C127" s="9">
        <v>6</v>
      </c>
      <c r="D127" s="9" t="s">
        <v>16</v>
      </c>
      <c r="E127" s="9">
        <v>2</v>
      </c>
      <c r="F127" s="9">
        <v>4</v>
      </c>
      <c r="G127" s="9">
        <v>3</v>
      </c>
      <c r="H127" s="18">
        <v>9.9999999999999995E-7</v>
      </c>
      <c r="I127">
        <f t="shared" si="6"/>
        <v>3.5</v>
      </c>
      <c r="J127">
        <v>10</v>
      </c>
      <c r="K127" s="16">
        <f t="shared" si="5"/>
        <v>350000000</v>
      </c>
    </row>
    <row r="128" spans="1:11">
      <c r="A128">
        <v>1</v>
      </c>
      <c r="B128" t="s">
        <v>18</v>
      </c>
      <c r="C128" s="9">
        <v>6</v>
      </c>
      <c r="D128" s="9" t="s">
        <v>16</v>
      </c>
      <c r="E128" s="9">
        <v>3</v>
      </c>
      <c r="F128" s="9">
        <v>11</v>
      </c>
      <c r="G128" s="9">
        <v>10</v>
      </c>
      <c r="H128" s="18">
        <v>9.9999999999999995E-7</v>
      </c>
      <c r="I128">
        <f t="shared" si="6"/>
        <v>10.5</v>
      </c>
      <c r="J128">
        <v>10</v>
      </c>
      <c r="K128" s="16">
        <f t="shared" si="5"/>
        <v>1050000000</v>
      </c>
    </row>
    <row r="129" spans="1:11">
      <c r="A129">
        <v>1</v>
      </c>
      <c r="B129" t="s">
        <v>18</v>
      </c>
      <c r="C129" s="9">
        <v>6</v>
      </c>
      <c r="D129" s="9" t="s">
        <v>16</v>
      </c>
      <c r="E129" s="9">
        <v>4</v>
      </c>
      <c r="F129" s="9">
        <v>14</v>
      </c>
      <c r="G129" s="9">
        <v>13</v>
      </c>
      <c r="H129" s="18">
        <v>9.9999999999999995E-7</v>
      </c>
      <c r="I129">
        <f t="shared" si="6"/>
        <v>13.5</v>
      </c>
      <c r="J129">
        <v>10</v>
      </c>
      <c r="K129" s="16">
        <f t="shared" si="5"/>
        <v>1350000000</v>
      </c>
    </row>
    <row r="130" spans="1:11">
      <c r="A130">
        <v>1</v>
      </c>
      <c r="B130" t="s">
        <v>18</v>
      </c>
      <c r="C130" s="9">
        <v>6</v>
      </c>
      <c r="D130" s="9" t="s">
        <v>16</v>
      </c>
      <c r="E130" s="9">
        <v>5</v>
      </c>
      <c r="F130" s="9">
        <v>10</v>
      </c>
      <c r="G130" s="9">
        <v>7</v>
      </c>
      <c r="H130" s="18">
        <v>9.9999999999999995E-7</v>
      </c>
      <c r="I130">
        <f t="shared" si="6"/>
        <v>8.5</v>
      </c>
      <c r="J130">
        <v>10</v>
      </c>
      <c r="K130" s="16">
        <f t="shared" si="5"/>
        <v>850000000</v>
      </c>
    </row>
    <row r="131" spans="1:11">
      <c r="A131">
        <v>1</v>
      </c>
      <c r="B131" t="s">
        <v>18</v>
      </c>
      <c r="C131" s="9">
        <v>6</v>
      </c>
      <c r="D131" s="9" t="s">
        <v>16</v>
      </c>
      <c r="E131" s="9">
        <v>6</v>
      </c>
      <c r="F131" s="9">
        <v>33</v>
      </c>
      <c r="G131" s="10">
        <v>40</v>
      </c>
      <c r="H131" s="18">
        <v>1.0000000000000001E-5</v>
      </c>
      <c r="I131">
        <f t="shared" si="6"/>
        <v>36.5</v>
      </c>
      <c r="J131">
        <v>10</v>
      </c>
      <c r="K131" s="16">
        <f t="shared" si="5"/>
        <v>364999999.99999994</v>
      </c>
    </row>
    <row r="132" spans="1:11">
      <c r="A132">
        <v>1</v>
      </c>
      <c r="B132" t="s">
        <v>18</v>
      </c>
      <c r="C132" s="9">
        <v>6</v>
      </c>
      <c r="D132" s="9" t="s">
        <v>16</v>
      </c>
      <c r="E132" s="9">
        <v>7</v>
      </c>
      <c r="F132" s="9">
        <v>10</v>
      </c>
      <c r="G132" s="9">
        <v>12</v>
      </c>
      <c r="H132" s="18">
        <v>9.9999999999999995E-7</v>
      </c>
      <c r="I132">
        <f t="shared" si="6"/>
        <v>11</v>
      </c>
      <c r="J132">
        <v>10</v>
      </c>
      <c r="K132" s="16">
        <f t="shared" si="5"/>
        <v>1100000000</v>
      </c>
    </row>
    <row r="133" spans="1:11">
      <c r="A133">
        <v>1</v>
      </c>
      <c r="B133" t="s">
        <v>18</v>
      </c>
      <c r="C133" s="9">
        <v>6</v>
      </c>
      <c r="D133" s="9" t="s">
        <v>16</v>
      </c>
      <c r="E133" s="9">
        <v>8</v>
      </c>
      <c r="F133" s="9">
        <v>9</v>
      </c>
      <c r="G133" s="9">
        <v>13</v>
      </c>
      <c r="H133" s="18">
        <v>9.9999999999999995E-7</v>
      </c>
      <c r="I133">
        <f t="shared" si="6"/>
        <v>11</v>
      </c>
      <c r="J133">
        <v>10</v>
      </c>
      <c r="K133" s="16">
        <f t="shared" si="5"/>
        <v>1100000000</v>
      </c>
    </row>
    <row r="134" spans="1:11">
      <c r="A134">
        <v>1</v>
      </c>
      <c r="B134" t="s">
        <v>18</v>
      </c>
      <c r="C134" s="9">
        <v>6</v>
      </c>
      <c r="D134" s="9" t="s">
        <v>16</v>
      </c>
      <c r="E134" s="9">
        <v>9</v>
      </c>
      <c r="F134" s="9">
        <v>4</v>
      </c>
      <c r="G134" s="9">
        <v>7</v>
      </c>
      <c r="H134" s="18">
        <v>9.9999999999999995E-7</v>
      </c>
      <c r="I134">
        <f t="shared" si="6"/>
        <v>5.5</v>
      </c>
      <c r="J134">
        <v>10</v>
      </c>
      <c r="K134" s="16">
        <f t="shared" si="5"/>
        <v>550000000</v>
      </c>
    </row>
    <row r="135" spans="1:11">
      <c r="A135">
        <v>1</v>
      </c>
      <c r="B135" t="s">
        <v>18</v>
      </c>
      <c r="C135" s="9">
        <v>6</v>
      </c>
      <c r="D135" s="9" t="s">
        <v>16</v>
      </c>
      <c r="E135" s="9">
        <v>10</v>
      </c>
      <c r="F135" s="9">
        <v>10</v>
      </c>
      <c r="G135" s="9">
        <v>5</v>
      </c>
      <c r="H135" s="18">
        <v>9.9999999999999995E-7</v>
      </c>
      <c r="I135">
        <f t="shared" si="6"/>
        <v>7.5</v>
      </c>
      <c r="J135">
        <v>10</v>
      </c>
      <c r="K135" s="16">
        <f t="shared" si="5"/>
        <v>750000000</v>
      </c>
    </row>
    <row r="136" spans="1:11">
      <c r="A136">
        <v>1</v>
      </c>
      <c r="B136" t="s">
        <v>18</v>
      </c>
      <c r="C136" s="9">
        <v>6.5</v>
      </c>
      <c r="D136" s="9" t="s">
        <v>16</v>
      </c>
      <c r="E136" s="9">
        <v>1</v>
      </c>
      <c r="F136" s="9">
        <v>4</v>
      </c>
      <c r="G136" s="9">
        <v>5</v>
      </c>
      <c r="H136" s="18">
        <v>1.0000000000000001E-5</v>
      </c>
      <c r="I136">
        <f t="shared" ref="I136:I164" si="7">AVERAGE(F136:G136)</f>
        <v>4.5</v>
      </c>
      <c r="J136">
        <v>10</v>
      </c>
      <c r="K136" s="16">
        <f t="shared" si="5"/>
        <v>44999999.999999993</v>
      </c>
    </row>
    <row r="137" spans="1:11">
      <c r="A137">
        <v>1</v>
      </c>
      <c r="B137" t="s">
        <v>18</v>
      </c>
      <c r="C137" s="9">
        <v>6.5</v>
      </c>
      <c r="D137" s="9" t="s">
        <v>16</v>
      </c>
      <c r="E137" s="9">
        <v>2</v>
      </c>
      <c r="F137" s="9">
        <v>4</v>
      </c>
      <c r="G137" s="9">
        <v>1</v>
      </c>
      <c r="H137" s="18">
        <v>1.0000000000000001E-5</v>
      </c>
      <c r="I137">
        <f t="shared" si="7"/>
        <v>2.5</v>
      </c>
      <c r="J137">
        <v>10</v>
      </c>
      <c r="K137" s="16">
        <f t="shared" si="5"/>
        <v>24999999.999999996</v>
      </c>
    </row>
    <row r="138" spans="1:11">
      <c r="A138">
        <v>1</v>
      </c>
      <c r="B138" t="s">
        <v>18</v>
      </c>
      <c r="C138" s="9">
        <v>6.5</v>
      </c>
      <c r="D138" s="9" t="s">
        <v>16</v>
      </c>
      <c r="E138" s="9">
        <v>3</v>
      </c>
      <c r="F138" s="9">
        <v>31</v>
      </c>
      <c r="G138" s="9">
        <v>30</v>
      </c>
      <c r="H138" s="18">
        <v>1E-4</v>
      </c>
      <c r="I138">
        <f t="shared" si="7"/>
        <v>30.5</v>
      </c>
      <c r="J138">
        <v>10</v>
      </c>
      <c r="K138" s="16">
        <f t="shared" si="5"/>
        <v>30499999.999999996</v>
      </c>
    </row>
    <row r="139" spans="1:11">
      <c r="A139">
        <v>1</v>
      </c>
      <c r="B139" t="s">
        <v>18</v>
      </c>
      <c r="C139" s="9">
        <v>6.5</v>
      </c>
      <c r="D139" s="9" t="s">
        <v>16</v>
      </c>
      <c r="E139" s="9">
        <v>4</v>
      </c>
      <c r="F139" s="9">
        <v>12</v>
      </c>
      <c r="G139" s="9">
        <v>5</v>
      </c>
      <c r="H139" s="18">
        <v>1.0000000000000001E-5</v>
      </c>
      <c r="I139">
        <f t="shared" si="7"/>
        <v>8.5</v>
      </c>
      <c r="J139">
        <v>10</v>
      </c>
      <c r="K139" s="16">
        <f t="shared" si="5"/>
        <v>85000000</v>
      </c>
    </row>
    <row r="140" spans="1:11">
      <c r="A140">
        <v>1</v>
      </c>
      <c r="B140" t="s">
        <v>18</v>
      </c>
      <c r="C140" s="9">
        <v>6.5</v>
      </c>
      <c r="D140" s="9" t="s">
        <v>16</v>
      </c>
      <c r="E140" s="9">
        <v>5</v>
      </c>
      <c r="F140" s="9">
        <v>11</v>
      </c>
      <c r="G140" s="9">
        <v>14</v>
      </c>
      <c r="H140" s="18">
        <v>1.0000000000000001E-5</v>
      </c>
      <c r="I140">
        <f t="shared" si="7"/>
        <v>12.5</v>
      </c>
      <c r="J140">
        <v>10</v>
      </c>
      <c r="K140" s="16">
        <f t="shared" si="5"/>
        <v>124999999.99999999</v>
      </c>
    </row>
    <row r="141" spans="1:11">
      <c r="A141">
        <v>1</v>
      </c>
      <c r="B141" t="s">
        <v>18</v>
      </c>
      <c r="C141" s="9">
        <v>6.5</v>
      </c>
      <c r="D141" s="9" t="s">
        <v>16</v>
      </c>
      <c r="E141" s="9">
        <v>6</v>
      </c>
      <c r="F141" s="9">
        <v>32</v>
      </c>
      <c r="G141" s="9">
        <v>25</v>
      </c>
      <c r="H141" s="18">
        <v>1E-4</v>
      </c>
      <c r="I141">
        <f t="shared" si="7"/>
        <v>28.5</v>
      </c>
      <c r="J141">
        <v>10</v>
      </c>
      <c r="K141" s="16">
        <f t="shared" si="5"/>
        <v>28499999.999999996</v>
      </c>
    </row>
    <row r="142" spans="1:11">
      <c r="A142">
        <v>1</v>
      </c>
      <c r="B142" t="s">
        <v>18</v>
      </c>
      <c r="C142" s="9">
        <v>6.5</v>
      </c>
      <c r="D142" s="9" t="s">
        <v>16</v>
      </c>
      <c r="E142" s="9">
        <v>7</v>
      </c>
      <c r="F142" s="9">
        <v>3</v>
      </c>
      <c r="G142" s="9">
        <v>3</v>
      </c>
      <c r="H142" s="18">
        <v>1.0000000000000001E-5</v>
      </c>
      <c r="I142">
        <f t="shared" si="7"/>
        <v>3</v>
      </c>
      <c r="J142">
        <v>10</v>
      </c>
      <c r="K142" s="16">
        <f t="shared" si="5"/>
        <v>29999999.999999996</v>
      </c>
    </row>
    <row r="143" spans="1:11">
      <c r="A143">
        <v>1</v>
      </c>
      <c r="B143" t="s">
        <v>18</v>
      </c>
      <c r="C143" s="9">
        <v>6.5</v>
      </c>
      <c r="D143" s="9" t="s">
        <v>16</v>
      </c>
      <c r="E143" s="9">
        <v>8</v>
      </c>
      <c r="F143" s="9">
        <v>13</v>
      </c>
      <c r="G143" s="9">
        <v>8</v>
      </c>
      <c r="H143" s="18">
        <v>1.0000000000000001E-5</v>
      </c>
      <c r="I143">
        <f t="shared" si="7"/>
        <v>10.5</v>
      </c>
      <c r="J143">
        <v>10</v>
      </c>
      <c r="K143" s="16">
        <f t="shared" si="5"/>
        <v>104999999.99999999</v>
      </c>
    </row>
    <row r="144" spans="1:11">
      <c r="A144">
        <v>1</v>
      </c>
      <c r="B144" t="s">
        <v>18</v>
      </c>
      <c r="C144" s="9">
        <v>6.5</v>
      </c>
      <c r="D144" s="9" t="s">
        <v>16</v>
      </c>
      <c r="E144" s="9">
        <v>9</v>
      </c>
      <c r="F144" s="9">
        <v>8</v>
      </c>
      <c r="G144" s="9">
        <v>8</v>
      </c>
      <c r="H144" s="18">
        <v>1.0000000000000001E-5</v>
      </c>
      <c r="I144">
        <f t="shared" si="7"/>
        <v>8</v>
      </c>
      <c r="J144">
        <v>10</v>
      </c>
      <c r="K144" s="16">
        <f t="shared" si="5"/>
        <v>80000000</v>
      </c>
    </row>
    <row r="145" spans="1:11">
      <c r="A145">
        <v>1</v>
      </c>
      <c r="B145" t="s">
        <v>18</v>
      </c>
      <c r="C145" s="9">
        <v>6.5</v>
      </c>
      <c r="D145" s="9" t="s">
        <v>16</v>
      </c>
      <c r="E145" s="9">
        <v>10</v>
      </c>
      <c r="F145" s="9">
        <v>9</v>
      </c>
      <c r="G145" s="9">
        <v>5</v>
      </c>
      <c r="H145" s="18">
        <v>1.0000000000000001E-5</v>
      </c>
      <c r="I145">
        <f t="shared" si="7"/>
        <v>7</v>
      </c>
      <c r="J145">
        <v>10</v>
      </c>
      <c r="K145" s="16">
        <f t="shared" si="5"/>
        <v>70000000</v>
      </c>
    </row>
    <row r="146" spans="1:11">
      <c r="A146">
        <v>1</v>
      </c>
      <c r="B146" t="s">
        <v>18</v>
      </c>
      <c r="C146" s="9">
        <v>7</v>
      </c>
      <c r="D146" s="9" t="s">
        <v>16</v>
      </c>
      <c r="E146" s="9" t="s">
        <v>19</v>
      </c>
      <c r="F146" s="9">
        <v>10</v>
      </c>
      <c r="G146" s="9">
        <v>12</v>
      </c>
      <c r="H146" s="18">
        <v>9.9999999999999995E-7</v>
      </c>
      <c r="I146">
        <f t="shared" si="7"/>
        <v>11</v>
      </c>
      <c r="J146">
        <v>10</v>
      </c>
      <c r="K146" s="16">
        <f t="shared" si="5"/>
        <v>1100000000</v>
      </c>
    </row>
    <row r="147" spans="1:11">
      <c r="A147">
        <v>1</v>
      </c>
      <c r="B147" t="s">
        <v>18</v>
      </c>
      <c r="C147" s="9">
        <v>7</v>
      </c>
      <c r="D147" s="9" t="s">
        <v>16</v>
      </c>
      <c r="E147" s="9" t="s">
        <v>20</v>
      </c>
      <c r="F147" s="9">
        <v>9</v>
      </c>
      <c r="G147" s="9">
        <v>11</v>
      </c>
      <c r="H147" s="18">
        <v>9.9999999999999995E-7</v>
      </c>
      <c r="I147">
        <f t="shared" si="7"/>
        <v>10</v>
      </c>
      <c r="J147">
        <v>10</v>
      </c>
      <c r="K147" s="16">
        <f t="shared" ref="K147:K210" si="8">I147/(H147*(J147/1000))</f>
        <v>1000000000</v>
      </c>
    </row>
    <row r="148" spans="1:11">
      <c r="A148">
        <v>1</v>
      </c>
      <c r="B148" t="s">
        <v>18</v>
      </c>
      <c r="C148" s="9">
        <v>7</v>
      </c>
      <c r="D148" s="9" t="s">
        <v>16</v>
      </c>
      <c r="E148" s="9" t="s">
        <v>21</v>
      </c>
      <c r="F148" s="9">
        <v>10</v>
      </c>
      <c r="G148" s="9">
        <v>13</v>
      </c>
      <c r="H148" s="18">
        <v>9.9999999999999995E-7</v>
      </c>
      <c r="I148">
        <f t="shared" si="7"/>
        <v>11.5</v>
      </c>
      <c r="J148">
        <v>10</v>
      </c>
      <c r="K148" s="16">
        <f t="shared" si="8"/>
        <v>1150000000</v>
      </c>
    </row>
    <row r="149" spans="1:11">
      <c r="A149">
        <v>1</v>
      </c>
      <c r="B149" t="s">
        <v>18</v>
      </c>
      <c r="C149" s="9">
        <v>7</v>
      </c>
      <c r="D149" s="9" t="s">
        <v>16</v>
      </c>
      <c r="E149" s="9" t="s">
        <v>22</v>
      </c>
      <c r="F149" s="9">
        <v>9</v>
      </c>
      <c r="G149" s="9">
        <v>9</v>
      </c>
      <c r="H149" s="18">
        <v>9.9999999999999995E-7</v>
      </c>
      <c r="I149">
        <f t="shared" si="7"/>
        <v>9</v>
      </c>
      <c r="J149">
        <v>10</v>
      </c>
      <c r="K149" s="16">
        <f t="shared" si="8"/>
        <v>900000000</v>
      </c>
    </row>
    <row r="150" spans="1:11">
      <c r="A150">
        <v>1</v>
      </c>
      <c r="B150" t="s">
        <v>18</v>
      </c>
      <c r="C150" s="9">
        <v>7</v>
      </c>
      <c r="D150" s="9" t="s">
        <v>16</v>
      </c>
      <c r="E150" s="9">
        <v>1</v>
      </c>
      <c r="F150" s="9">
        <v>4</v>
      </c>
      <c r="G150" s="9">
        <v>4</v>
      </c>
      <c r="H150" s="18">
        <v>9.9999999999999995E-7</v>
      </c>
      <c r="I150">
        <f t="shared" si="7"/>
        <v>4</v>
      </c>
      <c r="J150">
        <v>10</v>
      </c>
      <c r="K150" s="16">
        <f t="shared" si="8"/>
        <v>400000000</v>
      </c>
    </row>
    <row r="151" spans="1:11">
      <c r="A151">
        <v>1</v>
      </c>
      <c r="B151" t="s">
        <v>18</v>
      </c>
      <c r="C151" s="9">
        <v>7</v>
      </c>
      <c r="D151" s="9" t="s">
        <v>16</v>
      </c>
      <c r="E151" s="9">
        <v>2</v>
      </c>
      <c r="F151" s="9">
        <v>3</v>
      </c>
      <c r="G151" s="9">
        <v>4</v>
      </c>
      <c r="H151" s="18">
        <v>9.9999999999999995E-7</v>
      </c>
      <c r="I151">
        <f t="shared" si="7"/>
        <v>3.5</v>
      </c>
      <c r="J151">
        <v>10</v>
      </c>
      <c r="K151" s="16">
        <f t="shared" si="8"/>
        <v>350000000</v>
      </c>
    </row>
    <row r="152" spans="1:11">
      <c r="A152">
        <v>1</v>
      </c>
      <c r="B152" t="s">
        <v>18</v>
      </c>
      <c r="C152" s="9">
        <v>7</v>
      </c>
      <c r="D152" s="9" t="s">
        <v>16</v>
      </c>
      <c r="E152" s="9">
        <v>3</v>
      </c>
      <c r="F152" s="9">
        <v>8</v>
      </c>
      <c r="G152" s="9">
        <v>6</v>
      </c>
      <c r="H152" s="18">
        <v>9.9999999999999995E-7</v>
      </c>
      <c r="I152">
        <f t="shared" si="7"/>
        <v>7</v>
      </c>
      <c r="J152">
        <v>10</v>
      </c>
      <c r="K152" s="16">
        <f t="shared" si="8"/>
        <v>700000000</v>
      </c>
    </row>
    <row r="153" spans="1:11">
      <c r="A153">
        <v>1</v>
      </c>
      <c r="B153" t="s">
        <v>18</v>
      </c>
      <c r="C153" s="9">
        <v>7</v>
      </c>
      <c r="D153" s="9" t="s">
        <v>16</v>
      </c>
      <c r="E153" s="9">
        <v>4</v>
      </c>
      <c r="F153" s="9">
        <v>3</v>
      </c>
      <c r="G153" s="9">
        <v>3</v>
      </c>
      <c r="H153" s="18">
        <v>9.9999999999999995E-7</v>
      </c>
      <c r="I153">
        <f t="shared" si="7"/>
        <v>3</v>
      </c>
      <c r="J153">
        <v>10</v>
      </c>
      <c r="K153" s="16">
        <f t="shared" si="8"/>
        <v>300000000</v>
      </c>
    </row>
    <row r="154" spans="1:11">
      <c r="A154">
        <v>1</v>
      </c>
      <c r="B154" t="s">
        <v>18</v>
      </c>
      <c r="C154" s="9">
        <v>7</v>
      </c>
      <c r="D154" s="9" t="s">
        <v>16</v>
      </c>
      <c r="E154" s="9">
        <v>5</v>
      </c>
      <c r="F154" s="9">
        <v>4</v>
      </c>
      <c r="G154" s="9">
        <v>10</v>
      </c>
      <c r="H154" s="18">
        <v>9.9999999999999995E-7</v>
      </c>
      <c r="I154">
        <f t="shared" si="7"/>
        <v>7</v>
      </c>
      <c r="J154">
        <v>10</v>
      </c>
      <c r="K154" s="16">
        <f t="shared" si="8"/>
        <v>700000000</v>
      </c>
    </row>
    <row r="155" spans="1:11">
      <c r="A155">
        <v>1</v>
      </c>
      <c r="B155" t="s">
        <v>18</v>
      </c>
      <c r="C155" s="9">
        <v>7</v>
      </c>
      <c r="D155" s="9" t="s">
        <v>16</v>
      </c>
      <c r="E155" s="9">
        <v>6</v>
      </c>
      <c r="F155" s="9">
        <v>3</v>
      </c>
      <c r="G155" s="9">
        <v>2</v>
      </c>
      <c r="H155" s="18">
        <v>9.9999999999999995E-7</v>
      </c>
      <c r="I155">
        <f t="shared" si="7"/>
        <v>2.5</v>
      </c>
      <c r="J155">
        <v>10</v>
      </c>
      <c r="K155" s="16">
        <f t="shared" si="8"/>
        <v>250000000</v>
      </c>
    </row>
    <row r="156" spans="1:11">
      <c r="A156">
        <v>1</v>
      </c>
      <c r="B156" t="s">
        <v>18</v>
      </c>
      <c r="C156" s="9">
        <v>7</v>
      </c>
      <c r="D156" s="9" t="s">
        <v>16</v>
      </c>
      <c r="E156" s="9">
        <v>7</v>
      </c>
      <c r="F156" s="9">
        <v>6</v>
      </c>
      <c r="G156" s="9">
        <v>6</v>
      </c>
      <c r="H156" s="18">
        <v>9.9999999999999995E-7</v>
      </c>
      <c r="I156">
        <f t="shared" si="7"/>
        <v>6</v>
      </c>
      <c r="J156">
        <v>10</v>
      </c>
      <c r="K156" s="16">
        <f t="shared" si="8"/>
        <v>600000000</v>
      </c>
    </row>
    <row r="157" spans="1:11">
      <c r="A157">
        <v>1</v>
      </c>
      <c r="B157" t="s">
        <v>18</v>
      </c>
      <c r="C157" s="9">
        <v>7</v>
      </c>
      <c r="D157" s="9" t="s">
        <v>16</v>
      </c>
      <c r="E157" s="9">
        <v>8</v>
      </c>
      <c r="F157" s="9">
        <v>4</v>
      </c>
      <c r="G157" s="9">
        <v>6</v>
      </c>
      <c r="H157" s="18">
        <v>9.9999999999999995E-7</v>
      </c>
      <c r="I157">
        <f t="shared" si="7"/>
        <v>5</v>
      </c>
      <c r="J157">
        <v>10</v>
      </c>
      <c r="K157" s="16">
        <f t="shared" si="8"/>
        <v>500000000</v>
      </c>
    </row>
    <row r="158" spans="1:11">
      <c r="A158">
        <v>1</v>
      </c>
      <c r="B158" t="s">
        <v>18</v>
      </c>
      <c r="C158" s="9">
        <v>7</v>
      </c>
      <c r="D158" s="9" t="s">
        <v>16</v>
      </c>
      <c r="E158" s="9">
        <v>9</v>
      </c>
      <c r="F158" s="9">
        <v>34</v>
      </c>
      <c r="G158" s="10">
        <v>40</v>
      </c>
      <c r="H158" s="18">
        <v>1.0000000000000001E-5</v>
      </c>
      <c r="I158">
        <f t="shared" si="7"/>
        <v>37</v>
      </c>
      <c r="J158">
        <v>10</v>
      </c>
      <c r="K158" s="16">
        <f t="shared" si="8"/>
        <v>369999999.99999994</v>
      </c>
    </row>
    <row r="159" spans="1:11">
      <c r="A159">
        <v>1</v>
      </c>
      <c r="B159" t="s">
        <v>18</v>
      </c>
      <c r="C159" s="9">
        <v>7</v>
      </c>
      <c r="D159" s="9" t="s">
        <v>16</v>
      </c>
      <c r="E159" s="9">
        <v>10</v>
      </c>
      <c r="F159" s="9">
        <v>5</v>
      </c>
      <c r="G159" s="9">
        <v>6</v>
      </c>
      <c r="H159" s="18">
        <v>9.9999999999999995E-7</v>
      </c>
      <c r="I159">
        <f t="shared" si="7"/>
        <v>5.5</v>
      </c>
      <c r="J159">
        <v>10</v>
      </c>
      <c r="K159" s="16">
        <f t="shared" si="8"/>
        <v>550000000</v>
      </c>
    </row>
    <row r="160" spans="1:11">
      <c r="A160">
        <v>1</v>
      </c>
      <c r="B160" t="s">
        <v>18</v>
      </c>
      <c r="C160" s="9">
        <v>7.5</v>
      </c>
      <c r="D160" s="9" t="s">
        <v>16</v>
      </c>
      <c r="E160" s="9">
        <v>1</v>
      </c>
      <c r="F160" s="9">
        <v>5</v>
      </c>
      <c r="G160" s="9">
        <v>7</v>
      </c>
      <c r="H160" s="18">
        <v>1.0000000000000001E-5</v>
      </c>
      <c r="I160">
        <f t="shared" si="7"/>
        <v>6</v>
      </c>
      <c r="J160">
        <v>10</v>
      </c>
      <c r="K160" s="16">
        <f t="shared" si="8"/>
        <v>59999999.999999993</v>
      </c>
    </row>
    <row r="161" spans="1:11">
      <c r="A161">
        <v>1</v>
      </c>
      <c r="B161" t="s">
        <v>18</v>
      </c>
      <c r="C161" s="9">
        <v>7.5</v>
      </c>
      <c r="D161" s="9" t="s">
        <v>16</v>
      </c>
      <c r="E161" s="9">
        <v>2</v>
      </c>
      <c r="F161" s="9">
        <v>10</v>
      </c>
      <c r="G161" s="9">
        <v>18</v>
      </c>
      <c r="H161" s="18">
        <v>1.0000000000000001E-5</v>
      </c>
      <c r="I161">
        <f t="shared" si="7"/>
        <v>14</v>
      </c>
      <c r="J161">
        <v>10</v>
      </c>
      <c r="K161" s="16">
        <f t="shared" si="8"/>
        <v>140000000</v>
      </c>
    </row>
    <row r="162" spans="1:11">
      <c r="A162">
        <v>1</v>
      </c>
      <c r="B162" t="s">
        <v>18</v>
      </c>
      <c r="C162" s="9">
        <v>7.5</v>
      </c>
      <c r="D162" s="9" t="s">
        <v>16</v>
      </c>
      <c r="E162" s="9">
        <v>3</v>
      </c>
      <c r="F162" s="9">
        <v>7</v>
      </c>
      <c r="G162" s="9">
        <v>9</v>
      </c>
      <c r="H162" s="18">
        <v>1.0000000000000001E-5</v>
      </c>
      <c r="I162">
        <f t="shared" si="7"/>
        <v>8</v>
      </c>
      <c r="J162">
        <v>10</v>
      </c>
      <c r="K162" s="16">
        <f t="shared" si="8"/>
        <v>80000000</v>
      </c>
    </row>
    <row r="163" spans="1:11">
      <c r="A163">
        <v>1</v>
      </c>
      <c r="B163" t="s">
        <v>18</v>
      </c>
      <c r="C163" s="9">
        <v>7.5</v>
      </c>
      <c r="D163" s="9" t="s">
        <v>16</v>
      </c>
      <c r="E163" s="9">
        <v>4</v>
      </c>
      <c r="F163" s="9">
        <v>8</v>
      </c>
      <c r="G163" s="9">
        <v>7</v>
      </c>
      <c r="H163" s="18">
        <v>1.0000000000000001E-5</v>
      </c>
      <c r="I163">
        <f t="shared" si="7"/>
        <v>7.5</v>
      </c>
      <c r="J163">
        <v>10</v>
      </c>
      <c r="K163" s="16">
        <f t="shared" si="8"/>
        <v>75000000</v>
      </c>
    </row>
    <row r="164" spans="1:11">
      <c r="A164">
        <v>1</v>
      </c>
      <c r="B164" t="s">
        <v>18</v>
      </c>
      <c r="C164" s="9">
        <v>7.5</v>
      </c>
      <c r="D164" s="9" t="s">
        <v>16</v>
      </c>
      <c r="E164" s="9">
        <v>5</v>
      </c>
      <c r="F164" s="9">
        <v>11</v>
      </c>
      <c r="G164" s="9">
        <v>12</v>
      </c>
      <c r="H164" s="18">
        <v>1.0000000000000001E-5</v>
      </c>
      <c r="I164">
        <f t="shared" si="7"/>
        <v>11.5</v>
      </c>
      <c r="J164">
        <v>10</v>
      </c>
      <c r="K164" s="16">
        <f t="shared" si="8"/>
        <v>114999999.99999999</v>
      </c>
    </row>
    <row r="165" spans="1:11">
      <c r="A165">
        <v>1</v>
      </c>
      <c r="B165" t="s">
        <v>18</v>
      </c>
      <c r="C165" s="9">
        <v>7.5</v>
      </c>
      <c r="D165" s="9" t="s">
        <v>16</v>
      </c>
      <c r="E165" s="9">
        <v>6</v>
      </c>
      <c r="F165" s="9">
        <v>3</v>
      </c>
      <c r="G165" s="9">
        <v>8</v>
      </c>
      <c r="H165" s="18">
        <v>1.0000000000000001E-5</v>
      </c>
      <c r="I165">
        <f t="shared" ref="I165:I194" si="9">AVERAGE(F165:G165)</f>
        <v>5.5</v>
      </c>
      <c r="J165">
        <v>10</v>
      </c>
      <c r="K165" s="16">
        <f t="shared" si="8"/>
        <v>54999999.999999993</v>
      </c>
    </row>
    <row r="166" spans="1:11">
      <c r="A166">
        <v>1</v>
      </c>
      <c r="B166" t="s">
        <v>18</v>
      </c>
      <c r="C166" s="9">
        <v>7.5</v>
      </c>
      <c r="D166" s="9" t="s">
        <v>16</v>
      </c>
      <c r="E166" s="9">
        <v>7</v>
      </c>
      <c r="F166" s="9">
        <v>10</v>
      </c>
      <c r="G166" s="9">
        <v>5</v>
      </c>
      <c r="H166" s="18">
        <v>1.0000000000000001E-5</v>
      </c>
      <c r="I166">
        <f t="shared" si="9"/>
        <v>7.5</v>
      </c>
      <c r="J166">
        <v>10</v>
      </c>
      <c r="K166" s="16">
        <f t="shared" si="8"/>
        <v>75000000</v>
      </c>
    </row>
    <row r="167" spans="1:11">
      <c r="A167">
        <v>1</v>
      </c>
      <c r="B167" t="s">
        <v>18</v>
      </c>
      <c r="C167" s="9">
        <v>7.5</v>
      </c>
      <c r="D167" s="9" t="s">
        <v>16</v>
      </c>
      <c r="E167" s="9">
        <v>8</v>
      </c>
      <c r="F167" s="9">
        <v>3</v>
      </c>
      <c r="G167" s="9">
        <v>5</v>
      </c>
      <c r="H167" s="18">
        <v>1.0000000000000001E-5</v>
      </c>
      <c r="I167">
        <f t="shared" si="9"/>
        <v>4</v>
      </c>
      <c r="J167">
        <v>10</v>
      </c>
      <c r="K167" s="16">
        <f t="shared" si="8"/>
        <v>40000000</v>
      </c>
    </row>
    <row r="168" spans="1:11">
      <c r="A168">
        <v>1</v>
      </c>
      <c r="B168" t="s">
        <v>18</v>
      </c>
      <c r="C168" s="9">
        <v>7.5</v>
      </c>
      <c r="D168" s="9" t="s">
        <v>16</v>
      </c>
      <c r="E168" s="9">
        <v>9</v>
      </c>
      <c r="F168" s="9">
        <v>2</v>
      </c>
      <c r="G168" s="9">
        <v>7</v>
      </c>
      <c r="H168" s="18">
        <v>1.0000000000000001E-5</v>
      </c>
      <c r="I168">
        <f t="shared" si="9"/>
        <v>4.5</v>
      </c>
      <c r="J168">
        <v>10</v>
      </c>
      <c r="K168" s="16">
        <f t="shared" si="8"/>
        <v>44999999.999999993</v>
      </c>
    </row>
    <row r="169" spans="1:11">
      <c r="A169">
        <v>1</v>
      </c>
      <c r="B169" t="s">
        <v>18</v>
      </c>
      <c r="C169" s="9">
        <v>7.5</v>
      </c>
      <c r="D169" s="9" t="s">
        <v>16</v>
      </c>
      <c r="E169" s="9">
        <v>10</v>
      </c>
      <c r="F169" s="9">
        <v>12</v>
      </c>
      <c r="G169" s="9">
        <v>14</v>
      </c>
      <c r="H169" s="18">
        <v>1.0000000000000001E-5</v>
      </c>
      <c r="I169">
        <f t="shared" si="9"/>
        <v>13</v>
      </c>
      <c r="J169">
        <v>10</v>
      </c>
      <c r="K169" s="16">
        <f t="shared" si="8"/>
        <v>129999999.99999999</v>
      </c>
    </row>
    <row r="170" spans="1:11">
      <c r="A170">
        <v>1</v>
      </c>
      <c r="B170" t="s">
        <v>18</v>
      </c>
      <c r="C170" s="9">
        <v>8</v>
      </c>
      <c r="D170" s="9" t="s">
        <v>16</v>
      </c>
      <c r="E170" s="9" t="s">
        <v>19</v>
      </c>
      <c r="F170" s="9">
        <v>9</v>
      </c>
      <c r="G170" s="9">
        <v>9</v>
      </c>
      <c r="H170" s="18">
        <v>9.9999999999999995E-7</v>
      </c>
      <c r="I170">
        <f t="shared" si="9"/>
        <v>9</v>
      </c>
      <c r="J170">
        <v>10</v>
      </c>
      <c r="K170" s="16">
        <f t="shared" si="8"/>
        <v>900000000</v>
      </c>
    </row>
    <row r="171" spans="1:11">
      <c r="A171">
        <v>1</v>
      </c>
      <c r="B171" t="s">
        <v>18</v>
      </c>
      <c r="C171" s="9">
        <v>8</v>
      </c>
      <c r="D171" s="9" t="s">
        <v>16</v>
      </c>
      <c r="E171" s="9" t="s">
        <v>20</v>
      </c>
      <c r="F171" s="9">
        <v>11</v>
      </c>
      <c r="G171" s="9">
        <v>15</v>
      </c>
      <c r="H171" s="18">
        <v>9.9999999999999995E-7</v>
      </c>
      <c r="I171">
        <f t="shared" si="9"/>
        <v>13</v>
      </c>
      <c r="J171">
        <v>10</v>
      </c>
      <c r="K171" s="16">
        <f t="shared" si="8"/>
        <v>1300000000</v>
      </c>
    </row>
    <row r="172" spans="1:11">
      <c r="A172">
        <v>1</v>
      </c>
      <c r="B172" t="s">
        <v>18</v>
      </c>
      <c r="C172" s="9">
        <v>8</v>
      </c>
      <c r="D172" s="9" t="s">
        <v>16</v>
      </c>
      <c r="E172" s="9" t="s">
        <v>21</v>
      </c>
      <c r="F172" s="9">
        <v>13</v>
      </c>
      <c r="G172" s="9">
        <v>8</v>
      </c>
      <c r="H172" s="18">
        <v>9.9999999999999995E-7</v>
      </c>
      <c r="I172">
        <f t="shared" si="9"/>
        <v>10.5</v>
      </c>
      <c r="J172">
        <v>10</v>
      </c>
      <c r="K172" s="16">
        <f t="shared" si="8"/>
        <v>1050000000</v>
      </c>
    </row>
    <row r="173" spans="1:11">
      <c r="A173">
        <v>1</v>
      </c>
      <c r="B173" t="s">
        <v>18</v>
      </c>
      <c r="C173" s="9">
        <v>8</v>
      </c>
      <c r="D173" s="9" t="s">
        <v>16</v>
      </c>
      <c r="E173" s="9" t="s">
        <v>22</v>
      </c>
      <c r="F173" s="9">
        <v>7</v>
      </c>
      <c r="G173" s="9">
        <v>12</v>
      </c>
      <c r="H173" s="18">
        <v>9.9999999999999995E-7</v>
      </c>
      <c r="I173">
        <f t="shared" si="9"/>
        <v>9.5</v>
      </c>
      <c r="J173">
        <v>10</v>
      </c>
      <c r="K173" s="16">
        <f t="shared" si="8"/>
        <v>950000000</v>
      </c>
    </row>
    <row r="174" spans="1:11">
      <c r="A174">
        <v>1</v>
      </c>
      <c r="B174" t="s">
        <v>18</v>
      </c>
      <c r="C174" s="9">
        <v>8</v>
      </c>
      <c r="D174" s="9" t="s">
        <v>16</v>
      </c>
      <c r="E174" s="9">
        <v>1</v>
      </c>
      <c r="F174" s="9">
        <v>1</v>
      </c>
      <c r="G174" s="9">
        <v>4</v>
      </c>
      <c r="H174" s="18">
        <v>9.9999999999999995E-7</v>
      </c>
      <c r="I174">
        <f t="shared" si="9"/>
        <v>2.5</v>
      </c>
      <c r="J174">
        <v>10</v>
      </c>
      <c r="K174" s="16">
        <f t="shared" si="8"/>
        <v>250000000</v>
      </c>
    </row>
    <row r="175" spans="1:11">
      <c r="A175">
        <v>1</v>
      </c>
      <c r="B175" t="s">
        <v>18</v>
      </c>
      <c r="C175" s="9">
        <v>8</v>
      </c>
      <c r="D175" s="9" t="s">
        <v>16</v>
      </c>
      <c r="E175" s="9">
        <v>2</v>
      </c>
      <c r="F175" s="9">
        <v>15</v>
      </c>
      <c r="G175" s="10">
        <v>50</v>
      </c>
      <c r="H175" s="18">
        <v>1.0000000000000001E-5</v>
      </c>
      <c r="I175">
        <f t="shared" si="9"/>
        <v>32.5</v>
      </c>
      <c r="J175">
        <v>10</v>
      </c>
      <c r="K175" s="16">
        <f t="shared" si="8"/>
        <v>325000000</v>
      </c>
    </row>
    <row r="176" spans="1:11">
      <c r="A176">
        <v>1</v>
      </c>
      <c r="B176" t="s">
        <v>18</v>
      </c>
      <c r="C176" s="9">
        <v>8</v>
      </c>
      <c r="D176" s="9" t="s">
        <v>16</v>
      </c>
      <c r="E176" s="9">
        <v>3</v>
      </c>
      <c r="F176" s="9">
        <v>19</v>
      </c>
      <c r="G176" s="9">
        <v>25</v>
      </c>
      <c r="H176" s="18">
        <v>1.0000000000000001E-5</v>
      </c>
      <c r="I176">
        <f t="shared" si="9"/>
        <v>22</v>
      </c>
      <c r="J176">
        <v>10</v>
      </c>
      <c r="K176" s="16">
        <f t="shared" si="8"/>
        <v>219999999.99999997</v>
      </c>
    </row>
    <row r="177" spans="1:11">
      <c r="A177">
        <v>1</v>
      </c>
      <c r="B177" t="s">
        <v>18</v>
      </c>
      <c r="C177" s="9">
        <v>8</v>
      </c>
      <c r="D177" s="9" t="s">
        <v>16</v>
      </c>
      <c r="E177" s="9">
        <v>4</v>
      </c>
      <c r="F177" s="9">
        <v>2</v>
      </c>
      <c r="G177" s="9">
        <v>9</v>
      </c>
      <c r="H177" s="18">
        <v>9.9999999999999995E-7</v>
      </c>
      <c r="I177">
        <f t="shared" si="9"/>
        <v>5.5</v>
      </c>
      <c r="J177">
        <v>10</v>
      </c>
      <c r="K177" s="16">
        <f t="shared" si="8"/>
        <v>550000000</v>
      </c>
    </row>
    <row r="178" spans="1:11">
      <c r="A178">
        <v>1</v>
      </c>
      <c r="B178" t="s">
        <v>18</v>
      </c>
      <c r="C178" s="9">
        <v>8</v>
      </c>
      <c r="D178" s="9" t="s">
        <v>16</v>
      </c>
      <c r="E178" s="9">
        <v>5</v>
      </c>
      <c r="F178" s="9">
        <v>6</v>
      </c>
      <c r="G178" s="9">
        <v>2</v>
      </c>
      <c r="H178" s="18">
        <v>9.9999999999999995E-7</v>
      </c>
      <c r="I178">
        <f t="shared" si="9"/>
        <v>4</v>
      </c>
      <c r="J178">
        <v>10</v>
      </c>
      <c r="K178" s="16">
        <f t="shared" si="8"/>
        <v>400000000</v>
      </c>
    </row>
    <row r="179" spans="1:11">
      <c r="A179">
        <v>1</v>
      </c>
      <c r="B179" t="s">
        <v>18</v>
      </c>
      <c r="C179" s="9">
        <v>8</v>
      </c>
      <c r="D179" s="9" t="s">
        <v>16</v>
      </c>
      <c r="E179" s="9">
        <v>6</v>
      </c>
      <c r="F179" s="9">
        <v>3</v>
      </c>
      <c r="G179" s="9">
        <v>5</v>
      </c>
      <c r="H179" s="18">
        <v>9.9999999999999995E-7</v>
      </c>
      <c r="I179">
        <f t="shared" si="9"/>
        <v>4</v>
      </c>
      <c r="J179">
        <v>10</v>
      </c>
      <c r="K179" s="16">
        <f t="shared" si="8"/>
        <v>400000000</v>
      </c>
    </row>
    <row r="180" spans="1:11">
      <c r="A180">
        <v>1</v>
      </c>
      <c r="B180" t="s">
        <v>18</v>
      </c>
      <c r="C180" s="9">
        <v>8</v>
      </c>
      <c r="D180" s="9" t="s">
        <v>16</v>
      </c>
      <c r="E180" s="9">
        <v>7</v>
      </c>
      <c r="F180" s="9">
        <v>3</v>
      </c>
      <c r="G180" s="9">
        <v>8</v>
      </c>
      <c r="H180" s="18">
        <v>9.9999999999999995E-7</v>
      </c>
      <c r="I180">
        <f t="shared" si="9"/>
        <v>5.5</v>
      </c>
      <c r="J180">
        <v>10</v>
      </c>
      <c r="K180" s="16">
        <f t="shared" si="8"/>
        <v>550000000</v>
      </c>
    </row>
    <row r="181" spans="1:11">
      <c r="A181">
        <v>1</v>
      </c>
      <c r="B181" t="s">
        <v>18</v>
      </c>
      <c r="C181" s="9">
        <v>8</v>
      </c>
      <c r="D181" s="9" t="s">
        <v>16</v>
      </c>
      <c r="E181" s="9">
        <v>8</v>
      </c>
      <c r="F181" s="9">
        <v>8</v>
      </c>
      <c r="G181" s="9">
        <v>4</v>
      </c>
      <c r="H181" s="18">
        <v>9.9999999999999995E-7</v>
      </c>
      <c r="I181">
        <f t="shared" si="9"/>
        <v>6</v>
      </c>
      <c r="J181">
        <v>10</v>
      </c>
      <c r="K181" s="16">
        <f t="shared" si="8"/>
        <v>600000000</v>
      </c>
    </row>
    <row r="182" spans="1:11">
      <c r="A182">
        <v>1</v>
      </c>
      <c r="B182" t="s">
        <v>18</v>
      </c>
      <c r="C182" s="9">
        <v>8</v>
      </c>
      <c r="D182" s="9" t="s">
        <v>16</v>
      </c>
      <c r="E182" s="9">
        <v>9</v>
      </c>
      <c r="F182" s="9">
        <v>2</v>
      </c>
      <c r="G182" s="9">
        <v>3</v>
      </c>
      <c r="H182" s="18">
        <v>9.9999999999999995E-7</v>
      </c>
      <c r="I182">
        <f t="shared" si="9"/>
        <v>2.5</v>
      </c>
      <c r="J182">
        <v>10</v>
      </c>
      <c r="K182" s="16">
        <f t="shared" si="8"/>
        <v>250000000</v>
      </c>
    </row>
    <row r="183" spans="1:11">
      <c r="A183">
        <v>1</v>
      </c>
      <c r="B183" t="s">
        <v>18</v>
      </c>
      <c r="C183" s="9">
        <v>8</v>
      </c>
      <c r="D183" s="9" t="s">
        <v>16</v>
      </c>
      <c r="E183" s="9">
        <v>10</v>
      </c>
      <c r="F183" s="9">
        <v>2</v>
      </c>
      <c r="G183" s="9">
        <v>5</v>
      </c>
      <c r="H183" s="18">
        <v>9.9999999999999995E-7</v>
      </c>
      <c r="I183">
        <f t="shared" si="9"/>
        <v>3.5</v>
      </c>
      <c r="J183">
        <v>10</v>
      </c>
      <c r="K183" s="16">
        <f t="shared" si="8"/>
        <v>350000000</v>
      </c>
    </row>
    <row r="184" spans="1:11">
      <c r="A184">
        <v>1</v>
      </c>
      <c r="B184" t="s">
        <v>18</v>
      </c>
      <c r="C184" s="9">
        <v>8.5</v>
      </c>
      <c r="D184" s="9" t="s">
        <v>16</v>
      </c>
      <c r="E184" s="9">
        <v>1</v>
      </c>
      <c r="F184" s="9">
        <v>11</v>
      </c>
      <c r="G184" s="9">
        <v>6</v>
      </c>
      <c r="H184" s="18">
        <v>1.0000000000000001E-5</v>
      </c>
      <c r="I184">
        <f t="shared" si="9"/>
        <v>8.5</v>
      </c>
      <c r="J184">
        <v>10</v>
      </c>
      <c r="K184" s="16">
        <f t="shared" si="8"/>
        <v>85000000</v>
      </c>
    </row>
    <row r="185" spans="1:11">
      <c r="A185">
        <v>1</v>
      </c>
      <c r="B185" t="s">
        <v>18</v>
      </c>
      <c r="C185" s="9">
        <v>8.5</v>
      </c>
      <c r="D185" s="9" t="s">
        <v>16</v>
      </c>
      <c r="E185" s="9">
        <v>2</v>
      </c>
      <c r="F185" s="9">
        <v>4</v>
      </c>
      <c r="G185" s="9">
        <v>3</v>
      </c>
      <c r="H185" s="18">
        <v>1.0000000000000001E-5</v>
      </c>
      <c r="I185">
        <f t="shared" si="9"/>
        <v>3.5</v>
      </c>
      <c r="J185">
        <v>10</v>
      </c>
      <c r="K185" s="16">
        <f t="shared" si="8"/>
        <v>35000000</v>
      </c>
    </row>
    <row r="186" spans="1:11">
      <c r="A186">
        <v>1</v>
      </c>
      <c r="B186" t="s">
        <v>18</v>
      </c>
      <c r="C186" s="9">
        <v>8.5</v>
      </c>
      <c r="D186" s="9" t="s">
        <v>16</v>
      </c>
      <c r="E186" s="9">
        <v>3</v>
      </c>
      <c r="F186" s="9">
        <v>3</v>
      </c>
      <c r="G186" s="9">
        <v>7</v>
      </c>
      <c r="H186" s="18">
        <v>1.0000000000000001E-5</v>
      </c>
      <c r="I186">
        <f t="shared" si="9"/>
        <v>5</v>
      </c>
      <c r="J186">
        <v>10</v>
      </c>
      <c r="K186" s="16">
        <f t="shared" si="8"/>
        <v>49999999.999999993</v>
      </c>
    </row>
    <row r="187" spans="1:11">
      <c r="A187">
        <v>1</v>
      </c>
      <c r="B187" t="s">
        <v>18</v>
      </c>
      <c r="C187" s="9">
        <v>8.5</v>
      </c>
      <c r="D187" s="9" t="s">
        <v>16</v>
      </c>
      <c r="E187" s="9">
        <v>4</v>
      </c>
      <c r="F187" s="9">
        <v>13</v>
      </c>
      <c r="G187" s="9">
        <v>9</v>
      </c>
      <c r="H187" s="18">
        <v>1.0000000000000001E-5</v>
      </c>
      <c r="I187">
        <f t="shared" si="9"/>
        <v>11</v>
      </c>
      <c r="J187">
        <v>10</v>
      </c>
      <c r="K187" s="16">
        <f t="shared" si="8"/>
        <v>109999999.99999999</v>
      </c>
    </row>
    <row r="188" spans="1:11">
      <c r="A188">
        <v>1</v>
      </c>
      <c r="B188" t="s">
        <v>18</v>
      </c>
      <c r="C188" s="9">
        <v>8.5</v>
      </c>
      <c r="D188" s="9" t="s">
        <v>16</v>
      </c>
      <c r="E188" s="9">
        <v>5</v>
      </c>
      <c r="F188" s="9">
        <v>17</v>
      </c>
      <c r="G188" s="9">
        <v>19</v>
      </c>
      <c r="H188" s="18">
        <v>1.0000000000000001E-5</v>
      </c>
      <c r="I188">
        <f t="shared" si="9"/>
        <v>18</v>
      </c>
      <c r="J188">
        <v>10</v>
      </c>
      <c r="K188" s="16">
        <f t="shared" si="8"/>
        <v>179999999.99999997</v>
      </c>
    </row>
    <row r="189" spans="1:11">
      <c r="A189">
        <v>1</v>
      </c>
      <c r="B189" t="s">
        <v>18</v>
      </c>
      <c r="C189" s="9">
        <v>8.5</v>
      </c>
      <c r="D189" s="9" t="s">
        <v>16</v>
      </c>
      <c r="E189" s="9">
        <v>6</v>
      </c>
      <c r="F189" s="9">
        <v>4</v>
      </c>
      <c r="G189" s="9">
        <v>5</v>
      </c>
      <c r="H189" s="18">
        <v>1.0000000000000001E-5</v>
      </c>
      <c r="I189">
        <f t="shared" si="9"/>
        <v>4.5</v>
      </c>
      <c r="J189">
        <v>10</v>
      </c>
      <c r="K189" s="16">
        <f t="shared" si="8"/>
        <v>44999999.999999993</v>
      </c>
    </row>
    <row r="190" spans="1:11">
      <c r="A190">
        <v>1</v>
      </c>
      <c r="B190" t="s">
        <v>18</v>
      </c>
      <c r="C190" s="9">
        <v>8.5</v>
      </c>
      <c r="D190" s="9" t="s">
        <v>16</v>
      </c>
      <c r="E190" s="9">
        <v>7</v>
      </c>
      <c r="F190" s="9">
        <v>2</v>
      </c>
      <c r="G190" s="9">
        <v>6</v>
      </c>
      <c r="H190" s="18">
        <v>9.9999999999999995E-7</v>
      </c>
      <c r="I190">
        <f t="shared" si="9"/>
        <v>4</v>
      </c>
      <c r="J190">
        <v>10</v>
      </c>
      <c r="K190" s="16">
        <f t="shared" si="8"/>
        <v>400000000</v>
      </c>
    </row>
    <row r="191" spans="1:11">
      <c r="A191">
        <v>1</v>
      </c>
      <c r="B191" t="s">
        <v>18</v>
      </c>
      <c r="C191" s="9">
        <v>8.5</v>
      </c>
      <c r="D191" s="9" t="s">
        <v>16</v>
      </c>
      <c r="E191" s="9">
        <v>8</v>
      </c>
      <c r="F191" s="9">
        <v>9</v>
      </c>
      <c r="G191" s="9">
        <v>9</v>
      </c>
      <c r="H191" s="18">
        <v>1.0000000000000001E-5</v>
      </c>
      <c r="I191">
        <f t="shared" si="9"/>
        <v>9</v>
      </c>
      <c r="J191">
        <v>10</v>
      </c>
      <c r="K191" s="16">
        <f t="shared" si="8"/>
        <v>89999999.999999985</v>
      </c>
    </row>
    <row r="192" spans="1:11">
      <c r="A192">
        <v>1</v>
      </c>
      <c r="B192" t="s">
        <v>18</v>
      </c>
      <c r="C192" s="9">
        <v>8.5</v>
      </c>
      <c r="D192" s="9" t="s">
        <v>16</v>
      </c>
      <c r="E192" s="9">
        <v>9</v>
      </c>
      <c r="F192" s="9">
        <v>9</v>
      </c>
      <c r="G192" s="9">
        <v>8</v>
      </c>
      <c r="H192" s="18">
        <v>1.0000000000000001E-5</v>
      </c>
      <c r="I192">
        <f t="shared" si="9"/>
        <v>8.5</v>
      </c>
      <c r="J192">
        <v>10</v>
      </c>
      <c r="K192" s="16">
        <f t="shared" si="8"/>
        <v>85000000</v>
      </c>
    </row>
    <row r="193" spans="1:11">
      <c r="A193">
        <v>1</v>
      </c>
      <c r="B193" t="s">
        <v>18</v>
      </c>
      <c r="C193" s="9">
        <v>8.5</v>
      </c>
      <c r="D193" s="9" t="s">
        <v>16</v>
      </c>
      <c r="E193" s="9">
        <v>10</v>
      </c>
      <c r="F193" s="9">
        <v>18</v>
      </c>
      <c r="G193" s="9">
        <v>18</v>
      </c>
      <c r="H193" s="18">
        <v>1.0000000000000001E-5</v>
      </c>
      <c r="I193">
        <f t="shared" si="9"/>
        <v>18</v>
      </c>
      <c r="J193">
        <v>10</v>
      </c>
      <c r="K193" s="16">
        <f t="shared" si="8"/>
        <v>179999999.99999997</v>
      </c>
    </row>
    <row r="194" spans="1:11">
      <c r="A194">
        <v>1</v>
      </c>
      <c r="B194" t="s">
        <v>18</v>
      </c>
      <c r="C194" s="9">
        <v>9</v>
      </c>
      <c r="D194" s="9" t="s">
        <v>16</v>
      </c>
      <c r="E194" s="9" t="s">
        <v>19</v>
      </c>
      <c r="F194" s="9">
        <v>16</v>
      </c>
      <c r="G194" s="9">
        <v>10</v>
      </c>
      <c r="H194" s="18">
        <v>9.9999999999999995E-7</v>
      </c>
      <c r="I194">
        <f t="shared" si="9"/>
        <v>13</v>
      </c>
      <c r="J194">
        <v>10</v>
      </c>
      <c r="K194" s="16">
        <f t="shared" si="8"/>
        <v>1300000000</v>
      </c>
    </row>
    <row r="195" spans="1:11">
      <c r="A195">
        <v>1</v>
      </c>
      <c r="B195" t="s">
        <v>18</v>
      </c>
      <c r="C195" s="9">
        <v>9</v>
      </c>
      <c r="D195" s="9" t="s">
        <v>16</v>
      </c>
      <c r="E195" s="9" t="s">
        <v>20</v>
      </c>
      <c r="F195" s="9">
        <v>29</v>
      </c>
      <c r="G195" s="9">
        <v>24</v>
      </c>
      <c r="H195" s="18">
        <v>9.9999999999999995E-7</v>
      </c>
      <c r="I195">
        <f t="shared" ref="I195:I231" si="10">AVERAGE(F195:G195)</f>
        <v>26.5</v>
      </c>
      <c r="J195">
        <v>10</v>
      </c>
      <c r="K195" s="16">
        <f t="shared" si="8"/>
        <v>2650000000</v>
      </c>
    </row>
    <row r="196" spans="1:11">
      <c r="A196">
        <v>1</v>
      </c>
      <c r="B196" t="s">
        <v>18</v>
      </c>
      <c r="C196" s="9">
        <v>9</v>
      </c>
      <c r="D196" s="9" t="s">
        <v>16</v>
      </c>
      <c r="E196" s="9" t="s">
        <v>21</v>
      </c>
      <c r="F196" s="9">
        <v>18</v>
      </c>
      <c r="G196" s="9">
        <v>26</v>
      </c>
      <c r="H196" s="18">
        <v>9.9999999999999995E-7</v>
      </c>
      <c r="I196">
        <f t="shared" si="10"/>
        <v>22</v>
      </c>
      <c r="J196">
        <v>10</v>
      </c>
      <c r="K196" s="16">
        <f t="shared" si="8"/>
        <v>2200000000</v>
      </c>
    </row>
    <row r="197" spans="1:11">
      <c r="A197">
        <v>1</v>
      </c>
      <c r="B197" t="s">
        <v>18</v>
      </c>
      <c r="C197" s="9">
        <v>9</v>
      </c>
      <c r="D197" s="9" t="s">
        <v>16</v>
      </c>
      <c r="E197" s="9" t="s">
        <v>22</v>
      </c>
      <c r="F197" s="9">
        <v>22</v>
      </c>
      <c r="G197" s="9">
        <v>20</v>
      </c>
      <c r="H197" s="18">
        <v>9.9999999999999995E-7</v>
      </c>
      <c r="I197">
        <f t="shared" si="10"/>
        <v>21</v>
      </c>
      <c r="J197">
        <v>10</v>
      </c>
      <c r="K197" s="16">
        <f t="shared" si="8"/>
        <v>2100000000</v>
      </c>
    </row>
    <row r="198" spans="1:11">
      <c r="A198">
        <v>1</v>
      </c>
      <c r="B198" t="s">
        <v>18</v>
      </c>
      <c r="C198" s="9">
        <v>9</v>
      </c>
      <c r="D198" s="9" t="s">
        <v>16</v>
      </c>
      <c r="E198" s="9">
        <v>1</v>
      </c>
      <c r="F198" s="9">
        <v>5</v>
      </c>
      <c r="G198" s="9">
        <v>3</v>
      </c>
      <c r="H198" s="18">
        <v>9.9999999999999995E-7</v>
      </c>
      <c r="I198">
        <f t="shared" si="10"/>
        <v>4</v>
      </c>
      <c r="J198">
        <v>10</v>
      </c>
      <c r="K198" s="16">
        <f t="shared" si="8"/>
        <v>400000000</v>
      </c>
    </row>
    <row r="199" spans="1:11">
      <c r="A199">
        <v>1</v>
      </c>
      <c r="B199" t="s">
        <v>18</v>
      </c>
      <c r="C199" s="9">
        <v>9</v>
      </c>
      <c r="D199" s="9" t="s">
        <v>16</v>
      </c>
      <c r="E199" s="9">
        <v>2</v>
      </c>
      <c r="F199" s="9">
        <v>4</v>
      </c>
      <c r="G199" s="9">
        <v>6</v>
      </c>
      <c r="H199" s="18">
        <v>9.9999999999999995E-7</v>
      </c>
      <c r="I199">
        <f t="shared" si="10"/>
        <v>5</v>
      </c>
      <c r="J199">
        <v>10</v>
      </c>
      <c r="K199" s="16">
        <f t="shared" si="8"/>
        <v>500000000</v>
      </c>
    </row>
    <row r="200" spans="1:11">
      <c r="A200">
        <v>1</v>
      </c>
      <c r="B200" t="s">
        <v>18</v>
      </c>
      <c r="C200" s="9">
        <v>9</v>
      </c>
      <c r="D200" s="9" t="s">
        <v>16</v>
      </c>
      <c r="E200" s="9">
        <v>3</v>
      </c>
      <c r="F200" s="9">
        <v>4</v>
      </c>
      <c r="G200" s="9">
        <v>4</v>
      </c>
      <c r="H200" s="18">
        <v>9.9999999999999995E-7</v>
      </c>
      <c r="I200">
        <f t="shared" si="10"/>
        <v>4</v>
      </c>
      <c r="J200">
        <v>10</v>
      </c>
      <c r="K200" s="16">
        <f t="shared" si="8"/>
        <v>400000000</v>
      </c>
    </row>
    <row r="201" spans="1:11">
      <c r="A201">
        <v>1</v>
      </c>
      <c r="B201" t="s">
        <v>18</v>
      </c>
      <c r="C201" s="9">
        <v>9</v>
      </c>
      <c r="D201" s="9" t="s">
        <v>16</v>
      </c>
      <c r="E201" s="9">
        <v>4</v>
      </c>
      <c r="F201" s="9">
        <v>8</v>
      </c>
      <c r="G201" s="9">
        <v>10</v>
      </c>
      <c r="H201" s="18">
        <v>9.9999999999999995E-7</v>
      </c>
      <c r="I201">
        <f t="shared" si="10"/>
        <v>9</v>
      </c>
      <c r="J201">
        <v>10</v>
      </c>
      <c r="K201" s="16">
        <f t="shared" si="8"/>
        <v>900000000</v>
      </c>
    </row>
    <row r="202" spans="1:11">
      <c r="A202">
        <v>1</v>
      </c>
      <c r="B202" t="s">
        <v>18</v>
      </c>
      <c r="C202" s="9">
        <v>9</v>
      </c>
      <c r="D202" s="9" t="s">
        <v>16</v>
      </c>
      <c r="E202" s="9">
        <v>5</v>
      </c>
      <c r="F202" s="9">
        <v>11</v>
      </c>
      <c r="G202" s="9">
        <v>8</v>
      </c>
      <c r="H202" s="18">
        <v>9.9999999999999995E-7</v>
      </c>
      <c r="I202">
        <f t="shared" si="10"/>
        <v>9.5</v>
      </c>
      <c r="J202">
        <v>10</v>
      </c>
      <c r="K202" s="16">
        <f t="shared" si="8"/>
        <v>950000000</v>
      </c>
    </row>
    <row r="203" spans="1:11">
      <c r="A203">
        <v>1</v>
      </c>
      <c r="B203" t="s">
        <v>18</v>
      </c>
      <c r="C203" s="9">
        <v>9</v>
      </c>
      <c r="D203" s="9" t="s">
        <v>16</v>
      </c>
      <c r="E203" s="9">
        <v>6</v>
      </c>
      <c r="F203" s="9">
        <v>13</v>
      </c>
      <c r="G203" s="9">
        <v>4</v>
      </c>
      <c r="H203" s="18">
        <v>9.9999999999999995E-7</v>
      </c>
      <c r="I203">
        <f t="shared" si="10"/>
        <v>8.5</v>
      </c>
      <c r="J203">
        <v>10</v>
      </c>
      <c r="K203" s="16">
        <f t="shared" si="8"/>
        <v>850000000</v>
      </c>
    </row>
    <row r="204" spans="1:11">
      <c r="A204">
        <v>1</v>
      </c>
      <c r="B204" t="s">
        <v>18</v>
      </c>
      <c r="C204" s="9">
        <v>9</v>
      </c>
      <c r="D204" s="9" t="s">
        <v>16</v>
      </c>
      <c r="E204" s="9">
        <v>7</v>
      </c>
      <c r="F204" s="9">
        <v>16</v>
      </c>
      <c r="G204" s="9">
        <v>8</v>
      </c>
      <c r="H204" s="18">
        <v>9.9999999999999995E-7</v>
      </c>
      <c r="I204">
        <f t="shared" si="10"/>
        <v>12</v>
      </c>
      <c r="J204">
        <v>10</v>
      </c>
      <c r="K204" s="16">
        <f t="shared" si="8"/>
        <v>1200000000</v>
      </c>
    </row>
    <row r="205" spans="1:11">
      <c r="A205">
        <v>1</v>
      </c>
      <c r="B205" t="s">
        <v>18</v>
      </c>
      <c r="C205" s="9">
        <v>9</v>
      </c>
      <c r="D205" s="9" t="s">
        <v>16</v>
      </c>
      <c r="E205" s="9">
        <v>8</v>
      </c>
      <c r="F205" s="9">
        <v>12</v>
      </c>
      <c r="G205" s="9">
        <v>7</v>
      </c>
      <c r="H205" s="18">
        <v>9.9999999999999995E-7</v>
      </c>
      <c r="I205">
        <f t="shared" si="10"/>
        <v>9.5</v>
      </c>
      <c r="J205">
        <v>10</v>
      </c>
      <c r="K205" s="16">
        <f t="shared" si="8"/>
        <v>950000000</v>
      </c>
    </row>
    <row r="206" spans="1:11">
      <c r="A206">
        <v>1</v>
      </c>
      <c r="B206" t="s">
        <v>18</v>
      </c>
      <c r="C206" s="9">
        <v>9</v>
      </c>
      <c r="D206" s="9" t="s">
        <v>16</v>
      </c>
      <c r="E206" s="9">
        <v>9</v>
      </c>
      <c r="F206" s="9">
        <v>1</v>
      </c>
      <c r="G206" s="9">
        <v>7</v>
      </c>
      <c r="H206" s="18">
        <v>9.9999999999999995E-7</v>
      </c>
      <c r="I206">
        <f t="shared" si="10"/>
        <v>4</v>
      </c>
      <c r="J206">
        <v>10</v>
      </c>
      <c r="K206" s="16">
        <f t="shared" si="8"/>
        <v>400000000</v>
      </c>
    </row>
    <row r="207" spans="1:11">
      <c r="A207">
        <v>1</v>
      </c>
      <c r="B207" t="s">
        <v>18</v>
      </c>
      <c r="C207" s="9">
        <v>9</v>
      </c>
      <c r="D207" s="9" t="s">
        <v>16</v>
      </c>
      <c r="E207" s="9">
        <v>10</v>
      </c>
      <c r="F207" s="9">
        <v>9</v>
      </c>
      <c r="G207" s="9">
        <v>7</v>
      </c>
      <c r="H207" s="18">
        <v>9.9999999999999995E-7</v>
      </c>
      <c r="I207">
        <f t="shared" si="10"/>
        <v>8</v>
      </c>
      <c r="J207">
        <v>10</v>
      </c>
      <c r="K207" s="16">
        <f t="shared" si="8"/>
        <v>800000000</v>
      </c>
    </row>
    <row r="208" spans="1:11">
      <c r="A208">
        <v>1</v>
      </c>
      <c r="B208" t="s">
        <v>18</v>
      </c>
      <c r="C208" s="9">
        <v>9.5</v>
      </c>
      <c r="D208" s="9" t="s">
        <v>16</v>
      </c>
      <c r="E208" s="9">
        <v>1</v>
      </c>
      <c r="F208" s="9">
        <v>5</v>
      </c>
      <c r="G208" s="9">
        <v>7</v>
      </c>
      <c r="H208" s="18">
        <v>1.0000000000000001E-5</v>
      </c>
      <c r="I208">
        <f t="shared" si="10"/>
        <v>6</v>
      </c>
      <c r="J208">
        <v>10</v>
      </c>
      <c r="K208" s="16">
        <f t="shared" si="8"/>
        <v>59999999.999999993</v>
      </c>
    </row>
    <row r="209" spans="1:11">
      <c r="A209">
        <v>1</v>
      </c>
      <c r="B209" t="s">
        <v>18</v>
      </c>
      <c r="C209" s="9">
        <v>9.5</v>
      </c>
      <c r="D209" s="9" t="s">
        <v>16</v>
      </c>
      <c r="E209" s="9">
        <v>2</v>
      </c>
      <c r="F209" s="9">
        <v>8</v>
      </c>
      <c r="G209" s="9">
        <v>11</v>
      </c>
      <c r="H209" s="18">
        <v>1.0000000000000001E-5</v>
      </c>
      <c r="I209">
        <f t="shared" si="10"/>
        <v>9.5</v>
      </c>
      <c r="J209">
        <v>10</v>
      </c>
      <c r="K209" s="16">
        <f t="shared" si="8"/>
        <v>94999999.999999985</v>
      </c>
    </row>
    <row r="210" spans="1:11">
      <c r="A210">
        <v>1</v>
      </c>
      <c r="B210" t="s">
        <v>18</v>
      </c>
      <c r="C210" s="9">
        <v>9.5</v>
      </c>
      <c r="D210" s="9" t="s">
        <v>16</v>
      </c>
      <c r="E210" s="9">
        <v>3</v>
      </c>
      <c r="F210" s="9">
        <v>11</v>
      </c>
      <c r="G210" s="9">
        <v>10</v>
      </c>
      <c r="H210" s="18">
        <v>1.0000000000000001E-5</v>
      </c>
      <c r="I210">
        <f t="shared" si="10"/>
        <v>10.5</v>
      </c>
      <c r="J210">
        <v>10</v>
      </c>
      <c r="K210" s="16">
        <f t="shared" si="8"/>
        <v>104999999.99999999</v>
      </c>
    </row>
    <row r="211" spans="1:11">
      <c r="A211">
        <v>1</v>
      </c>
      <c r="B211" t="s">
        <v>18</v>
      </c>
      <c r="C211" s="9">
        <v>9.5</v>
      </c>
      <c r="D211" s="9" t="s">
        <v>16</v>
      </c>
      <c r="E211" s="9">
        <v>4</v>
      </c>
      <c r="F211" s="9">
        <v>21</v>
      </c>
      <c r="G211" s="9">
        <v>13</v>
      </c>
      <c r="H211" s="18">
        <v>1.0000000000000001E-5</v>
      </c>
      <c r="I211">
        <f t="shared" si="10"/>
        <v>17</v>
      </c>
      <c r="J211">
        <v>10</v>
      </c>
      <c r="K211" s="16">
        <f t="shared" ref="K211:K274" si="11">I211/(H211*(J211/1000))</f>
        <v>170000000</v>
      </c>
    </row>
    <row r="212" spans="1:11">
      <c r="A212">
        <v>1</v>
      </c>
      <c r="B212" t="s">
        <v>18</v>
      </c>
      <c r="C212" s="9">
        <v>9.5</v>
      </c>
      <c r="D212" s="9" t="s">
        <v>16</v>
      </c>
      <c r="E212" s="9">
        <v>5</v>
      </c>
      <c r="F212" s="9">
        <v>25</v>
      </c>
      <c r="G212" s="9">
        <v>31</v>
      </c>
      <c r="H212" s="18">
        <v>1.0000000000000001E-5</v>
      </c>
      <c r="I212">
        <f t="shared" si="10"/>
        <v>28</v>
      </c>
      <c r="J212">
        <v>10</v>
      </c>
      <c r="K212" s="16">
        <f t="shared" si="11"/>
        <v>280000000</v>
      </c>
    </row>
    <row r="213" spans="1:11">
      <c r="A213">
        <v>1</v>
      </c>
      <c r="B213" t="s">
        <v>18</v>
      </c>
      <c r="C213" s="9">
        <v>9.5</v>
      </c>
      <c r="D213" s="9" t="s">
        <v>16</v>
      </c>
      <c r="E213" s="9">
        <v>6</v>
      </c>
      <c r="F213" s="9">
        <v>12</v>
      </c>
      <c r="G213" s="9">
        <v>8</v>
      </c>
      <c r="H213" s="18">
        <v>1.0000000000000001E-5</v>
      </c>
      <c r="I213">
        <f t="shared" si="10"/>
        <v>10</v>
      </c>
      <c r="J213">
        <v>10</v>
      </c>
      <c r="K213" s="16">
        <f t="shared" si="11"/>
        <v>99999999.999999985</v>
      </c>
    </row>
    <row r="214" spans="1:11">
      <c r="A214">
        <v>1</v>
      </c>
      <c r="B214" t="s">
        <v>18</v>
      </c>
      <c r="C214" s="9">
        <v>9.5</v>
      </c>
      <c r="D214" s="9" t="s">
        <v>16</v>
      </c>
      <c r="E214" s="9">
        <v>7</v>
      </c>
      <c r="F214" s="9">
        <v>8</v>
      </c>
      <c r="G214" s="9">
        <v>9</v>
      </c>
      <c r="H214" s="18">
        <v>9.9999999999999995E-7</v>
      </c>
      <c r="I214">
        <f t="shared" si="10"/>
        <v>8.5</v>
      </c>
      <c r="J214">
        <v>10</v>
      </c>
      <c r="K214" s="16">
        <f t="shared" si="11"/>
        <v>850000000</v>
      </c>
    </row>
    <row r="215" spans="1:11">
      <c r="A215">
        <v>1</v>
      </c>
      <c r="B215" t="s">
        <v>18</v>
      </c>
      <c r="C215" s="9">
        <v>9.5</v>
      </c>
      <c r="D215" s="9" t="s">
        <v>16</v>
      </c>
      <c r="E215" s="9">
        <v>8</v>
      </c>
      <c r="F215" s="9">
        <v>17</v>
      </c>
      <c r="G215" s="9">
        <v>19</v>
      </c>
      <c r="H215" s="18">
        <v>1.0000000000000001E-5</v>
      </c>
      <c r="I215">
        <f t="shared" si="10"/>
        <v>18</v>
      </c>
      <c r="J215">
        <v>10</v>
      </c>
      <c r="K215" s="16">
        <f t="shared" si="11"/>
        <v>179999999.99999997</v>
      </c>
    </row>
    <row r="216" spans="1:11">
      <c r="A216">
        <v>1</v>
      </c>
      <c r="B216" t="s">
        <v>18</v>
      </c>
      <c r="C216" s="9">
        <v>9.5</v>
      </c>
      <c r="D216" s="9" t="s">
        <v>16</v>
      </c>
      <c r="E216" s="9">
        <v>9</v>
      </c>
      <c r="F216" s="9">
        <v>6</v>
      </c>
      <c r="G216" s="9">
        <v>5</v>
      </c>
      <c r="H216" s="18">
        <v>1.0000000000000001E-5</v>
      </c>
      <c r="I216">
        <f t="shared" si="10"/>
        <v>5.5</v>
      </c>
      <c r="J216">
        <v>10</v>
      </c>
      <c r="K216" s="16">
        <f t="shared" si="11"/>
        <v>54999999.999999993</v>
      </c>
    </row>
    <row r="217" spans="1:11">
      <c r="A217">
        <v>1</v>
      </c>
      <c r="B217" t="s">
        <v>18</v>
      </c>
      <c r="C217" s="9">
        <v>9.5</v>
      </c>
      <c r="D217" s="9" t="s">
        <v>16</v>
      </c>
      <c r="E217" s="9">
        <v>10</v>
      </c>
      <c r="F217" s="9">
        <v>4</v>
      </c>
      <c r="G217" s="9">
        <v>8</v>
      </c>
      <c r="H217" s="18">
        <v>9.9999999999999995E-7</v>
      </c>
      <c r="I217">
        <f t="shared" si="10"/>
        <v>6</v>
      </c>
      <c r="J217">
        <v>10</v>
      </c>
      <c r="K217" s="16">
        <f t="shared" si="11"/>
        <v>600000000</v>
      </c>
    </row>
    <row r="218" spans="1:11">
      <c r="A218">
        <v>1</v>
      </c>
      <c r="B218" t="s">
        <v>18</v>
      </c>
      <c r="C218" s="9">
        <v>10</v>
      </c>
      <c r="D218" s="9" t="s">
        <v>16</v>
      </c>
      <c r="E218" s="9" t="s">
        <v>19</v>
      </c>
      <c r="F218" s="9">
        <v>9</v>
      </c>
      <c r="G218" s="9">
        <v>3</v>
      </c>
      <c r="H218" s="18">
        <v>9.9999999999999995E-7</v>
      </c>
      <c r="I218">
        <f t="shared" si="10"/>
        <v>6</v>
      </c>
      <c r="J218">
        <v>10</v>
      </c>
      <c r="K218" s="16">
        <f t="shared" si="11"/>
        <v>600000000</v>
      </c>
    </row>
    <row r="219" spans="1:11">
      <c r="A219">
        <v>1</v>
      </c>
      <c r="B219" t="s">
        <v>18</v>
      </c>
      <c r="C219" s="9">
        <v>10</v>
      </c>
      <c r="D219" s="9" t="s">
        <v>16</v>
      </c>
      <c r="E219" s="9" t="s">
        <v>20</v>
      </c>
      <c r="F219" s="9">
        <v>11</v>
      </c>
      <c r="G219" s="9">
        <v>9</v>
      </c>
      <c r="H219" s="18">
        <v>9.9999999999999995E-7</v>
      </c>
      <c r="I219">
        <f t="shared" si="10"/>
        <v>10</v>
      </c>
      <c r="J219">
        <v>10</v>
      </c>
      <c r="K219" s="16">
        <f t="shared" si="11"/>
        <v>1000000000</v>
      </c>
    </row>
    <row r="220" spans="1:11">
      <c r="A220">
        <v>1</v>
      </c>
      <c r="B220" t="s">
        <v>18</v>
      </c>
      <c r="C220" s="9">
        <v>10</v>
      </c>
      <c r="D220" s="9" t="s">
        <v>16</v>
      </c>
      <c r="E220" s="9" t="s">
        <v>21</v>
      </c>
      <c r="F220" s="9">
        <v>4</v>
      </c>
      <c r="G220" s="9">
        <v>10</v>
      </c>
      <c r="H220" s="18">
        <v>9.9999999999999995E-7</v>
      </c>
      <c r="I220">
        <f t="shared" si="10"/>
        <v>7</v>
      </c>
      <c r="J220">
        <v>10</v>
      </c>
      <c r="K220" s="16">
        <f t="shared" si="11"/>
        <v>700000000</v>
      </c>
    </row>
    <row r="221" spans="1:11">
      <c r="A221">
        <v>1</v>
      </c>
      <c r="B221" t="s">
        <v>18</v>
      </c>
      <c r="C221" s="9">
        <v>10</v>
      </c>
      <c r="D221" s="9" t="s">
        <v>16</v>
      </c>
      <c r="E221" s="9" t="s">
        <v>22</v>
      </c>
      <c r="F221" s="9">
        <v>9</v>
      </c>
      <c r="G221" s="9">
        <v>13</v>
      </c>
      <c r="H221" s="18">
        <v>9.9999999999999995E-7</v>
      </c>
      <c r="I221">
        <f t="shared" si="10"/>
        <v>11</v>
      </c>
      <c r="J221">
        <v>10</v>
      </c>
      <c r="K221" s="16">
        <f t="shared" si="11"/>
        <v>1100000000</v>
      </c>
    </row>
    <row r="222" spans="1:11">
      <c r="A222">
        <v>1</v>
      </c>
      <c r="B222" t="s">
        <v>18</v>
      </c>
      <c r="C222" s="9">
        <v>10</v>
      </c>
      <c r="D222" s="9" t="s">
        <v>16</v>
      </c>
      <c r="E222" s="9">
        <v>1</v>
      </c>
      <c r="F222" s="9">
        <v>1</v>
      </c>
      <c r="G222" s="9">
        <v>5</v>
      </c>
      <c r="H222" s="18">
        <v>9.9999999999999995E-7</v>
      </c>
      <c r="I222">
        <f t="shared" si="10"/>
        <v>3</v>
      </c>
      <c r="J222">
        <v>10</v>
      </c>
      <c r="K222" s="16">
        <f t="shared" si="11"/>
        <v>300000000</v>
      </c>
    </row>
    <row r="223" spans="1:11">
      <c r="A223">
        <v>1</v>
      </c>
      <c r="B223" t="s">
        <v>18</v>
      </c>
      <c r="C223" s="9">
        <v>10</v>
      </c>
      <c r="D223" s="9" t="s">
        <v>16</v>
      </c>
      <c r="E223" s="9">
        <v>2</v>
      </c>
      <c r="F223" s="9">
        <v>3</v>
      </c>
      <c r="G223" s="9">
        <v>4</v>
      </c>
      <c r="H223" s="18">
        <v>9.9999999999999995E-7</v>
      </c>
      <c r="I223">
        <f t="shared" si="10"/>
        <v>3.5</v>
      </c>
      <c r="J223">
        <v>10</v>
      </c>
      <c r="K223" s="16">
        <f t="shared" si="11"/>
        <v>350000000</v>
      </c>
    </row>
    <row r="224" spans="1:11">
      <c r="A224">
        <v>1</v>
      </c>
      <c r="B224" t="s">
        <v>18</v>
      </c>
      <c r="C224" s="9">
        <v>10</v>
      </c>
      <c r="D224" s="9" t="s">
        <v>16</v>
      </c>
      <c r="E224" s="9">
        <v>3</v>
      </c>
      <c r="F224" s="9">
        <v>3</v>
      </c>
      <c r="G224" s="9">
        <v>8</v>
      </c>
      <c r="H224" s="18">
        <v>9.9999999999999995E-7</v>
      </c>
      <c r="I224">
        <f t="shared" si="10"/>
        <v>5.5</v>
      </c>
      <c r="J224">
        <v>10</v>
      </c>
      <c r="K224" s="16">
        <f t="shared" si="11"/>
        <v>550000000</v>
      </c>
    </row>
    <row r="225" spans="1:11">
      <c r="A225">
        <v>1</v>
      </c>
      <c r="B225" t="s">
        <v>18</v>
      </c>
      <c r="C225" s="9">
        <v>10</v>
      </c>
      <c r="D225" s="9" t="s">
        <v>16</v>
      </c>
      <c r="E225" s="9">
        <v>4</v>
      </c>
      <c r="F225" s="9">
        <v>5</v>
      </c>
      <c r="G225" s="9">
        <v>6</v>
      </c>
      <c r="H225" s="18">
        <v>9.9999999999999995E-7</v>
      </c>
      <c r="I225">
        <f t="shared" si="10"/>
        <v>5.5</v>
      </c>
      <c r="J225">
        <v>10</v>
      </c>
      <c r="K225" s="16">
        <f t="shared" si="11"/>
        <v>550000000</v>
      </c>
    </row>
    <row r="226" spans="1:11">
      <c r="A226">
        <v>1</v>
      </c>
      <c r="B226" t="s">
        <v>18</v>
      </c>
      <c r="C226" s="9">
        <v>10</v>
      </c>
      <c r="D226" s="9" t="s">
        <v>16</v>
      </c>
      <c r="E226" s="9">
        <v>5</v>
      </c>
      <c r="F226" s="9">
        <v>4</v>
      </c>
      <c r="G226" s="9">
        <v>5</v>
      </c>
      <c r="H226" s="18">
        <v>9.9999999999999995E-7</v>
      </c>
      <c r="I226">
        <f t="shared" si="10"/>
        <v>4.5</v>
      </c>
      <c r="J226">
        <v>10</v>
      </c>
      <c r="K226" s="16">
        <f t="shared" si="11"/>
        <v>450000000</v>
      </c>
    </row>
    <row r="227" spans="1:11">
      <c r="A227">
        <v>1</v>
      </c>
      <c r="B227" t="s">
        <v>18</v>
      </c>
      <c r="C227" s="9">
        <v>10</v>
      </c>
      <c r="D227" s="9" t="s">
        <v>16</v>
      </c>
      <c r="E227" s="9">
        <v>6</v>
      </c>
      <c r="F227" s="9">
        <v>1</v>
      </c>
      <c r="G227" s="9">
        <v>5</v>
      </c>
      <c r="H227" s="18">
        <v>9.9999999999999995E-7</v>
      </c>
      <c r="I227">
        <f t="shared" si="10"/>
        <v>3</v>
      </c>
      <c r="J227">
        <v>10</v>
      </c>
      <c r="K227" s="16">
        <f t="shared" si="11"/>
        <v>300000000</v>
      </c>
    </row>
    <row r="228" spans="1:11">
      <c r="A228">
        <v>1</v>
      </c>
      <c r="B228" t="s">
        <v>18</v>
      </c>
      <c r="C228" s="9">
        <v>10</v>
      </c>
      <c r="D228" s="9" t="s">
        <v>16</v>
      </c>
      <c r="E228" s="9">
        <v>7</v>
      </c>
      <c r="F228" s="9">
        <v>12</v>
      </c>
      <c r="G228" s="9">
        <v>12</v>
      </c>
      <c r="H228" s="18">
        <v>9.9999999999999995E-7</v>
      </c>
      <c r="I228">
        <f t="shared" si="10"/>
        <v>12</v>
      </c>
      <c r="J228">
        <v>10</v>
      </c>
      <c r="K228" s="16">
        <f t="shared" si="11"/>
        <v>1200000000</v>
      </c>
    </row>
    <row r="229" spans="1:11">
      <c r="A229">
        <v>1</v>
      </c>
      <c r="B229" t="s">
        <v>18</v>
      </c>
      <c r="C229" s="9">
        <v>10</v>
      </c>
      <c r="D229" s="9" t="s">
        <v>16</v>
      </c>
      <c r="E229" s="9">
        <v>8</v>
      </c>
      <c r="F229" s="9">
        <v>5</v>
      </c>
      <c r="G229" s="9">
        <v>5</v>
      </c>
      <c r="H229" s="18">
        <v>9.9999999999999995E-7</v>
      </c>
      <c r="I229">
        <f t="shared" si="10"/>
        <v>5</v>
      </c>
      <c r="J229">
        <v>10</v>
      </c>
      <c r="K229" s="16">
        <f t="shared" si="11"/>
        <v>500000000</v>
      </c>
    </row>
    <row r="230" spans="1:11">
      <c r="A230">
        <v>1</v>
      </c>
      <c r="B230" t="s">
        <v>18</v>
      </c>
      <c r="C230" s="9">
        <v>10</v>
      </c>
      <c r="D230" s="9" t="s">
        <v>16</v>
      </c>
      <c r="E230" s="9">
        <v>9</v>
      </c>
      <c r="F230" s="9">
        <v>3</v>
      </c>
      <c r="G230" s="9">
        <v>2</v>
      </c>
      <c r="H230" s="18">
        <v>9.9999999999999995E-7</v>
      </c>
      <c r="I230">
        <f t="shared" si="10"/>
        <v>2.5</v>
      </c>
      <c r="J230">
        <v>10</v>
      </c>
      <c r="K230" s="16">
        <f t="shared" si="11"/>
        <v>250000000</v>
      </c>
    </row>
    <row r="231" spans="1:11">
      <c r="A231">
        <v>1</v>
      </c>
      <c r="B231" t="s">
        <v>18</v>
      </c>
      <c r="C231" s="9">
        <v>10</v>
      </c>
      <c r="D231" s="9" t="s">
        <v>16</v>
      </c>
      <c r="E231" s="9">
        <v>10</v>
      </c>
      <c r="F231" s="9">
        <v>7</v>
      </c>
      <c r="G231" s="9">
        <v>8</v>
      </c>
      <c r="H231" s="18">
        <v>9.9999999999999995E-7</v>
      </c>
      <c r="I231">
        <f t="shared" si="10"/>
        <v>7.5</v>
      </c>
      <c r="J231">
        <v>10</v>
      </c>
      <c r="K231" s="16">
        <f t="shared" si="11"/>
        <v>750000000</v>
      </c>
    </row>
    <row r="232" spans="1:11">
      <c r="A232">
        <v>1</v>
      </c>
      <c r="B232" t="s">
        <v>18</v>
      </c>
      <c r="C232" s="9">
        <v>10.5</v>
      </c>
      <c r="D232" s="9" t="s">
        <v>16</v>
      </c>
      <c r="E232" s="9">
        <v>1</v>
      </c>
      <c r="F232" s="9">
        <v>10</v>
      </c>
      <c r="G232" s="9">
        <v>10</v>
      </c>
      <c r="H232" s="18">
        <v>1.0000000000000001E-5</v>
      </c>
      <c r="I232">
        <f t="shared" ref="I232:I260" si="12">AVERAGE(F232:G232)</f>
        <v>10</v>
      </c>
      <c r="J232">
        <v>10</v>
      </c>
      <c r="K232" s="16">
        <f t="shared" si="11"/>
        <v>99999999.999999985</v>
      </c>
    </row>
    <row r="233" spans="1:11">
      <c r="A233">
        <v>1</v>
      </c>
      <c r="B233" t="s">
        <v>18</v>
      </c>
      <c r="C233" s="9">
        <v>10.5</v>
      </c>
      <c r="D233" s="9" t="s">
        <v>16</v>
      </c>
      <c r="E233" s="9">
        <v>2</v>
      </c>
      <c r="F233" s="9">
        <v>7</v>
      </c>
      <c r="G233" s="9">
        <v>6</v>
      </c>
      <c r="H233" s="18">
        <v>1.0000000000000001E-5</v>
      </c>
      <c r="I233">
        <f t="shared" si="12"/>
        <v>6.5</v>
      </c>
      <c r="J233">
        <v>10</v>
      </c>
      <c r="K233" s="16">
        <f t="shared" si="11"/>
        <v>64999999.999999993</v>
      </c>
    </row>
    <row r="234" spans="1:11">
      <c r="A234">
        <v>1</v>
      </c>
      <c r="B234" t="s">
        <v>18</v>
      </c>
      <c r="C234" s="9">
        <v>10.5</v>
      </c>
      <c r="D234" s="9" t="s">
        <v>16</v>
      </c>
      <c r="E234" s="9">
        <v>3</v>
      </c>
      <c r="F234" s="9">
        <v>4</v>
      </c>
      <c r="G234" s="9">
        <v>7</v>
      </c>
      <c r="H234" s="18">
        <v>1.0000000000000001E-5</v>
      </c>
      <c r="I234">
        <f t="shared" si="12"/>
        <v>5.5</v>
      </c>
      <c r="J234">
        <v>10</v>
      </c>
      <c r="K234" s="16">
        <f t="shared" si="11"/>
        <v>54999999.999999993</v>
      </c>
    </row>
    <row r="235" spans="1:11">
      <c r="A235">
        <v>1</v>
      </c>
      <c r="B235" t="s">
        <v>18</v>
      </c>
      <c r="C235" s="9">
        <v>10.5</v>
      </c>
      <c r="D235" s="9" t="s">
        <v>16</v>
      </c>
      <c r="E235" s="9">
        <v>4</v>
      </c>
      <c r="F235" s="9">
        <v>7</v>
      </c>
      <c r="G235" s="9">
        <v>5</v>
      </c>
      <c r="H235" s="18">
        <v>1.0000000000000001E-5</v>
      </c>
      <c r="I235">
        <f t="shared" si="12"/>
        <v>6</v>
      </c>
      <c r="J235">
        <v>10</v>
      </c>
      <c r="K235" s="16">
        <f t="shared" si="11"/>
        <v>59999999.999999993</v>
      </c>
    </row>
    <row r="236" spans="1:11">
      <c r="A236">
        <v>1</v>
      </c>
      <c r="B236" t="s">
        <v>18</v>
      </c>
      <c r="C236" s="9">
        <v>10.5</v>
      </c>
      <c r="D236" s="9" t="s">
        <v>16</v>
      </c>
      <c r="E236" s="9">
        <v>5</v>
      </c>
      <c r="F236" s="9">
        <v>5</v>
      </c>
      <c r="G236" s="9">
        <v>12</v>
      </c>
      <c r="H236" s="18">
        <v>1.0000000000000001E-5</v>
      </c>
      <c r="I236">
        <f t="shared" si="12"/>
        <v>8.5</v>
      </c>
      <c r="J236">
        <v>10</v>
      </c>
      <c r="K236" s="16">
        <f t="shared" si="11"/>
        <v>85000000</v>
      </c>
    </row>
    <row r="237" spans="1:11">
      <c r="A237">
        <v>1</v>
      </c>
      <c r="B237" t="s">
        <v>18</v>
      </c>
      <c r="C237" s="9">
        <v>10.5</v>
      </c>
      <c r="D237" s="9" t="s">
        <v>16</v>
      </c>
      <c r="E237" s="9">
        <v>6</v>
      </c>
      <c r="F237" s="9">
        <v>27</v>
      </c>
      <c r="G237" s="10">
        <v>50</v>
      </c>
      <c r="H237" s="18">
        <v>1E-4</v>
      </c>
      <c r="I237">
        <f t="shared" si="12"/>
        <v>38.5</v>
      </c>
      <c r="J237">
        <v>10</v>
      </c>
      <c r="K237" s="16">
        <f t="shared" si="11"/>
        <v>38499999.999999993</v>
      </c>
    </row>
    <row r="238" spans="1:11">
      <c r="A238">
        <v>1</v>
      </c>
      <c r="B238" t="s">
        <v>18</v>
      </c>
      <c r="C238" s="9">
        <v>10.5</v>
      </c>
      <c r="D238" s="9" t="s">
        <v>16</v>
      </c>
      <c r="E238" s="9">
        <v>7</v>
      </c>
      <c r="F238" s="10">
        <v>30</v>
      </c>
      <c r="G238" s="9">
        <v>21</v>
      </c>
      <c r="H238" s="18">
        <v>1.0000000000000001E-5</v>
      </c>
      <c r="I238">
        <f t="shared" si="12"/>
        <v>25.5</v>
      </c>
      <c r="J238">
        <v>10</v>
      </c>
      <c r="K238" s="16">
        <f t="shared" si="11"/>
        <v>254999999.99999997</v>
      </c>
    </row>
    <row r="239" spans="1:11">
      <c r="A239">
        <v>1</v>
      </c>
      <c r="B239" t="s">
        <v>18</v>
      </c>
      <c r="C239" s="9">
        <v>10.5</v>
      </c>
      <c r="D239" s="9" t="s">
        <v>16</v>
      </c>
      <c r="E239" s="9">
        <v>8</v>
      </c>
      <c r="F239" s="9">
        <v>7</v>
      </c>
      <c r="G239" s="9">
        <v>4</v>
      </c>
      <c r="H239" s="18">
        <v>1.0000000000000001E-5</v>
      </c>
      <c r="I239">
        <f t="shared" si="12"/>
        <v>5.5</v>
      </c>
      <c r="J239">
        <v>10</v>
      </c>
      <c r="K239" s="16">
        <f t="shared" si="11"/>
        <v>54999999.999999993</v>
      </c>
    </row>
    <row r="240" spans="1:11">
      <c r="A240">
        <v>1</v>
      </c>
      <c r="B240" t="s">
        <v>18</v>
      </c>
      <c r="C240" s="9">
        <v>10.5</v>
      </c>
      <c r="D240" s="9" t="s">
        <v>16</v>
      </c>
      <c r="E240" s="9">
        <v>9</v>
      </c>
      <c r="F240" s="9">
        <v>5</v>
      </c>
      <c r="G240" s="9">
        <v>11</v>
      </c>
      <c r="H240" s="18">
        <v>1.0000000000000001E-5</v>
      </c>
      <c r="I240">
        <f t="shared" si="12"/>
        <v>8</v>
      </c>
      <c r="J240">
        <v>10</v>
      </c>
      <c r="K240" s="16">
        <f t="shared" si="11"/>
        <v>80000000</v>
      </c>
    </row>
    <row r="241" spans="1:11">
      <c r="A241">
        <v>1</v>
      </c>
      <c r="B241" t="s">
        <v>18</v>
      </c>
      <c r="C241" s="9">
        <v>10.5</v>
      </c>
      <c r="D241" s="9" t="s">
        <v>16</v>
      </c>
      <c r="E241" s="9">
        <v>10</v>
      </c>
      <c r="F241" s="9">
        <v>13</v>
      </c>
      <c r="G241" s="9">
        <v>18</v>
      </c>
      <c r="H241" s="18">
        <v>1.0000000000000001E-5</v>
      </c>
      <c r="I241">
        <f t="shared" si="12"/>
        <v>15.5</v>
      </c>
      <c r="J241">
        <v>10</v>
      </c>
      <c r="K241" s="16">
        <f t="shared" si="11"/>
        <v>155000000</v>
      </c>
    </row>
    <row r="242" spans="1:11">
      <c r="A242">
        <v>1</v>
      </c>
      <c r="B242" t="s">
        <v>18</v>
      </c>
      <c r="C242" s="9">
        <v>11</v>
      </c>
      <c r="D242" s="9" t="s">
        <v>16</v>
      </c>
      <c r="E242" s="9" t="s">
        <v>19</v>
      </c>
      <c r="F242" s="9">
        <v>7</v>
      </c>
      <c r="G242" s="9">
        <v>9</v>
      </c>
      <c r="H242" s="18">
        <v>9.9999999999999995E-7</v>
      </c>
      <c r="I242">
        <f t="shared" si="12"/>
        <v>8</v>
      </c>
      <c r="J242">
        <v>10</v>
      </c>
      <c r="K242" s="16">
        <f t="shared" si="11"/>
        <v>800000000</v>
      </c>
    </row>
    <row r="243" spans="1:11">
      <c r="A243">
        <v>1</v>
      </c>
      <c r="B243" t="s">
        <v>18</v>
      </c>
      <c r="C243" s="9">
        <v>11</v>
      </c>
      <c r="D243" s="9" t="s">
        <v>16</v>
      </c>
      <c r="E243" s="9" t="s">
        <v>20</v>
      </c>
      <c r="F243" s="9">
        <v>10</v>
      </c>
      <c r="G243" s="9">
        <v>5</v>
      </c>
      <c r="H243" s="18">
        <v>9.9999999999999995E-7</v>
      </c>
      <c r="I243">
        <f t="shared" si="12"/>
        <v>7.5</v>
      </c>
      <c r="J243">
        <v>10</v>
      </c>
      <c r="K243" s="16">
        <f t="shared" si="11"/>
        <v>750000000</v>
      </c>
    </row>
    <row r="244" spans="1:11">
      <c r="A244">
        <v>1</v>
      </c>
      <c r="B244" t="s">
        <v>18</v>
      </c>
      <c r="C244" s="9">
        <v>11</v>
      </c>
      <c r="D244" s="9" t="s">
        <v>16</v>
      </c>
      <c r="E244" s="9" t="s">
        <v>21</v>
      </c>
      <c r="F244" s="9">
        <v>9</v>
      </c>
      <c r="G244" s="9">
        <v>8</v>
      </c>
      <c r="H244" s="18">
        <v>9.9999999999999995E-7</v>
      </c>
      <c r="I244">
        <f t="shared" si="12"/>
        <v>8.5</v>
      </c>
      <c r="J244">
        <v>10</v>
      </c>
      <c r="K244" s="16">
        <f t="shared" si="11"/>
        <v>850000000</v>
      </c>
    </row>
    <row r="245" spans="1:11">
      <c r="A245">
        <v>1</v>
      </c>
      <c r="B245" t="s">
        <v>18</v>
      </c>
      <c r="C245" s="9">
        <v>11</v>
      </c>
      <c r="D245" s="9" t="s">
        <v>16</v>
      </c>
      <c r="E245" s="9" t="s">
        <v>22</v>
      </c>
      <c r="F245" s="9">
        <v>10</v>
      </c>
      <c r="G245" s="9">
        <v>7</v>
      </c>
      <c r="H245" s="18">
        <v>9.9999999999999995E-7</v>
      </c>
      <c r="I245">
        <f t="shared" si="12"/>
        <v>8.5</v>
      </c>
      <c r="J245">
        <v>10</v>
      </c>
      <c r="K245" s="16">
        <f t="shared" si="11"/>
        <v>850000000</v>
      </c>
    </row>
    <row r="246" spans="1:11">
      <c r="A246">
        <v>1</v>
      </c>
      <c r="B246" t="s">
        <v>18</v>
      </c>
      <c r="C246" s="9">
        <v>11</v>
      </c>
      <c r="D246" s="9" t="s">
        <v>16</v>
      </c>
      <c r="E246" s="9">
        <v>1</v>
      </c>
      <c r="F246" s="9">
        <v>4</v>
      </c>
      <c r="G246" s="9">
        <v>2</v>
      </c>
      <c r="H246" s="18">
        <v>9.9999999999999995E-7</v>
      </c>
      <c r="I246">
        <f t="shared" si="12"/>
        <v>3</v>
      </c>
      <c r="J246">
        <v>10</v>
      </c>
      <c r="K246" s="16">
        <f t="shared" si="11"/>
        <v>300000000</v>
      </c>
    </row>
    <row r="247" spans="1:11">
      <c r="A247">
        <v>1</v>
      </c>
      <c r="B247" t="s">
        <v>18</v>
      </c>
      <c r="C247" s="9">
        <v>11</v>
      </c>
      <c r="D247" s="9" t="s">
        <v>16</v>
      </c>
      <c r="E247" s="9">
        <v>2</v>
      </c>
      <c r="F247" s="9">
        <v>3</v>
      </c>
      <c r="G247" s="9">
        <v>4</v>
      </c>
      <c r="H247" s="18">
        <v>9.9999999999999995E-7</v>
      </c>
      <c r="I247">
        <f t="shared" si="12"/>
        <v>3.5</v>
      </c>
      <c r="J247">
        <v>10</v>
      </c>
      <c r="K247" s="16">
        <f t="shared" si="11"/>
        <v>350000000</v>
      </c>
    </row>
    <row r="248" spans="1:11">
      <c r="A248">
        <v>1</v>
      </c>
      <c r="B248" t="s">
        <v>18</v>
      </c>
      <c r="C248" s="9">
        <v>11</v>
      </c>
      <c r="D248" s="9" t="s">
        <v>16</v>
      </c>
      <c r="E248" s="9">
        <v>3</v>
      </c>
      <c r="F248" s="9">
        <v>7</v>
      </c>
      <c r="G248" s="9">
        <v>4</v>
      </c>
      <c r="H248" s="18">
        <v>9.9999999999999995E-7</v>
      </c>
      <c r="I248">
        <f t="shared" si="12"/>
        <v>5.5</v>
      </c>
      <c r="J248">
        <v>10</v>
      </c>
      <c r="K248" s="16">
        <f t="shared" si="11"/>
        <v>550000000</v>
      </c>
    </row>
    <row r="249" spans="1:11">
      <c r="A249">
        <v>1</v>
      </c>
      <c r="B249" t="s">
        <v>18</v>
      </c>
      <c r="C249" s="9">
        <v>11</v>
      </c>
      <c r="D249" s="9" t="s">
        <v>16</v>
      </c>
      <c r="E249" s="9">
        <v>4</v>
      </c>
      <c r="F249" s="9">
        <v>2</v>
      </c>
      <c r="G249" s="9">
        <v>5</v>
      </c>
      <c r="H249" s="18">
        <v>9.9999999999999995E-7</v>
      </c>
      <c r="I249">
        <f t="shared" si="12"/>
        <v>3.5</v>
      </c>
      <c r="J249">
        <v>10</v>
      </c>
      <c r="K249" s="16">
        <f t="shared" si="11"/>
        <v>350000000</v>
      </c>
    </row>
    <row r="250" spans="1:11">
      <c r="A250">
        <v>1</v>
      </c>
      <c r="B250" t="s">
        <v>18</v>
      </c>
      <c r="C250" s="9">
        <v>11</v>
      </c>
      <c r="D250" s="9" t="s">
        <v>16</v>
      </c>
      <c r="E250" s="9">
        <v>5</v>
      </c>
      <c r="F250" s="9">
        <v>7</v>
      </c>
      <c r="G250" s="9">
        <v>7</v>
      </c>
      <c r="H250" s="18">
        <v>9.9999999999999995E-7</v>
      </c>
      <c r="I250">
        <f t="shared" si="12"/>
        <v>7</v>
      </c>
      <c r="J250">
        <v>10</v>
      </c>
      <c r="K250" s="16">
        <f t="shared" si="11"/>
        <v>700000000</v>
      </c>
    </row>
    <row r="251" spans="1:11">
      <c r="A251">
        <v>1</v>
      </c>
      <c r="B251" t="s">
        <v>18</v>
      </c>
      <c r="C251" s="9">
        <v>11</v>
      </c>
      <c r="D251" s="9" t="s">
        <v>16</v>
      </c>
      <c r="E251" s="9">
        <v>6</v>
      </c>
      <c r="F251" s="10">
        <v>40</v>
      </c>
      <c r="G251" s="9">
        <v>30</v>
      </c>
      <c r="H251" s="18">
        <v>1.0000000000000001E-5</v>
      </c>
      <c r="I251">
        <f t="shared" si="12"/>
        <v>35</v>
      </c>
      <c r="J251">
        <v>10</v>
      </c>
      <c r="K251" s="16">
        <f t="shared" si="11"/>
        <v>349999999.99999994</v>
      </c>
    </row>
    <row r="252" spans="1:11">
      <c r="A252">
        <v>1</v>
      </c>
      <c r="B252" t="s">
        <v>18</v>
      </c>
      <c r="C252" s="9">
        <v>11</v>
      </c>
      <c r="D252" s="9" t="s">
        <v>16</v>
      </c>
      <c r="E252" s="9">
        <v>7</v>
      </c>
      <c r="F252" s="9">
        <v>3</v>
      </c>
      <c r="G252" s="9">
        <v>6</v>
      </c>
      <c r="H252" s="18">
        <v>9.9999999999999995E-7</v>
      </c>
      <c r="I252">
        <f t="shared" si="12"/>
        <v>4.5</v>
      </c>
      <c r="J252">
        <v>10</v>
      </c>
      <c r="K252" s="16">
        <f t="shared" si="11"/>
        <v>450000000</v>
      </c>
    </row>
    <row r="253" spans="1:11">
      <c r="A253">
        <v>1</v>
      </c>
      <c r="B253" t="s">
        <v>18</v>
      </c>
      <c r="C253" s="9">
        <v>11</v>
      </c>
      <c r="D253" s="9" t="s">
        <v>16</v>
      </c>
      <c r="E253" s="9">
        <v>8</v>
      </c>
      <c r="F253" s="9">
        <v>3</v>
      </c>
      <c r="G253" s="9">
        <v>7</v>
      </c>
      <c r="H253" s="18">
        <v>9.9999999999999995E-7</v>
      </c>
      <c r="I253">
        <f t="shared" si="12"/>
        <v>5</v>
      </c>
      <c r="J253">
        <v>10</v>
      </c>
      <c r="K253" s="16">
        <f t="shared" si="11"/>
        <v>500000000</v>
      </c>
    </row>
    <row r="254" spans="1:11">
      <c r="A254">
        <v>1</v>
      </c>
      <c r="B254" t="s">
        <v>18</v>
      </c>
      <c r="C254" s="9">
        <v>11</v>
      </c>
      <c r="D254" s="9" t="s">
        <v>16</v>
      </c>
      <c r="E254" s="9">
        <v>9</v>
      </c>
      <c r="F254" s="9">
        <v>3</v>
      </c>
      <c r="G254" s="9">
        <v>2</v>
      </c>
      <c r="H254" s="18">
        <v>9.9999999999999995E-7</v>
      </c>
      <c r="I254">
        <f t="shared" si="12"/>
        <v>2.5</v>
      </c>
      <c r="J254">
        <v>10</v>
      </c>
      <c r="K254" s="16">
        <f t="shared" si="11"/>
        <v>250000000</v>
      </c>
    </row>
    <row r="255" spans="1:11">
      <c r="A255">
        <v>1</v>
      </c>
      <c r="B255" t="s">
        <v>18</v>
      </c>
      <c r="C255" s="9">
        <v>11</v>
      </c>
      <c r="D255" s="9" t="s">
        <v>16</v>
      </c>
      <c r="E255" s="9">
        <v>10</v>
      </c>
      <c r="F255" s="9">
        <v>4</v>
      </c>
      <c r="G255" s="9">
        <v>3</v>
      </c>
      <c r="H255" s="18">
        <v>9.9999999999999995E-7</v>
      </c>
      <c r="I255">
        <f t="shared" si="12"/>
        <v>3.5</v>
      </c>
      <c r="J255">
        <v>10</v>
      </c>
      <c r="K255" s="16">
        <f t="shared" si="11"/>
        <v>350000000</v>
      </c>
    </row>
    <row r="256" spans="1:11">
      <c r="A256">
        <v>1</v>
      </c>
      <c r="B256" t="s">
        <v>18</v>
      </c>
      <c r="C256" s="9">
        <v>11.5</v>
      </c>
      <c r="D256" s="9" t="s">
        <v>16</v>
      </c>
      <c r="E256" s="9">
        <v>1</v>
      </c>
      <c r="F256" s="9">
        <v>21</v>
      </c>
      <c r="G256" s="9">
        <v>20</v>
      </c>
      <c r="H256" s="18">
        <v>1.0000000000000001E-5</v>
      </c>
      <c r="I256">
        <f t="shared" si="12"/>
        <v>20.5</v>
      </c>
      <c r="J256">
        <v>10</v>
      </c>
      <c r="K256" s="16">
        <f t="shared" si="11"/>
        <v>204999999.99999997</v>
      </c>
    </row>
    <row r="257" spans="1:11">
      <c r="A257">
        <v>1</v>
      </c>
      <c r="B257" t="s">
        <v>18</v>
      </c>
      <c r="C257" s="9">
        <v>11.5</v>
      </c>
      <c r="D257" s="9" t="s">
        <v>16</v>
      </c>
      <c r="E257" s="9">
        <v>2</v>
      </c>
      <c r="F257" s="9">
        <v>5</v>
      </c>
      <c r="G257" s="9">
        <v>5</v>
      </c>
      <c r="H257" s="18">
        <v>1.0000000000000001E-5</v>
      </c>
      <c r="I257">
        <f t="shared" si="12"/>
        <v>5</v>
      </c>
      <c r="J257">
        <v>10</v>
      </c>
      <c r="K257" s="16">
        <f t="shared" si="11"/>
        <v>49999999.999999993</v>
      </c>
    </row>
    <row r="258" spans="1:11">
      <c r="A258">
        <v>1</v>
      </c>
      <c r="B258" t="s">
        <v>18</v>
      </c>
      <c r="C258" s="9">
        <v>11.5</v>
      </c>
      <c r="D258" s="9" t="s">
        <v>16</v>
      </c>
      <c r="E258" s="9">
        <v>3</v>
      </c>
      <c r="F258" s="9">
        <v>5</v>
      </c>
      <c r="G258" s="9">
        <v>5</v>
      </c>
      <c r="H258" s="18">
        <v>1.0000000000000001E-5</v>
      </c>
      <c r="I258">
        <f t="shared" si="12"/>
        <v>5</v>
      </c>
      <c r="J258">
        <v>10</v>
      </c>
      <c r="K258" s="16">
        <f t="shared" si="11"/>
        <v>49999999.999999993</v>
      </c>
    </row>
    <row r="259" spans="1:11">
      <c r="A259">
        <v>1</v>
      </c>
      <c r="B259" t="s">
        <v>18</v>
      </c>
      <c r="C259" s="9">
        <v>11.5</v>
      </c>
      <c r="D259" s="9" t="s">
        <v>16</v>
      </c>
      <c r="E259" s="9">
        <v>4</v>
      </c>
      <c r="F259" s="9">
        <v>7</v>
      </c>
      <c r="G259" s="9">
        <v>12</v>
      </c>
      <c r="H259" s="18">
        <v>1.0000000000000001E-5</v>
      </c>
      <c r="I259">
        <f t="shared" si="12"/>
        <v>9.5</v>
      </c>
      <c r="J259">
        <v>10</v>
      </c>
      <c r="K259" s="16">
        <f t="shared" si="11"/>
        <v>94999999.999999985</v>
      </c>
    </row>
    <row r="260" spans="1:11">
      <c r="A260">
        <v>1</v>
      </c>
      <c r="B260" t="s">
        <v>18</v>
      </c>
      <c r="C260" s="9">
        <v>11.5</v>
      </c>
      <c r="D260" s="9" t="s">
        <v>16</v>
      </c>
      <c r="E260" s="9">
        <v>5</v>
      </c>
      <c r="F260" s="9">
        <v>9</v>
      </c>
      <c r="G260" s="9">
        <v>13</v>
      </c>
      <c r="H260" s="18">
        <v>1.0000000000000001E-5</v>
      </c>
      <c r="I260">
        <f t="shared" si="12"/>
        <v>11</v>
      </c>
      <c r="J260">
        <v>10</v>
      </c>
      <c r="K260" s="16">
        <f t="shared" si="11"/>
        <v>109999999.99999999</v>
      </c>
    </row>
    <row r="261" spans="1:11">
      <c r="A261">
        <v>1</v>
      </c>
      <c r="B261" t="s">
        <v>18</v>
      </c>
      <c r="C261" s="9">
        <v>11.5</v>
      </c>
      <c r="D261" s="9" t="s">
        <v>16</v>
      </c>
      <c r="E261" s="9">
        <v>6</v>
      </c>
      <c r="F261" s="9">
        <v>7</v>
      </c>
      <c r="G261" s="9">
        <v>5</v>
      </c>
      <c r="H261" s="18">
        <v>1.0000000000000001E-5</v>
      </c>
      <c r="I261">
        <f t="shared" ref="I261:I290" si="13">AVERAGE(F261:G261)</f>
        <v>6</v>
      </c>
      <c r="J261">
        <v>10</v>
      </c>
      <c r="K261" s="16">
        <f t="shared" si="11"/>
        <v>59999999.999999993</v>
      </c>
    </row>
    <row r="262" spans="1:11">
      <c r="A262">
        <v>1</v>
      </c>
      <c r="B262" t="s">
        <v>18</v>
      </c>
      <c r="C262" s="9">
        <v>11.5</v>
      </c>
      <c r="D262" s="9" t="s">
        <v>16</v>
      </c>
      <c r="E262" s="9">
        <v>7</v>
      </c>
      <c r="F262" s="9">
        <v>7</v>
      </c>
      <c r="G262" s="9">
        <v>8</v>
      </c>
      <c r="H262" s="18">
        <v>1.0000000000000001E-5</v>
      </c>
      <c r="I262">
        <f t="shared" si="13"/>
        <v>7.5</v>
      </c>
      <c r="J262">
        <v>10</v>
      </c>
      <c r="K262" s="16">
        <f t="shared" si="11"/>
        <v>75000000</v>
      </c>
    </row>
    <row r="263" spans="1:11">
      <c r="A263">
        <v>1</v>
      </c>
      <c r="B263" t="s">
        <v>18</v>
      </c>
      <c r="C263" s="9">
        <v>11.5</v>
      </c>
      <c r="D263" s="9" t="s">
        <v>16</v>
      </c>
      <c r="E263" s="9">
        <v>8</v>
      </c>
      <c r="F263" s="9">
        <v>7</v>
      </c>
      <c r="G263" s="9">
        <v>7</v>
      </c>
      <c r="H263" s="18">
        <v>1.0000000000000001E-5</v>
      </c>
      <c r="I263">
        <f t="shared" si="13"/>
        <v>7</v>
      </c>
      <c r="J263">
        <v>10</v>
      </c>
      <c r="K263" s="16">
        <f t="shared" si="11"/>
        <v>70000000</v>
      </c>
    </row>
    <row r="264" spans="1:11">
      <c r="A264">
        <v>1</v>
      </c>
      <c r="B264" t="s">
        <v>18</v>
      </c>
      <c r="C264" s="9">
        <v>11.5</v>
      </c>
      <c r="D264" s="9" t="s">
        <v>16</v>
      </c>
      <c r="E264" s="9">
        <v>9</v>
      </c>
      <c r="F264" s="9">
        <v>9</v>
      </c>
      <c r="G264" s="9">
        <v>7</v>
      </c>
      <c r="H264" s="18">
        <v>1.0000000000000001E-5</v>
      </c>
      <c r="I264">
        <f t="shared" si="13"/>
        <v>8</v>
      </c>
      <c r="J264">
        <v>10</v>
      </c>
      <c r="K264" s="16">
        <f t="shared" si="11"/>
        <v>80000000</v>
      </c>
    </row>
    <row r="265" spans="1:11">
      <c r="A265">
        <v>1</v>
      </c>
      <c r="B265" t="s">
        <v>18</v>
      </c>
      <c r="C265" s="9">
        <v>11.5</v>
      </c>
      <c r="D265" s="9" t="s">
        <v>16</v>
      </c>
      <c r="E265" s="9">
        <v>10</v>
      </c>
      <c r="F265" s="9">
        <v>4</v>
      </c>
      <c r="G265" s="9">
        <v>9</v>
      </c>
      <c r="H265" s="18">
        <v>1.0000000000000001E-5</v>
      </c>
      <c r="I265">
        <f t="shared" si="13"/>
        <v>6.5</v>
      </c>
      <c r="J265">
        <v>10</v>
      </c>
      <c r="K265" s="16">
        <f t="shared" si="11"/>
        <v>64999999.999999993</v>
      </c>
    </row>
    <row r="266" spans="1:11">
      <c r="A266">
        <v>1</v>
      </c>
      <c r="B266" t="s">
        <v>18</v>
      </c>
      <c r="C266" s="9">
        <v>12</v>
      </c>
      <c r="D266" s="9" t="s">
        <v>16</v>
      </c>
      <c r="E266" s="9" t="s">
        <v>19</v>
      </c>
      <c r="F266" s="9">
        <v>11</v>
      </c>
      <c r="G266" s="9">
        <v>4</v>
      </c>
      <c r="H266" s="18">
        <v>9.9999999999999995E-7</v>
      </c>
      <c r="I266">
        <f t="shared" si="13"/>
        <v>7.5</v>
      </c>
      <c r="J266">
        <v>10</v>
      </c>
      <c r="K266" s="16">
        <f t="shared" si="11"/>
        <v>750000000</v>
      </c>
    </row>
    <row r="267" spans="1:11">
      <c r="A267">
        <v>1</v>
      </c>
      <c r="B267" t="s">
        <v>18</v>
      </c>
      <c r="C267" s="9">
        <v>12</v>
      </c>
      <c r="D267" s="9" t="s">
        <v>16</v>
      </c>
      <c r="E267" s="9" t="s">
        <v>20</v>
      </c>
      <c r="F267" s="9">
        <v>11</v>
      </c>
      <c r="G267" s="9">
        <v>5</v>
      </c>
      <c r="H267" s="18">
        <v>9.9999999999999995E-7</v>
      </c>
      <c r="I267">
        <f t="shared" si="13"/>
        <v>8</v>
      </c>
      <c r="J267">
        <v>10</v>
      </c>
      <c r="K267" s="16">
        <f t="shared" si="11"/>
        <v>800000000</v>
      </c>
    </row>
    <row r="268" spans="1:11">
      <c r="A268">
        <v>1</v>
      </c>
      <c r="B268" t="s">
        <v>18</v>
      </c>
      <c r="C268" s="9">
        <v>12</v>
      </c>
      <c r="D268" s="9" t="s">
        <v>16</v>
      </c>
      <c r="E268" s="9" t="s">
        <v>21</v>
      </c>
      <c r="F268" s="9">
        <v>9</v>
      </c>
      <c r="G268" s="9">
        <v>6</v>
      </c>
      <c r="H268" s="18">
        <v>9.9999999999999995E-7</v>
      </c>
      <c r="I268">
        <f t="shared" si="13"/>
        <v>7.5</v>
      </c>
      <c r="J268">
        <v>10</v>
      </c>
      <c r="K268" s="16">
        <f t="shared" si="11"/>
        <v>750000000</v>
      </c>
    </row>
    <row r="269" spans="1:11">
      <c r="A269">
        <v>1</v>
      </c>
      <c r="B269" t="s">
        <v>18</v>
      </c>
      <c r="C269" s="9">
        <v>12</v>
      </c>
      <c r="D269" s="9" t="s">
        <v>16</v>
      </c>
      <c r="E269" s="9" t="s">
        <v>22</v>
      </c>
      <c r="F269" s="9">
        <v>9</v>
      </c>
      <c r="G269" s="9">
        <v>12</v>
      </c>
      <c r="H269" s="18">
        <v>9.9999999999999995E-7</v>
      </c>
      <c r="I269">
        <f t="shared" si="13"/>
        <v>10.5</v>
      </c>
      <c r="J269">
        <v>10</v>
      </c>
      <c r="K269" s="16">
        <f t="shared" si="11"/>
        <v>1050000000</v>
      </c>
    </row>
    <row r="270" spans="1:11">
      <c r="A270">
        <v>1</v>
      </c>
      <c r="B270" t="s">
        <v>18</v>
      </c>
      <c r="C270" s="9">
        <v>12</v>
      </c>
      <c r="D270" s="9" t="s">
        <v>16</v>
      </c>
      <c r="E270" s="9">
        <v>1</v>
      </c>
      <c r="F270" s="9">
        <v>11</v>
      </c>
      <c r="G270" s="9">
        <v>16</v>
      </c>
      <c r="H270" s="18">
        <v>1.0000000000000001E-5</v>
      </c>
      <c r="I270">
        <f t="shared" si="13"/>
        <v>13.5</v>
      </c>
      <c r="J270">
        <v>10</v>
      </c>
      <c r="K270" s="16">
        <f t="shared" si="11"/>
        <v>135000000</v>
      </c>
    </row>
    <row r="271" spans="1:11">
      <c r="A271">
        <v>1</v>
      </c>
      <c r="B271" t="s">
        <v>18</v>
      </c>
      <c r="C271" s="9">
        <v>12</v>
      </c>
      <c r="D271" s="9" t="s">
        <v>16</v>
      </c>
      <c r="E271" s="9">
        <v>2</v>
      </c>
      <c r="F271" s="9">
        <v>21</v>
      </c>
      <c r="G271" s="9">
        <v>14</v>
      </c>
      <c r="H271" s="18">
        <v>1.0000000000000001E-5</v>
      </c>
      <c r="I271">
        <f t="shared" si="13"/>
        <v>17.5</v>
      </c>
      <c r="J271">
        <v>10</v>
      </c>
      <c r="K271" s="16">
        <f t="shared" si="11"/>
        <v>174999999.99999997</v>
      </c>
    </row>
    <row r="272" spans="1:11">
      <c r="A272">
        <v>1</v>
      </c>
      <c r="B272" t="s">
        <v>18</v>
      </c>
      <c r="C272" s="9">
        <v>12</v>
      </c>
      <c r="D272" s="9" t="s">
        <v>16</v>
      </c>
      <c r="E272" s="9">
        <v>3</v>
      </c>
      <c r="F272" s="9">
        <v>10</v>
      </c>
      <c r="G272" s="9">
        <v>15</v>
      </c>
      <c r="H272" s="18">
        <v>1.0000000000000001E-5</v>
      </c>
      <c r="I272">
        <f t="shared" si="13"/>
        <v>12.5</v>
      </c>
      <c r="J272">
        <v>10</v>
      </c>
      <c r="K272" s="16">
        <f t="shared" si="11"/>
        <v>124999999.99999999</v>
      </c>
    </row>
    <row r="273" spans="1:11">
      <c r="A273">
        <v>1</v>
      </c>
      <c r="B273" t="s">
        <v>18</v>
      </c>
      <c r="C273" s="9">
        <v>12</v>
      </c>
      <c r="D273" s="9" t="s">
        <v>16</v>
      </c>
      <c r="E273" s="9">
        <v>4</v>
      </c>
      <c r="F273" s="9">
        <v>10</v>
      </c>
      <c r="G273" s="9">
        <v>18</v>
      </c>
      <c r="H273" s="18">
        <v>1.0000000000000001E-5</v>
      </c>
      <c r="I273">
        <f t="shared" si="13"/>
        <v>14</v>
      </c>
      <c r="J273">
        <v>10</v>
      </c>
      <c r="K273" s="16">
        <f t="shared" si="11"/>
        <v>140000000</v>
      </c>
    </row>
    <row r="274" spans="1:11">
      <c r="A274">
        <v>1</v>
      </c>
      <c r="B274" t="s">
        <v>18</v>
      </c>
      <c r="C274" s="9">
        <v>12</v>
      </c>
      <c r="D274" s="9" t="s">
        <v>16</v>
      </c>
      <c r="E274" s="9">
        <v>5</v>
      </c>
      <c r="F274" s="9">
        <v>24</v>
      </c>
      <c r="G274" s="9">
        <v>18</v>
      </c>
      <c r="H274" s="18">
        <v>1.0000000000000001E-5</v>
      </c>
      <c r="I274">
        <f t="shared" si="13"/>
        <v>21</v>
      </c>
      <c r="J274">
        <v>10</v>
      </c>
      <c r="K274" s="16">
        <f t="shared" si="11"/>
        <v>209999999.99999997</v>
      </c>
    </row>
    <row r="275" spans="1:11">
      <c r="A275">
        <v>1</v>
      </c>
      <c r="B275" t="s">
        <v>18</v>
      </c>
      <c r="C275" s="9">
        <v>12</v>
      </c>
      <c r="D275" s="9" t="s">
        <v>16</v>
      </c>
      <c r="E275" s="9">
        <v>6</v>
      </c>
      <c r="F275" s="9">
        <v>18</v>
      </c>
      <c r="G275" s="9">
        <v>19</v>
      </c>
      <c r="H275" s="18">
        <v>1.0000000000000001E-5</v>
      </c>
      <c r="I275">
        <f t="shared" si="13"/>
        <v>18.5</v>
      </c>
      <c r="J275">
        <v>10</v>
      </c>
      <c r="K275" s="16">
        <f t="shared" ref="K275:K338" si="14">I275/(H275*(J275/1000))</f>
        <v>184999999.99999997</v>
      </c>
    </row>
    <row r="276" spans="1:11">
      <c r="A276">
        <v>1</v>
      </c>
      <c r="B276" t="s">
        <v>18</v>
      </c>
      <c r="C276" s="9">
        <v>12</v>
      </c>
      <c r="D276" s="9" t="s">
        <v>16</v>
      </c>
      <c r="E276" s="9">
        <v>7</v>
      </c>
      <c r="F276" s="9">
        <v>3</v>
      </c>
      <c r="G276" s="9">
        <v>6</v>
      </c>
      <c r="H276" s="18">
        <v>9.9999999999999995E-7</v>
      </c>
      <c r="I276">
        <f t="shared" si="13"/>
        <v>4.5</v>
      </c>
      <c r="J276">
        <v>10</v>
      </c>
      <c r="K276" s="16">
        <f t="shared" si="14"/>
        <v>450000000</v>
      </c>
    </row>
    <row r="277" spans="1:11">
      <c r="A277">
        <v>1</v>
      </c>
      <c r="B277" t="s">
        <v>18</v>
      </c>
      <c r="C277" s="9">
        <v>12</v>
      </c>
      <c r="D277" s="9" t="s">
        <v>16</v>
      </c>
      <c r="E277" s="9">
        <v>8</v>
      </c>
      <c r="F277" s="9">
        <v>14</v>
      </c>
      <c r="G277" s="9">
        <v>16</v>
      </c>
      <c r="H277" s="18">
        <v>1.0000000000000001E-5</v>
      </c>
      <c r="I277">
        <f t="shared" si="13"/>
        <v>15</v>
      </c>
      <c r="J277">
        <v>10</v>
      </c>
      <c r="K277" s="16">
        <f t="shared" si="14"/>
        <v>150000000</v>
      </c>
    </row>
    <row r="278" spans="1:11">
      <c r="A278">
        <v>1</v>
      </c>
      <c r="B278" t="s">
        <v>18</v>
      </c>
      <c r="C278" s="9">
        <v>12</v>
      </c>
      <c r="D278" s="9" t="s">
        <v>16</v>
      </c>
      <c r="E278" s="9">
        <v>9</v>
      </c>
      <c r="F278" s="9">
        <v>18</v>
      </c>
      <c r="G278" s="9">
        <v>15</v>
      </c>
      <c r="H278" s="18">
        <v>1.0000000000000001E-5</v>
      </c>
      <c r="I278">
        <f t="shared" si="13"/>
        <v>16.5</v>
      </c>
      <c r="J278">
        <v>10</v>
      </c>
      <c r="K278" s="16">
        <f t="shared" si="14"/>
        <v>165000000</v>
      </c>
    </row>
    <row r="279" spans="1:11">
      <c r="A279">
        <v>1</v>
      </c>
      <c r="B279" t="s">
        <v>18</v>
      </c>
      <c r="C279" s="9">
        <v>12</v>
      </c>
      <c r="D279" s="9" t="s">
        <v>16</v>
      </c>
      <c r="E279" s="9">
        <v>10</v>
      </c>
      <c r="F279" s="9">
        <v>13</v>
      </c>
      <c r="G279" s="9">
        <v>15</v>
      </c>
      <c r="H279" s="18">
        <v>1.0000000000000001E-5</v>
      </c>
      <c r="I279">
        <f t="shared" si="13"/>
        <v>14</v>
      </c>
      <c r="J279">
        <v>10</v>
      </c>
      <c r="K279" s="16">
        <f t="shared" si="14"/>
        <v>140000000</v>
      </c>
    </row>
    <row r="280" spans="1:11">
      <c r="A280">
        <v>1</v>
      </c>
      <c r="B280" t="s">
        <v>18</v>
      </c>
      <c r="C280" s="9">
        <v>12.5</v>
      </c>
      <c r="D280" s="9" t="s">
        <v>16</v>
      </c>
      <c r="E280" s="9">
        <v>1</v>
      </c>
      <c r="F280" s="9">
        <v>10</v>
      </c>
      <c r="G280" s="9">
        <v>18</v>
      </c>
      <c r="H280" s="18">
        <v>1.0000000000000001E-5</v>
      </c>
      <c r="I280">
        <f t="shared" si="13"/>
        <v>14</v>
      </c>
      <c r="J280">
        <v>10</v>
      </c>
      <c r="K280" s="16">
        <f t="shared" si="14"/>
        <v>140000000</v>
      </c>
    </row>
    <row r="281" spans="1:11">
      <c r="A281">
        <v>1</v>
      </c>
      <c r="B281" t="s">
        <v>18</v>
      </c>
      <c r="C281" s="9">
        <v>12.5</v>
      </c>
      <c r="D281" s="9" t="s">
        <v>16</v>
      </c>
      <c r="E281" s="9">
        <v>2</v>
      </c>
      <c r="F281" s="9">
        <v>4</v>
      </c>
      <c r="G281" s="9">
        <v>4</v>
      </c>
      <c r="H281" s="18">
        <v>1.0000000000000001E-5</v>
      </c>
      <c r="I281">
        <f t="shared" si="13"/>
        <v>4</v>
      </c>
      <c r="J281">
        <v>10</v>
      </c>
      <c r="K281" s="16">
        <f t="shared" si="14"/>
        <v>40000000</v>
      </c>
    </row>
    <row r="282" spans="1:11">
      <c r="A282">
        <v>1</v>
      </c>
      <c r="B282" t="s">
        <v>18</v>
      </c>
      <c r="C282" s="9">
        <v>12.5</v>
      </c>
      <c r="D282" s="9" t="s">
        <v>16</v>
      </c>
      <c r="E282" s="9">
        <v>3</v>
      </c>
      <c r="F282" s="14">
        <v>30</v>
      </c>
      <c r="G282" s="9">
        <v>21</v>
      </c>
      <c r="H282" s="18">
        <v>1E-4</v>
      </c>
      <c r="I282">
        <f t="shared" si="13"/>
        <v>25.5</v>
      </c>
      <c r="J282">
        <v>10</v>
      </c>
      <c r="K282" s="16">
        <f t="shared" si="14"/>
        <v>25499999.999999996</v>
      </c>
    </row>
    <row r="283" spans="1:11">
      <c r="A283">
        <v>1</v>
      </c>
      <c r="B283" t="s">
        <v>18</v>
      </c>
      <c r="C283" s="9">
        <v>12.5</v>
      </c>
      <c r="D283" s="9" t="s">
        <v>16</v>
      </c>
      <c r="E283" s="9">
        <v>4</v>
      </c>
      <c r="F283" s="9">
        <v>4</v>
      </c>
      <c r="G283" s="9">
        <v>4</v>
      </c>
      <c r="H283" s="18">
        <v>1.0000000000000001E-5</v>
      </c>
      <c r="I283">
        <f t="shared" si="13"/>
        <v>4</v>
      </c>
      <c r="J283">
        <v>10</v>
      </c>
      <c r="K283" s="16">
        <f t="shared" si="14"/>
        <v>40000000</v>
      </c>
    </row>
    <row r="284" spans="1:11">
      <c r="A284">
        <v>1</v>
      </c>
      <c r="B284" t="s">
        <v>18</v>
      </c>
      <c r="C284" s="9">
        <v>12.5</v>
      </c>
      <c r="D284" s="9" t="s">
        <v>16</v>
      </c>
      <c r="E284" s="9">
        <v>5</v>
      </c>
      <c r="F284" s="9">
        <v>3</v>
      </c>
      <c r="G284" s="9">
        <v>4</v>
      </c>
      <c r="H284" s="18">
        <v>1.0000000000000001E-5</v>
      </c>
      <c r="I284">
        <f t="shared" si="13"/>
        <v>3.5</v>
      </c>
      <c r="J284">
        <v>10</v>
      </c>
      <c r="K284" s="16">
        <f t="shared" si="14"/>
        <v>35000000</v>
      </c>
    </row>
    <row r="285" spans="1:11">
      <c r="A285">
        <v>1</v>
      </c>
      <c r="B285" t="s">
        <v>18</v>
      </c>
      <c r="C285" s="9">
        <v>12.5</v>
      </c>
      <c r="D285" s="9" t="s">
        <v>16</v>
      </c>
      <c r="E285" s="9">
        <v>6</v>
      </c>
      <c r="F285" s="9">
        <v>10</v>
      </c>
      <c r="G285" s="9">
        <v>12</v>
      </c>
      <c r="H285" s="18">
        <v>1.0000000000000001E-5</v>
      </c>
      <c r="I285">
        <f t="shared" si="13"/>
        <v>11</v>
      </c>
      <c r="J285">
        <v>10</v>
      </c>
      <c r="K285" s="16">
        <f t="shared" si="14"/>
        <v>109999999.99999999</v>
      </c>
    </row>
    <row r="286" spans="1:11">
      <c r="A286">
        <v>1</v>
      </c>
      <c r="B286" t="s">
        <v>18</v>
      </c>
      <c r="C286" s="9">
        <v>12.5</v>
      </c>
      <c r="D286" s="9" t="s">
        <v>16</v>
      </c>
      <c r="E286" s="9">
        <v>7</v>
      </c>
      <c r="F286" s="9">
        <v>6</v>
      </c>
      <c r="G286" s="9">
        <v>7</v>
      </c>
      <c r="H286" s="18">
        <v>1.0000000000000001E-5</v>
      </c>
      <c r="I286">
        <f t="shared" si="13"/>
        <v>6.5</v>
      </c>
      <c r="J286">
        <v>10</v>
      </c>
      <c r="K286" s="16">
        <f t="shared" si="14"/>
        <v>64999999.999999993</v>
      </c>
    </row>
    <row r="287" spans="1:11">
      <c r="A287">
        <v>1</v>
      </c>
      <c r="B287" t="s">
        <v>18</v>
      </c>
      <c r="C287" s="9">
        <v>12.5</v>
      </c>
      <c r="D287" s="9" t="s">
        <v>16</v>
      </c>
      <c r="E287" s="9">
        <v>8</v>
      </c>
      <c r="F287" s="9">
        <v>11</v>
      </c>
      <c r="G287" s="9">
        <v>10</v>
      </c>
      <c r="H287" s="18">
        <v>1E-4</v>
      </c>
      <c r="I287">
        <f t="shared" si="13"/>
        <v>10.5</v>
      </c>
      <c r="J287">
        <v>10</v>
      </c>
      <c r="K287" s="16">
        <f t="shared" si="14"/>
        <v>10499999.999999998</v>
      </c>
    </row>
    <row r="288" spans="1:11">
      <c r="A288">
        <v>1</v>
      </c>
      <c r="B288" t="s">
        <v>18</v>
      </c>
      <c r="C288" s="9">
        <v>12.5</v>
      </c>
      <c r="D288" s="9" t="s">
        <v>16</v>
      </c>
      <c r="E288" s="9">
        <v>9</v>
      </c>
      <c r="F288" s="9">
        <v>6</v>
      </c>
      <c r="G288" s="9">
        <v>13</v>
      </c>
      <c r="H288" s="18">
        <v>1.0000000000000001E-5</v>
      </c>
      <c r="I288">
        <f t="shared" si="13"/>
        <v>9.5</v>
      </c>
      <c r="J288">
        <v>10</v>
      </c>
      <c r="K288" s="16">
        <f t="shared" si="14"/>
        <v>94999999.999999985</v>
      </c>
    </row>
    <row r="289" spans="1:11">
      <c r="A289">
        <v>1</v>
      </c>
      <c r="B289" t="s">
        <v>18</v>
      </c>
      <c r="C289" s="9">
        <v>12.5</v>
      </c>
      <c r="D289" s="9" t="s">
        <v>16</v>
      </c>
      <c r="E289" s="9">
        <v>10</v>
      </c>
      <c r="F289" s="9">
        <v>9</v>
      </c>
      <c r="G289" s="9">
        <v>7</v>
      </c>
      <c r="H289" s="18">
        <v>1.0000000000000001E-5</v>
      </c>
      <c r="I289">
        <f t="shared" si="13"/>
        <v>8</v>
      </c>
      <c r="J289">
        <v>10</v>
      </c>
      <c r="K289" s="16">
        <f t="shared" si="14"/>
        <v>80000000</v>
      </c>
    </row>
    <row r="290" spans="1:11">
      <c r="A290">
        <v>1</v>
      </c>
      <c r="B290" t="s">
        <v>18</v>
      </c>
      <c r="C290" s="9">
        <v>13</v>
      </c>
      <c r="D290" s="9" t="s">
        <v>16</v>
      </c>
      <c r="E290" s="9" t="s">
        <v>19</v>
      </c>
      <c r="F290" s="9">
        <v>13</v>
      </c>
      <c r="G290" s="9">
        <v>6</v>
      </c>
      <c r="H290" s="18">
        <v>9.9999999999999995E-7</v>
      </c>
      <c r="I290">
        <f t="shared" si="13"/>
        <v>9.5</v>
      </c>
      <c r="J290">
        <v>10</v>
      </c>
      <c r="K290" s="16">
        <f t="shared" si="14"/>
        <v>950000000</v>
      </c>
    </row>
    <row r="291" spans="1:11">
      <c r="A291">
        <v>1</v>
      </c>
      <c r="B291" t="s">
        <v>18</v>
      </c>
      <c r="C291" s="9">
        <v>13</v>
      </c>
      <c r="D291" s="9" t="s">
        <v>16</v>
      </c>
      <c r="E291" s="9" t="s">
        <v>20</v>
      </c>
      <c r="F291" s="9">
        <v>9</v>
      </c>
      <c r="G291" s="9">
        <v>8</v>
      </c>
      <c r="H291" s="18">
        <v>9.9999999999999995E-7</v>
      </c>
      <c r="I291">
        <f t="shared" ref="I291:I327" si="15">AVERAGE(F291:G291)</f>
        <v>8.5</v>
      </c>
      <c r="J291">
        <v>10</v>
      </c>
      <c r="K291" s="16">
        <f t="shared" si="14"/>
        <v>850000000</v>
      </c>
    </row>
    <row r="292" spans="1:11">
      <c r="A292">
        <v>1</v>
      </c>
      <c r="B292" t="s">
        <v>18</v>
      </c>
      <c r="C292" s="9">
        <v>13</v>
      </c>
      <c r="D292" s="9" t="s">
        <v>16</v>
      </c>
      <c r="E292" s="9" t="s">
        <v>21</v>
      </c>
      <c r="F292" s="9">
        <v>6</v>
      </c>
      <c r="G292" s="9">
        <v>10</v>
      </c>
      <c r="H292" s="18">
        <v>9.9999999999999995E-7</v>
      </c>
      <c r="I292">
        <f t="shared" si="15"/>
        <v>8</v>
      </c>
      <c r="J292">
        <v>10</v>
      </c>
      <c r="K292" s="16">
        <f t="shared" si="14"/>
        <v>800000000</v>
      </c>
    </row>
    <row r="293" spans="1:11">
      <c r="A293">
        <v>1</v>
      </c>
      <c r="B293" t="s">
        <v>18</v>
      </c>
      <c r="C293" s="9">
        <v>13</v>
      </c>
      <c r="D293" s="9" t="s">
        <v>16</v>
      </c>
      <c r="E293" s="9" t="s">
        <v>22</v>
      </c>
      <c r="F293" s="9">
        <v>9</v>
      </c>
      <c r="G293" s="9">
        <v>9</v>
      </c>
      <c r="H293" s="18">
        <v>9.9999999999999995E-7</v>
      </c>
      <c r="I293">
        <f t="shared" si="15"/>
        <v>9</v>
      </c>
      <c r="J293">
        <v>10</v>
      </c>
      <c r="K293" s="16">
        <f t="shared" si="14"/>
        <v>900000000</v>
      </c>
    </row>
    <row r="294" spans="1:11">
      <c r="A294">
        <v>1</v>
      </c>
      <c r="B294" t="s">
        <v>18</v>
      </c>
      <c r="C294" s="9">
        <v>13</v>
      </c>
      <c r="D294" s="9" t="s">
        <v>16</v>
      </c>
      <c r="E294" s="9">
        <v>1</v>
      </c>
      <c r="F294" s="9">
        <v>3</v>
      </c>
      <c r="G294" s="9">
        <v>6</v>
      </c>
      <c r="H294" s="18">
        <v>9.9999999999999995E-7</v>
      </c>
      <c r="I294">
        <f t="shared" si="15"/>
        <v>4.5</v>
      </c>
      <c r="J294">
        <v>10</v>
      </c>
      <c r="K294" s="16">
        <f t="shared" si="14"/>
        <v>450000000</v>
      </c>
    </row>
    <row r="295" spans="1:11">
      <c r="A295">
        <v>1</v>
      </c>
      <c r="B295" t="s">
        <v>18</v>
      </c>
      <c r="C295" s="9">
        <v>13</v>
      </c>
      <c r="D295" s="9" t="s">
        <v>16</v>
      </c>
      <c r="E295" s="9">
        <v>2</v>
      </c>
      <c r="F295" s="9">
        <v>2</v>
      </c>
      <c r="G295" s="9">
        <v>4</v>
      </c>
      <c r="H295" s="18">
        <v>9.9999999999999995E-7</v>
      </c>
      <c r="I295">
        <f t="shared" si="15"/>
        <v>3</v>
      </c>
      <c r="J295">
        <v>10</v>
      </c>
      <c r="K295" s="16">
        <f t="shared" si="14"/>
        <v>300000000</v>
      </c>
    </row>
    <row r="296" spans="1:11">
      <c r="A296">
        <v>1</v>
      </c>
      <c r="B296" t="s">
        <v>18</v>
      </c>
      <c r="C296" s="9">
        <v>13</v>
      </c>
      <c r="D296" s="9" t="s">
        <v>16</v>
      </c>
      <c r="E296" s="9">
        <v>3</v>
      </c>
      <c r="F296" s="9">
        <v>2</v>
      </c>
      <c r="G296" s="9">
        <v>7</v>
      </c>
      <c r="H296" s="18">
        <v>9.9999999999999995E-7</v>
      </c>
      <c r="I296">
        <f t="shared" si="15"/>
        <v>4.5</v>
      </c>
      <c r="J296">
        <v>10</v>
      </c>
      <c r="K296" s="16">
        <f t="shared" si="14"/>
        <v>450000000</v>
      </c>
    </row>
    <row r="297" spans="1:11">
      <c r="A297">
        <v>1</v>
      </c>
      <c r="B297" t="s">
        <v>18</v>
      </c>
      <c r="C297" s="9">
        <v>13</v>
      </c>
      <c r="D297" s="9" t="s">
        <v>16</v>
      </c>
      <c r="E297" s="9">
        <v>4</v>
      </c>
      <c r="F297" s="9">
        <v>6</v>
      </c>
      <c r="G297" s="9">
        <v>6</v>
      </c>
      <c r="H297" s="18">
        <v>9.9999999999999995E-7</v>
      </c>
      <c r="I297">
        <f t="shared" si="15"/>
        <v>6</v>
      </c>
      <c r="J297">
        <v>10</v>
      </c>
      <c r="K297" s="16">
        <f t="shared" si="14"/>
        <v>600000000</v>
      </c>
    </row>
    <row r="298" spans="1:11">
      <c r="A298">
        <v>1</v>
      </c>
      <c r="B298" t="s">
        <v>18</v>
      </c>
      <c r="C298" s="9">
        <v>13</v>
      </c>
      <c r="D298" s="9" t="s">
        <v>16</v>
      </c>
      <c r="E298" s="9">
        <v>5</v>
      </c>
      <c r="F298" s="9">
        <v>8</v>
      </c>
      <c r="G298" s="9">
        <v>8</v>
      </c>
      <c r="H298" s="18">
        <v>9.9999999999999995E-7</v>
      </c>
      <c r="I298">
        <f t="shared" si="15"/>
        <v>8</v>
      </c>
      <c r="J298">
        <v>10</v>
      </c>
      <c r="K298" s="16">
        <f t="shared" si="14"/>
        <v>800000000</v>
      </c>
    </row>
    <row r="299" spans="1:11">
      <c r="A299">
        <v>1</v>
      </c>
      <c r="B299" t="s">
        <v>18</v>
      </c>
      <c r="C299" s="9">
        <v>13</v>
      </c>
      <c r="D299" s="9" t="s">
        <v>16</v>
      </c>
      <c r="E299" s="9">
        <v>6</v>
      </c>
      <c r="F299" s="9">
        <v>2</v>
      </c>
      <c r="G299" s="9">
        <v>3</v>
      </c>
      <c r="H299" s="18">
        <v>9.9999999999999995E-7</v>
      </c>
      <c r="I299">
        <f t="shared" si="15"/>
        <v>2.5</v>
      </c>
      <c r="J299">
        <v>10</v>
      </c>
      <c r="K299" s="16">
        <f t="shared" si="14"/>
        <v>250000000</v>
      </c>
    </row>
    <row r="300" spans="1:11">
      <c r="A300">
        <v>1</v>
      </c>
      <c r="B300" t="s">
        <v>18</v>
      </c>
      <c r="C300" s="9">
        <v>13</v>
      </c>
      <c r="D300" s="9" t="s">
        <v>16</v>
      </c>
      <c r="E300" s="9">
        <v>7</v>
      </c>
      <c r="F300" s="9">
        <v>11</v>
      </c>
      <c r="G300" s="9">
        <v>14</v>
      </c>
      <c r="H300" s="18">
        <v>9.9999999999999995E-7</v>
      </c>
      <c r="I300">
        <f t="shared" si="15"/>
        <v>12.5</v>
      </c>
      <c r="J300">
        <v>10</v>
      </c>
      <c r="K300" s="16">
        <f t="shared" si="14"/>
        <v>1250000000</v>
      </c>
    </row>
    <row r="301" spans="1:11">
      <c r="A301">
        <v>1</v>
      </c>
      <c r="B301" t="s">
        <v>18</v>
      </c>
      <c r="C301" s="9">
        <v>13</v>
      </c>
      <c r="D301" s="9" t="s">
        <v>16</v>
      </c>
      <c r="E301" s="9">
        <v>8</v>
      </c>
      <c r="F301" s="9">
        <v>5</v>
      </c>
      <c r="G301" s="9">
        <v>9</v>
      </c>
      <c r="H301" s="18">
        <v>9.9999999999999995E-7</v>
      </c>
      <c r="I301">
        <f t="shared" si="15"/>
        <v>7</v>
      </c>
      <c r="J301">
        <v>10</v>
      </c>
      <c r="K301" s="16">
        <f t="shared" si="14"/>
        <v>700000000</v>
      </c>
    </row>
    <row r="302" spans="1:11">
      <c r="A302">
        <v>1</v>
      </c>
      <c r="B302" t="s">
        <v>18</v>
      </c>
      <c r="C302" s="9">
        <v>13</v>
      </c>
      <c r="D302" s="9" t="s">
        <v>16</v>
      </c>
      <c r="E302" s="9">
        <v>9</v>
      </c>
      <c r="F302" s="9">
        <v>4</v>
      </c>
      <c r="G302" s="9">
        <v>4</v>
      </c>
      <c r="H302" s="18">
        <v>9.9999999999999995E-7</v>
      </c>
      <c r="I302">
        <f t="shared" si="15"/>
        <v>4</v>
      </c>
      <c r="J302">
        <v>10</v>
      </c>
      <c r="K302" s="16">
        <f t="shared" si="14"/>
        <v>400000000</v>
      </c>
    </row>
    <row r="303" spans="1:11">
      <c r="A303">
        <v>1</v>
      </c>
      <c r="B303" t="s">
        <v>18</v>
      </c>
      <c r="C303" s="9">
        <v>13</v>
      </c>
      <c r="D303" s="9" t="s">
        <v>16</v>
      </c>
      <c r="E303" s="9">
        <v>10</v>
      </c>
      <c r="F303" s="9">
        <v>6</v>
      </c>
      <c r="G303" s="9">
        <v>3</v>
      </c>
      <c r="H303" s="18">
        <v>9.9999999999999995E-7</v>
      </c>
      <c r="I303">
        <f t="shared" si="15"/>
        <v>4.5</v>
      </c>
      <c r="J303">
        <v>10</v>
      </c>
      <c r="K303" s="16">
        <f t="shared" si="14"/>
        <v>450000000</v>
      </c>
    </row>
    <row r="304" spans="1:11">
      <c r="A304">
        <v>1</v>
      </c>
      <c r="B304" t="s">
        <v>18</v>
      </c>
      <c r="C304" s="9">
        <v>13.5</v>
      </c>
      <c r="D304" s="9" t="s">
        <v>16</v>
      </c>
      <c r="E304" s="9">
        <v>1</v>
      </c>
      <c r="F304" s="9">
        <v>3</v>
      </c>
      <c r="G304" s="9">
        <v>3</v>
      </c>
      <c r="H304" s="18">
        <v>9.9999999999999995E-7</v>
      </c>
      <c r="I304">
        <f t="shared" si="15"/>
        <v>3</v>
      </c>
      <c r="J304">
        <v>10</v>
      </c>
      <c r="K304" s="16">
        <f t="shared" si="14"/>
        <v>300000000</v>
      </c>
    </row>
    <row r="305" spans="1:11">
      <c r="A305">
        <v>1</v>
      </c>
      <c r="B305" t="s">
        <v>18</v>
      </c>
      <c r="C305" s="9">
        <v>13.5</v>
      </c>
      <c r="D305" s="9" t="s">
        <v>16</v>
      </c>
      <c r="E305" s="9">
        <v>2</v>
      </c>
      <c r="F305" s="9">
        <v>11</v>
      </c>
      <c r="G305" s="9">
        <v>11</v>
      </c>
      <c r="H305" s="18">
        <v>1.0000000000000001E-5</v>
      </c>
      <c r="I305">
        <f t="shared" si="15"/>
        <v>11</v>
      </c>
      <c r="J305">
        <v>10</v>
      </c>
      <c r="K305" s="16">
        <f t="shared" si="14"/>
        <v>109999999.99999999</v>
      </c>
    </row>
    <row r="306" spans="1:11">
      <c r="A306">
        <v>1</v>
      </c>
      <c r="B306" t="s">
        <v>18</v>
      </c>
      <c r="C306" s="9">
        <v>13.5</v>
      </c>
      <c r="D306" s="9" t="s">
        <v>16</v>
      </c>
      <c r="E306" s="9">
        <v>3</v>
      </c>
      <c r="F306" s="9">
        <v>14</v>
      </c>
      <c r="G306" s="9">
        <v>15</v>
      </c>
      <c r="H306" s="18">
        <v>1.0000000000000001E-5</v>
      </c>
      <c r="I306">
        <f t="shared" si="15"/>
        <v>14.5</v>
      </c>
      <c r="J306">
        <v>10</v>
      </c>
      <c r="K306" s="16">
        <f t="shared" si="14"/>
        <v>145000000</v>
      </c>
    </row>
    <row r="307" spans="1:11">
      <c r="A307">
        <v>1</v>
      </c>
      <c r="B307" t="s">
        <v>18</v>
      </c>
      <c r="C307" s="9">
        <v>13.5</v>
      </c>
      <c r="D307" s="9" t="s">
        <v>16</v>
      </c>
      <c r="E307" s="9">
        <v>4</v>
      </c>
      <c r="F307" s="9">
        <v>27</v>
      </c>
      <c r="G307" s="9">
        <v>27</v>
      </c>
      <c r="H307" s="18">
        <v>1.0000000000000001E-5</v>
      </c>
      <c r="I307">
        <f t="shared" si="15"/>
        <v>27</v>
      </c>
      <c r="J307">
        <v>10</v>
      </c>
      <c r="K307" s="16">
        <f t="shared" si="14"/>
        <v>270000000</v>
      </c>
    </row>
    <row r="308" spans="1:11">
      <c r="A308">
        <v>1</v>
      </c>
      <c r="B308" t="s">
        <v>18</v>
      </c>
      <c r="C308" s="9">
        <v>13.5</v>
      </c>
      <c r="D308" s="9" t="s">
        <v>16</v>
      </c>
      <c r="E308" s="9">
        <v>5</v>
      </c>
      <c r="F308" s="9">
        <v>12</v>
      </c>
      <c r="G308" s="9">
        <v>8</v>
      </c>
      <c r="H308" s="18">
        <v>1.0000000000000001E-5</v>
      </c>
      <c r="I308">
        <f t="shared" si="15"/>
        <v>10</v>
      </c>
      <c r="J308">
        <v>10</v>
      </c>
      <c r="K308" s="16">
        <f t="shared" si="14"/>
        <v>99999999.999999985</v>
      </c>
    </row>
    <row r="309" spans="1:11">
      <c r="A309">
        <v>1</v>
      </c>
      <c r="B309" t="s">
        <v>18</v>
      </c>
      <c r="C309" s="9">
        <v>13.5</v>
      </c>
      <c r="D309" s="9" t="s">
        <v>16</v>
      </c>
      <c r="E309" s="9">
        <v>6</v>
      </c>
      <c r="F309" s="9">
        <v>26</v>
      </c>
      <c r="G309" s="9">
        <v>25</v>
      </c>
      <c r="H309" s="18">
        <v>1.0000000000000001E-5</v>
      </c>
      <c r="I309">
        <f t="shared" si="15"/>
        <v>25.5</v>
      </c>
      <c r="J309">
        <v>10</v>
      </c>
      <c r="K309" s="16">
        <f t="shared" si="14"/>
        <v>254999999.99999997</v>
      </c>
    </row>
    <row r="310" spans="1:11">
      <c r="A310">
        <v>1</v>
      </c>
      <c r="B310" t="s">
        <v>18</v>
      </c>
      <c r="C310" s="9">
        <v>13.5</v>
      </c>
      <c r="D310" s="9" t="s">
        <v>16</v>
      </c>
      <c r="E310" s="9">
        <v>7</v>
      </c>
      <c r="F310" s="9">
        <v>10</v>
      </c>
      <c r="G310" s="9">
        <v>8</v>
      </c>
      <c r="H310" s="18">
        <v>1.0000000000000001E-5</v>
      </c>
      <c r="I310">
        <f t="shared" si="15"/>
        <v>9</v>
      </c>
      <c r="J310">
        <v>10</v>
      </c>
      <c r="K310" s="16">
        <f t="shared" si="14"/>
        <v>89999999.999999985</v>
      </c>
    </row>
    <row r="311" spans="1:11">
      <c r="A311">
        <v>1</v>
      </c>
      <c r="B311" t="s">
        <v>18</v>
      </c>
      <c r="C311" s="9">
        <v>13.5</v>
      </c>
      <c r="D311" s="9" t="s">
        <v>16</v>
      </c>
      <c r="E311" s="9">
        <v>8</v>
      </c>
      <c r="F311" s="9">
        <v>21</v>
      </c>
      <c r="G311" s="9">
        <v>25</v>
      </c>
      <c r="H311" s="18">
        <v>1.0000000000000001E-5</v>
      </c>
      <c r="I311">
        <f t="shared" si="15"/>
        <v>23</v>
      </c>
      <c r="J311">
        <v>10</v>
      </c>
      <c r="K311" s="16">
        <f t="shared" si="14"/>
        <v>229999999.99999997</v>
      </c>
    </row>
    <row r="312" spans="1:11">
      <c r="A312">
        <v>1</v>
      </c>
      <c r="B312" t="s">
        <v>18</v>
      </c>
      <c r="C312" s="9">
        <v>13.5</v>
      </c>
      <c r="D312" s="9" t="s">
        <v>16</v>
      </c>
      <c r="E312" s="9">
        <v>9</v>
      </c>
      <c r="F312" s="9">
        <v>21</v>
      </c>
      <c r="G312" s="9">
        <v>20</v>
      </c>
      <c r="H312" s="18">
        <v>1.0000000000000001E-5</v>
      </c>
      <c r="I312">
        <f t="shared" si="15"/>
        <v>20.5</v>
      </c>
      <c r="J312">
        <v>10</v>
      </c>
      <c r="K312" s="16">
        <f t="shared" si="14"/>
        <v>204999999.99999997</v>
      </c>
    </row>
    <row r="313" spans="1:11">
      <c r="A313">
        <v>1</v>
      </c>
      <c r="B313" t="s">
        <v>18</v>
      </c>
      <c r="C313" s="9">
        <v>13.5</v>
      </c>
      <c r="D313" s="9" t="s">
        <v>16</v>
      </c>
      <c r="E313" s="9">
        <v>10</v>
      </c>
      <c r="F313" s="9">
        <v>31</v>
      </c>
      <c r="G313" s="9">
        <v>25</v>
      </c>
      <c r="H313" s="18">
        <v>1.0000000000000001E-5</v>
      </c>
      <c r="I313">
        <f t="shared" si="15"/>
        <v>28</v>
      </c>
      <c r="J313">
        <v>10</v>
      </c>
      <c r="K313" s="16">
        <f t="shared" si="14"/>
        <v>280000000</v>
      </c>
    </row>
    <row r="314" spans="1:11">
      <c r="A314">
        <v>1</v>
      </c>
      <c r="B314" t="s">
        <v>18</v>
      </c>
      <c r="C314" s="9">
        <v>14</v>
      </c>
      <c r="D314" s="9" t="s">
        <v>16</v>
      </c>
      <c r="E314" s="9" t="s">
        <v>19</v>
      </c>
      <c r="F314" s="9">
        <v>14</v>
      </c>
      <c r="G314" s="9">
        <v>20</v>
      </c>
      <c r="H314" s="18">
        <v>1.0000000000000001E-5</v>
      </c>
      <c r="I314">
        <f t="shared" si="15"/>
        <v>17</v>
      </c>
      <c r="J314">
        <v>10</v>
      </c>
      <c r="K314" s="16">
        <f t="shared" si="14"/>
        <v>170000000</v>
      </c>
    </row>
    <row r="315" spans="1:11">
      <c r="A315">
        <v>1</v>
      </c>
      <c r="B315" t="s">
        <v>18</v>
      </c>
      <c r="C315" s="9">
        <v>14</v>
      </c>
      <c r="D315" s="9" t="s">
        <v>16</v>
      </c>
      <c r="E315" s="9" t="s">
        <v>20</v>
      </c>
      <c r="F315" s="9">
        <v>24</v>
      </c>
      <c r="G315" s="9">
        <v>17</v>
      </c>
      <c r="H315" s="18">
        <v>1.0000000000000001E-5</v>
      </c>
      <c r="I315">
        <f t="shared" si="15"/>
        <v>20.5</v>
      </c>
      <c r="J315">
        <v>10</v>
      </c>
      <c r="K315" s="16">
        <f t="shared" si="14"/>
        <v>204999999.99999997</v>
      </c>
    </row>
    <row r="316" spans="1:11">
      <c r="A316">
        <v>1</v>
      </c>
      <c r="B316" t="s">
        <v>18</v>
      </c>
      <c r="C316" s="9">
        <v>14</v>
      </c>
      <c r="D316" s="9" t="s">
        <v>16</v>
      </c>
      <c r="E316" s="9" t="s">
        <v>21</v>
      </c>
      <c r="F316" s="9">
        <v>23</v>
      </c>
      <c r="G316" s="9">
        <v>20</v>
      </c>
      <c r="H316" s="18">
        <v>9.9999999999999995E-7</v>
      </c>
      <c r="I316">
        <f t="shared" si="15"/>
        <v>21.5</v>
      </c>
      <c r="J316">
        <v>10</v>
      </c>
      <c r="K316" s="16">
        <f t="shared" si="14"/>
        <v>2150000000</v>
      </c>
    </row>
    <row r="317" spans="1:11">
      <c r="A317">
        <v>1</v>
      </c>
      <c r="B317" t="s">
        <v>18</v>
      </c>
      <c r="C317" s="9">
        <v>14</v>
      </c>
      <c r="D317" s="9" t="s">
        <v>16</v>
      </c>
      <c r="E317" s="9" t="s">
        <v>22</v>
      </c>
      <c r="F317" s="9">
        <v>2</v>
      </c>
      <c r="G317" s="9">
        <v>1</v>
      </c>
      <c r="H317" s="18">
        <v>9.9999999999999995E-7</v>
      </c>
      <c r="I317">
        <f t="shared" si="15"/>
        <v>1.5</v>
      </c>
      <c r="J317">
        <v>10</v>
      </c>
      <c r="K317" s="16">
        <f t="shared" si="14"/>
        <v>150000000</v>
      </c>
    </row>
    <row r="318" spans="1:11">
      <c r="A318">
        <v>1</v>
      </c>
      <c r="B318" t="s">
        <v>18</v>
      </c>
      <c r="C318" s="9">
        <v>14</v>
      </c>
      <c r="D318" s="9" t="s">
        <v>16</v>
      </c>
      <c r="E318" s="9">
        <v>1</v>
      </c>
      <c r="F318" s="9">
        <v>18</v>
      </c>
      <c r="G318" s="9">
        <v>10</v>
      </c>
      <c r="H318" s="18">
        <v>1.0000000000000001E-5</v>
      </c>
      <c r="I318">
        <f t="shared" si="15"/>
        <v>14</v>
      </c>
      <c r="J318">
        <v>10</v>
      </c>
      <c r="K318" s="16">
        <f t="shared" si="14"/>
        <v>140000000</v>
      </c>
    </row>
    <row r="319" spans="1:11">
      <c r="A319">
        <v>1</v>
      </c>
      <c r="B319" t="s">
        <v>18</v>
      </c>
      <c r="C319" s="9">
        <v>14</v>
      </c>
      <c r="D319" s="9" t="s">
        <v>16</v>
      </c>
      <c r="E319" s="9">
        <v>2</v>
      </c>
      <c r="F319" s="9">
        <v>21</v>
      </c>
      <c r="G319" s="9">
        <v>24</v>
      </c>
      <c r="H319" s="18">
        <v>1.0000000000000001E-5</v>
      </c>
      <c r="I319">
        <f t="shared" si="15"/>
        <v>22.5</v>
      </c>
      <c r="J319">
        <v>10</v>
      </c>
      <c r="K319" s="16">
        <f t="shared" si="14"/>
        <v>224999999.99999997</v>
      </c>
    </row>
    <row r="320" spans="1:11">
      <c r="A320">
        <v>1</v>
      </c>
      <c r="B320" t="s">
        <v>18</v>
      </c>
      <c r="C320" s="9">
        <v>14</v>
      </c>
      <c r="D320" s="9" t="s">
        <v>16</v>
      </c>
      <c r="E320" s="9">
        <v>3</v>
      </c>
      <c r="F320" s="9">
        <v>23</v>
      </c>
      <c r="G320" s="9">
        <v>21</v>
      </c>
      <c r="H320" s="18">
        <v>1.0000000000000001E-5</v>
      </c>
      <c r="I320">
        <f t="shared" si="15"/>
        <v>22</v>
      </c>
      <c r="J320">
        <v>10</v>
      </c>
      <c r="K320" s="16">
        <f t="shared" si="14"/>
        <v>219999999.99999997</v>
      </c>
    </row>
    <row r="321" spans="1:11">
      <c r="A321">
        <v>1</v>
      </c>
      <c r="B321" t="s">
        <v>18</v>
      </c>
      <c r="C321" s="9">
        <v>14</v>
      </c>
      <c r="D321" s="9" t="s">
        <v>16</v>
      </c>
      <c r="E321" s="9">
        <v>4</v>
      </c>
      <c r="F321" s="9">
        <v>3</v>
      </c>
      <c r="G321" s="9">
        <v>2</v>
      </c>
      <c r="H321" s="18">
        <v>9.9999999999999995E-7</v>
      </c>
      <c r="I321">
        <f t="shared" si="15"/>
        <v>2.5</v>
      </c>
      <c r="J321">
        <v>10</v>
      </c>
      <c r="K321" s="16">
        <f t="shared" si="14"/>
        <v>250000000</v>
      </c>
    </row>
    <row r="322" spans="1:11">
      <c r="A322">
        <v>1</v>
      </c>
      <c r="B322" t="s">
        <v>18</v>
      </c>
      <c r="C322" s="9">
        <v>14</v>
      </c>
      <c r="D322" s="9" t="s">
        <v>16</v>
      </c>
      <c r="E322" s="9">
        <v>5</v>
      </c>
      <c r="F322" s="9">
        <v>34</v>
      </c>
      <c r="G322" s="9">
        <v>21</v>
      </c>
      <c r="H322" s="18">
        <v>1.0000000000000001E-5</v>
      </c>
      <c r="I322">
        <f t="shared" si="15"/>
        <v>27.5</v>
      </c>
      <c r="J322">
        <v>10</v>
      </c>
      <c r="K322" s="16">
        <f t="shared" si="14"/>
        <v>275000000</v>
      </c>
    </row>
    <row r="323" spans="1:11">
      <c r="A323">
        <v>1</v>
      </c>
      <c r="B323" t="s">
        <v>18</v>
      </c>
      <c r="C323" s="9">
        <v>14</v>
      </c>
      <c r="D323" s="9" t="s">
        <v>16</v>
      </c>
      <c r="E323" s="9">
        <v>6</v>
      </c>
      <c r="F323" s="9">
        <v>18</v>
      </c>
      <c r="G323" s="9">
        <v>4</v>
      </c>
      <c r="H323" s="18">
        <v>1.0000000000000001E-5</v>
      </c>
      <c r="I323">
        <f t="shared" si="15"/>
        <v>11</v>
      </c>
      <c r="J323">
        <v>10</v>
      </c>
      <c r="K323" s="16">
        <f t="shared" si="14"/>
        <v>109999999.99999999</v>
      </c>
    </row>
    <row r="324" spans="1:11">
      <c r="A324">
        <v>1</v>
      </c>
      <c r="B324" t="s">
        <v>18</v>
      </c>
      <c r="C324" s="9">
        <v>14</v>
      </c>
      <c r="D324" s="9" t="s">
        <v>16</v>
      </c>
      <c r="E324" s="9">
        <v>7</v>
      </c>
      <c r="F324" s="9">
        <v>38</v>
      </c>
      <c r="G324" s="9">
        <v>30</v>
      </c>
      <c r="H324" s="18">
        <v>1.0000000000000001E-5</v>
      </c>
      <c r="I324">
        <f t="shared" si="15"/>
        <v>34</v>
      </c>
      <c r="J324">
        <v>10</v>
      </c>
      <c r="K324" s="16">
        <f t="shared" si="14"/>
        <v>340000000</v>
      </c>
    </row>
    <row r="325" spans="1:11">
      <c r="A325">
        <v>1</v>
      </c>
      <c r="B325" t="s">
        <v>18</v>
      </c>
      <c r="C325" s="9">
        <v>14</v>
      </c>
      <c r="D325" s="9" t="s">
        <v>16</v>
      </c>
      <c r="E325" s="9">
        <v>8</v>
      </c>
      <c r="F325" s="9">
        <v>22</v>
      </c>
      <c r="G325" s="9">
        <v>35</v>
      </c>
      <c r="H325" s="18">
        <v>1.0000000000000001E-5</v>
      </c>
      <c r="I325">
        <f t="shared" si="15"/>
        <v>28.5</v>
      </c>
      <c r="J325">
        <v>10</v>
      </c>
      <c r="K325" s="16">
        <f t="shared" si="14"/>
        <v>285000000</v>
      </c>
    </row>
    <row r="326" spans="1:11">
      <c r="A326">
        <v>1</v>
      </c>
      <c r="B326" t="s">
        <v>18</v>
      </c>
      <c r="C326" s="9">
        <v>14</v>
      </c>
      <c r="D326" s="9" t="s">
        <v>16</v>
      </c>
      <c r="E326" s="9">
        <v>9</v>
      </c>
      <c r="F326" s="9">
        <v>24</v>
      </c>
      <c r="G326" s="9">
        <v>27</v>
      </c>
      <c r="H326" s="18">
        <v>1.0000000000000001E-5</v>
      </c>
      <c r="I326">
        <f t="shared" si="15"/>
        <v>25.5</v>
      </c>
      <c r="J326">
        <v>10</v>
      </c>
      <c r="K326" s="16">
        <f t="shared" si="14"/>
        <v>254999999.99999997</v>
      </c>
    </row>
    <row r="327" spans="1:11">
      <c r="A327">
        <v>1</v>
      </c>
      <c r="B327" t="s">
        <v>18</v>
      </c>
      <c r="C327" s="9">
        <v>14</v>
      </c>
      <c r="D327" s="9" t="s">
        <v>16</v>
      </c>
      <c r="E327" s="9">
        <v>10</v>
      </c>
      <c r="F327" s="9">
        <v>25</v>
      </c>
      <c r="G327" s="9">
        <v>26</v>
      </c>
      <c r="H327" s="18">
        <v>1.0000000000000001E-5</v>
      </c>
      <c r="I327">
        <f t="shared" si="15"/>
        <v>25.5</v>
      </c>
      <c r="J327">
        <v>10</v>
      </c>
      <c r="K327" s="16">
        <f t="shared" si="14"/>
        <v>254999999.99999997</v>
      </c>
    </row>
    <row r="328" spans="1:11">
      <c r="A328">
        <v>1</v>
      </c>
      <c r="B328" t="s">
        <v>18</v>
      </c>
      <c r="C328" s="9">
        <v>14.5</v>
      </c>
      <c r="D328" s="9" t="s">
        <v>16</v>
      </c>
      <c r="E328" s="9">
        <v>1</v>
      </c>
      <c r="F328" s="9">
        <v>13</v>
      </c>
      <c r="G328" s="9">
        <v>10</v>
      </c>
      <c r="H328" s="18">
        <v>1.0000000000000001E-5</v>
      </c>
      <c r="I328">
        <f t="shared" ref="I328:I356" si="16">AVERAGE(F328:G328)</f>
        <v>11.5</v>
      </c>
      <c r="J328">
        <v>10</v>
      </c>
      <c r="K328" s="16">
        <f t="shared" si="14"/>
        <v>114999999.99999999</v>
      </c>
    </row>
    <row r="329" spans="1:11">
      <c r="A329">
        <v>1</v>
      </c>
      <c r="B329" t="s">
        <v>18</v>
      </c>
      <c r="C329" s="9">
        <v>14.5</v>
      </c>
      <c r="D329" s="9" t="s">
        <v>16</v>
      </c>
      <c r="E329" s="9">
        <v>2</v>
      </c>
      <c r="F329" s="9">
        <v>7</v>
      </c>
      <c r="G329" s="9">
        <v>12</v>
      </c>
      <c r="H329" s="18">
        <v>1.0000000000000001E-5</v>
      </c>
      <c r="I329">
        <f t="shared" si="16"/>
        <v>9.5</v>
      </c>
      <c r="J329">
        <v>10</v>
      </c>
      <c r="K329" s="16">
        <f t="shared" si="14"/>
        <v>94999999.999999985</v>
      </c>
    </row>
    <row r="330" spans="1:11">
      <c r="A330">
        <v>1</v>
      </c>
      <c r="B330" t="s">
        <v>18</v>
      </c>
      <c r="C330" s="9">
        <v>14.5</v>
      </c>
      <c r="D330" s="9" t="s">
        <v>16</v>
      </c>
      <c r="E330" s="9">
        <v>3</v>
      </c>
      <c r="F330" s="9">
        <v>14</v>
      </c>
      <c r="G330" s="9">
        <v>20</v>
      </c>
      <c r="H330" s="18">
        <v>1.0000000000000001E-5</v>
      </c>
      <c r="I330">
        <f t="shared" si="16"/>
        <v>17</v>
      </c>
      <c r="J330">
        <v>10</v>
      </c>
      <c r="K330" s="16">
        <f t="shared" si="14"/>
        <v>170000000</v>
      </c>
    </row>
    <row r="331" spans="1:11">
      <c r="A331">
        <v>1</v>
      </c>
      <c r="B331" t="s">
        <v>18</v>
      </c>
      <c r="C331" s="9">
        <v>14.5</v>
      </c>
      <c r="D331" s="9" t="s">
        <v>16</v>
      </c>
      <c r="E331" s="9">
        <v>4</v>
      </c>
      <c r="F331" s="9">
        <v>27</v>
      </c>
      <c r="G331" s="9">
        <v>18</v>
      </c>
      <c r="H331" s="18">
        <v>1.0000000000000001E-5</v>
      </c>
      <c r="I331">
        <f t="shared" si="16"/>
        <v>22.5</v>
      </c>
      <c r="J331">
        <v>10</v>
      </c>
      <c r="K331" s="16">
        <f t="shared" si="14"/>
        <v>224999999.99999997</v>
      </c>
    </row>
    <row r="332" spans="1:11">
      <c r="A332">
        <v>1</v>
      </c>
      <c r="B332" t="s">
        <v>18</v>
      </c>
      <c r="C332" s="9">
        <v>14.5</v>
      </c>
      <c r="D332" s="9" t="s">
        <v>16</v>
      </c>
      <c r="E332" s="9">
        <v>5</v>
      </c>
      <c r="F332" s="9">
        <v>5</v>
      </c>
      <c r="G332" s="9">
        <v>3</v>
      </c>
      <c r="H332" s="18">
        <v>1.0000000000000001E-5</v>
      </c>
      <c r="I332">
        <f t="shared" si="16"/>
        <v>4</v>
      </c>
      <c r="J332">
        <v>10</v>
      </c>
      <c r="K332" s="16">
        <f t="shared" si="14"/>
        <v>40000000</v>
      </c>
    </row>
    <row r="333" spans="1:11">
      <c r="A333">
        <v>1</v>
      </c>
      <c r="B333" t="s">
        <v>18</v>
      </c>
      <c r="C333" s="9">
        <v>14.5</v>
      </c>
      <c r="D333" s="9" t="s">
        <v>16</v>
      </c>
      <c r="E333" s="9">
        <v>6</v>
      </c>
      <c r="F333" s="9">
        <v>15</v>
      </c>
      <c r="G333" s="9">
        <v>13</v>
      </c>
      <c r="H333" s="18">
        <v>1.0000000000000001E-5</v>
      </c>
      <c r="I333">
        <f t="shared" si="16"/>
        <v>14</v>
      </c>
      <c r="J333">
        <v>10</v>
      </c>
      <c r="K333" s="16">
        <f t="shared" si="14"/>
        <v>140000000</v>
      </c>
    </row>
    <row r="334" spans="1:11">
      <c r="A334">
        <v>1</v>
      </c>
      <c r="B334" t="s">
        <v>18</v>
      </c>
      <c r="C334" s="9">
        <v>14.5</v>
      </c>
      <c r="D334" s="9" t="s">
        <v>16</v>
      </c>
      <c r="E334" s="9">
        <v>7</v>
      </c>
      <c r="F334" s="9">
        <v>9</v>
      </c>
      <c r="G334" s="9">
        <v>23</v>
      </c>
      <c r="H334" s="18">
        <v>1E-4</v>
      </c>
      <c r="I334">
        <f t="shared" si="16"/>
        <v>16</v>
      </c>
      <c r="J334">
        <v>10</v>
      </c>
      <c r="K334" s="16">
        <f t="shared" si="14"/>
        <v>15999999.999999998</v>
      </c>
    </row>
    <row r="335" spans="1:11">
      <c r="A335">
        <v>1</v>
      </c>
      <c r="B335" t="s">
        <v>18</v>
      </c>
      <c r="C335" s="9">
        <v>14.5</v>
      </c>
      <c r="D335" s="9" t="s">
        <v>16</v>
      </c>
      <c r="E335" s="9">
        <v>8</v>
      </c>
      <c r="F335" s="9">
        <v>13</v>
      </c>
      <c r="G335" s="9">
        <v>16</v>
      </c>
      <c r="H335" s="18">
        <v>1.0000000000000001E-5</v>
      </c>
      <c r="I335">
        <f t="shared" si="16"/>
        <v>14.5</v>
      </c>
      <c r="J335">
        <v>10</v>
      </c>
      <c r="K335" s="16">
        <f t="shared" si="14"/>
        <v>145000000</v>
      </c>
    </row>
    <row r="336" spans="1:11">
      <c r="A336">
        <v>1</v>
      </c>
      <c r="B336" t="s">
        <v>18</v>
      </c>
      <c r="C336" s="9">
        <v>14.5</v>
      </c>
      <c r="D336" s="9" t="s">
        <v>16</v>
      </c>
      <c r="E336" s="9">
        <v>9</v>
      </c>
      <c r="F336" s="9">
        <v>19</v>
      </c>
      <c r="G336" s="9">
        <v>16</v>
      </c>
      <c r="H336" s="18">
        <v>1.0000000000000001E-5</v>
      </c>
      <c r="I336">
        <f t="shared" si="16"/>
        <v>17.5</v>
      </c>
      <c r="J336">
        <v>10</v>
      </c>
      <c r="K336" s="16">
        <f t="shared" si="14"/>
        <v>174999999.99999997</v>
      </c>
    </row>
    <row r="337" spans="1:11">
      <c r="A337">
        <v>1</v>
      </c>
      <c r="B337" t="s">
        <v>18</v>
      </c>
      <c r="C337" s="9">
        <v>14.5</v>
      </c>
      <c r="D337" s="9" t="s">
        <v>16</v>
      </c>
      <c r="E337" s="9">
        <v>10</v>
      </c>
      <c r="F337" s="9">
        <v>17</v>
      </c>
      <c r="G337" s="9">
        <v>14</v>
      </c>
      <c r="H337" s="18">
        <v>1.0000000000000001E-5</v>
      </c>
      <c r="I337">
        <f t="shared" si="16"/>
        <v>15.5</v>
      </c>
      <c r="J337">
        <v>10</v>
      </c>
      <c r="K337" s="16">
        <f t="shared" si="14"/>
        <v>155000000</v>
      </c>
    </row>
    <row r="338" spans="1:11">
      <c r="A338">
        <v>1</v>
      </c>
      <c r="B338" t="s">
        <v>18</v>
      </c>
      <c r="C338" s="9">
        <v>15</v>
      </c>
      <c r="D338" s="9" t="s">
        <v>16</v>
      </c>
      <c r="E338" s="9" t="s">
        <v>19</v>
      </c>
      <c r="F338" s="9">
        <v>3</v>
      </c>
      <c r="G338" s="9">
        <v>8</v>
      </c>
      <c r="H338" s="18">
        <v>9.9999999999999995E-7</v>
      </c>
      <c r="I338">
        <f t="shared" si="16"/>
        <v>5.5</v>
      </c>
      <c r="J338">
        <v>10</v>
      </c>
      <c r="K338" s="16">
        <f t="shared" si="14"/>
        <v>550000000</v>
      </c>
    </row>
    <row r="339" spans="1:11">
      <c r="A339">
        <v>1</v>
      </c>
      <c r="B339" t="s">
        <v>18</v>
      </c>
      <c r="C339" s="9">
        <v>15</v>
      </c>
      <c r="D339" s="9" t="s">
        <v>16</v>
      </c>
      <c r="E339" s="9" t="s">
        <v>20</v>
      </c>
      <c r="F339" s="9">
        <v>7</v>
      </c>
      <c r="G339" s="9">
        <v>3</v>
      </c>
      <c r="H339" s="18">
        <v>9.9999999999999995E-7</v>
      </c>
      <c r="I339">
        <f t="shared" si="16"/>
        <v>5</v>
      </c>
      <c r="J339">
        <v>10</v>
      </c>
      <c r="K339" s="16">
        <f t="shared" ref="K339:K402" si="17">I339/(H339*(J339/1000))</f>
        <v>500000000</v>
      </c>
    </row>
    <row r="340" spans="1:11">
      <c r="A340">
        <v>1</v>
      </c>
      <c r="B340" t="s">
        <v>18</v>
      </c>
      <c r="C340" s="9">
        <v>15</v>
      </c>
      <c r="D340" s="9" t="s">
        <v>16</v>
      </c>
      <c r="E340" s="9" t="s">
        <v>21</v>
      </c>
      <c r="F340" s="9">
        <v>9</v>
      </c>
      <c r="G340" s="9">
        <v>3</v>
      </c>
      <c r="H340" s="18">
        <v>9.9999999999999995E-7</v>
      </c>
      <c r="I340">
        <f t="shared" si="16"/>
        <v>6</v>
      </c>
      <c r="J340">
        <v>10</v>
      </c>
      <c r="K340" s="16">
        <f t="shared" si="17"/>
        <v>600000000</v>
      </c>
    </row>
    <row r="341" spans="1:11">
      <c r="A341">
        <v>1</v>
      </c>
      <c r="B341" t="s">
        <v>18</v>
      </c>
      <c r="C341" s="9">
        <v>15</v>
      </c>
      <c r="D341" s="9" t="s">
        <v>16</v>
      </c>
      <c r="E341" s="9" t="s">
        <v>22</v>
      </c>
      <c r="F341" s="9">
        <v>4</v>
      </c>
      <c r="G341" s="9">
        <v>7</v>
      </c>
      <c r="H341" s="18">
        <v>9.9999999999999995E-7</v>
      </c>
      <c r="I341">
        <f t="shared" si="16"/>
        <v>5.5</v>
      </c>
      <c r="J341">
        <v>10</v>
      </c>
      <c r="K341" s="16">
        <f t="shared" si="17"/>
        <v>550000000</v>
      </c>
    </row>
    <row r="342" spans="1:11">
      <c r="A342">
        <v>1</v>
      </c>
      <c r="B342" t="s">
        <v>18</v>
      </c>
      <c r="C342" s="9">
        <v>15</v>
      </c>
      <c r="D342" s="9" t="s">
        <v>16</v>
      </c>
      <c r="E342" s="9">
        <v>1</v>
      </c>
      <c r="F342" s="9">
        <v>4</v>
      </c>
      <c r="G342" s="9">
        <v>1</v>
      </c>
      <c r="H342" s="18">
        <v>9.9999999999999995E-7</v>
      </c>
      <c r="I342">
        <f t="shared" si="16"/>
        <v>2.5</v>
      </c>
      <c r="J342">
        <v>10</v>
      </c>
      <c r="K342" s="16">
        <f t="shared" si="17"/>
        <v>250000000</v>
      </c>
    </row>
    <row r="343" spans="1:11">
      <c r="A343">
        <v>1</v>
      </c>
      <c r="B343" t="s">
        <v>18</v>
      </c>
      <c r="C343" s="9">
        <v>15</v>
      </c>
      <c r="D343" s="9" t="s">
        <v>16</v>
      </c>
      <c r="E343" s="9">
        <v>2</v>
      </c>
      <c r="F343" s="9">
        <v>2</v>
      </c>
      <c r="G343" s="9">
        <v>8</v>
      </c>
      <c r="H343" s="18">
        <v>9.9999999999999995E-7</v>
      </c>
      <c r="I343">
        <f t="shared" si="16"/>
        <v>5</v>
      </c>
      <c r="J343">
        <v>10</v>
      </c>
      <c r="K343" s="16">
        <f t="shared" si="17"/>
        <v>500000000</v>
      </c>
    </row>
    <row r="344" spans="1:11">
      <c r="A344">
        <v>1</v>
      </c>
      <c r="B344" t="s">
        <v>18</v>
      </c>
      <c r="C344" s="9">
        <v>15</v>
      </c>
      <c r="D344" s="9" t="s">
        <v>16</v>
      </c>
      <c r="E344" s="9">
        <v>3</v>
      </c>
      <c r="F344" s="9">
        <v>4</v>
      </c>
      <c r="G344" s="9">
        <v>2</v>
      </c>
      <c r="H344" s="18">
        <v>9.9999999999999995E-7</v>
      </c>
      <c r="I344">
        <f t="shared" si="16"/>
        <v>3</v>
      </c>
      <c r="J344">
        <v>10</v>
      </c>
      <c r="K344" s="16">
        <f t="shared" si="17"/>
        <v>300000000</v>
      </c>
    </row>
    <row r="345" spans="1:11">
      <c r="A345">
        <v>1</v>
      </c>
      <c r="B345" t="s">
        <v>18</v>
      </c>
      <c r="C345" s="9">
        <v>15</v>
      </c>
      <c r="D345" s="9" t="s">
        <v>16</v>
      </c>
      <c r="E345" s="9">
        <v>4</v>
      </c>
      <c r="F345" s="9">
        <v>4</v>
      </c>
      <c r="G345" s="9">
        <v>3</v>
      </c>
      <c r="H345" s="18">
        <v>9.9999999999999995E-7</v>
      </c>
      <c r="I345">
        <f t="shared" si="16"/>
        <v>3.5</v>
      </c>
      <c r="J345">
        <v>10</v>
      </c>
      <c r="K345" s="16">
        <f t="shared" si="17"/>
        <v>350000000</v>
      </c>
    </row>
    <row r="346" spans="1:11">
      <c r="A346">
        <v>1</v>
      </c>
      <c r="B346" t="s">
        <v>18</v>
      </c>
      <c r="C346" s="9">
        <v>15</v>
      </c>
      <c r="D346" s="9" t="s">
        <v>16</v>
      </c>
      <c r="E346" s="9">
        <v>5</v>
      </c>
      <c r="F346" s="9">
        <v>4</v>
      </c>
      <c r="G346" s="9">
        <v>6</v>
      </c>
      <c r="H346" s="18">
        <v>9.9999999999999995E-7</v>
      </c>
      <c r="I346">
        <f t="shared" si="16"/>
        <v>5</v>
      </c>
      <c r="J346">
        <v>10</v>
      </c>
      <c r="K346" s="16">
        <f t="shared" si="17"/>
        <v>500000000</v>
      </c>
    </row>
    <row r="347" spans="1:11">
      <c r="A347">
        <v>1</v>
      </c>
      <c r="B347" t="s">
        <v>18</v>
      </c>
      <c r="C347" s="9">
        <v>15</v>
      </c>
      <c r="D347" s="9" t="s">
        <v>16</v>
      </c>
      <c r="E347" s="9">
        <v>6</v>
      </c>
      <c r="F347" s="9">
        <v>22</v>
      </c>
      <c r="G347" s="9">
        <v>24</v>
      </c>
      <c r="H347" s="18">
        <v>1.0000000000000001E-5</v>
      </c>
      <c r="I347">
        <f t="shared" si="16"/>
        <v>23</v>
      </c>
      <c r="J347">
        <v>10</v>
      </c>
      <c r="K347" s="16">
        <f t="shared" si="17"/>
        <v>229999999.99999997</v>
      </c>
    </row>
    <row r="348" spans="1:11">
      <c r="A348">
        <v>1</v>
      </c>
      <c r="B348" t="s">
        <v>18</v>
      </c>
      <c r="C348" s="9">
        <v>15</v>
      </c>
      <c r="D348" s="9" t="s">
        <v>16</v>
      </c>
      <c r="E348" s="9">
        <v>7</v>
      </c>
      <c r="F348" s="9">
        <v>5</v>
      </c>
      <c r="G348" s="9">
        <v>13</v>
      </c>
      <c r="H348" s="18">
        <v>9.9999999999999995E-7</v>
      </c>
      <c r="I348">
        <f t="shared" si="16"/>
        <v>9</v>
      </c>
      <c r="J348">
        <v>10</v>
      </c>
      <c r="K348" s="16">
        <f t="shared" si="17"/>
        <v>900000000</v>
      </c>
    </row>
    <row r="349" spans="1:11">
      <c r="A349">
        <v>1</v>
      </c>
      <c r="B349" t="s">
        <v>18</v>
      </c>
      <c r="C349" s="9">
        <v>15</v>
      </c>
      <c r="D349" s="9" t="s">
        <v>16</v>
      </c>
      <c r="E349" s="9">
        <v>8</v>
      </c>
      <c r="F349" s="9">
        <v>2</v>
      </c>
      <c r="G349" s="9">
        <v>7</v>
      </c>
      <c r="H349" s="18">
        <v>9.9999999999999995E-7</v>
      </c>
      <c r="I349">
        <f t="shared" si="16"/>
        <v>4.5</v>
      </c>
      <c r="J349">
        <v>10</v>
      </c>
      <c r="K349" s="16">
        <f t="shared" si="17"/>
        <v>450000000</v>
      </c>
    </row>
    <row r="350" spans="1:11">
      <c r="A350">
        <v>1</v>
      </c>
      <c r="B350" t="s">
        <v>18</v>
      </c>
      <c r="C350" s="9">
        <v>15</v>
      </c>
      <c r="D350" s="9" t="s">
        <v>16</v>
      </c>
      <c r="E350" s="9">
        <v>9</v>
      </c>
      <c r="F350" s="9">
        <v>3</v>
      </c>
      <c r="G350" s="9">
        <v>3</v>
      </c>
      <c r="H350" s="18">
        <v>9.9999999999999995E-7</v>
      </c>
      <c r="I350">
        <f t="shared" si="16"/>
        <v>3</v>
      </c>
      <c r="J350">
        <v>10</v>
      </c>
      <c r="K350" s="16">
        <f t="shared" si="17"/>
        <v>300000000</v>
      </c>
    </row>
    <row r="351" spans="1:11">
      <c r="A351">
        <v>1</v>
      </c>
      <c r="B351" t="s">
        <v>18</v>
      </c>
      <c r="C351" s="9">
        <v>15</v>
      </c>
      <c r="D351" s="9" t="s">
        <v>16</v>
      </c>
      <c r="E351" s="9">
        <v>10</v>
      </c>
      <c r="F351" s="9">
        <v>4</v>
      </c>
      <c r="G351" s="9">
        <v>1</v>
      </c>
      <c r="H351" s="18">
        <v>9.9999999999999995E-7</v>
      </c>
      <c r="I351">
        <f t="shared" si="16"/>
        <v>2.5</v>
      </c>
      <c r="J351">
        <v>10</v>
      </c>
      <c r="K351" s="16">
        <f t="shared" si="17"/>
        <v>250000000</v>
      </c>
    </row>
    <row r="352" spans="1:11">
      <c r="A352">
        <v>1</v>
      </c>
      <c r="B352" t="s">
        <v>18</v>
      </c>
      <c r="C352" s="9">
        <v>15.5</v>
      </c>
      <c r="D352" s="9" t="s">
        <v>16</v>
      </c>
      <c r="E352" s="9">
        <v>1</v>
      </c>
      <c r="F352" s="9">
        <v>5</v>
      </c>
      <c r="G352" s="9">
        <v>2</v>
      </c>
      <c r="H352" s="18">
        <v>9.9999999999999995E-7</v>
      </c>
      <c r="I352">
        <f t="shared" si="16"/>
        <v>3.5</v>
      </c>
      <c r="J352">
        <v>10</v>
      </c>
      <c r="K352" s="16">
        <f t="shared" si="17"/>
        <v>350000000</v>
      </c>
    </row>
    <row r="353" spans="1:11">
      <c r="A353">
        <v>1</v>
      </c>
      <c r="B353" t="s">
        <v>18</v>
      </c>
      <c r="C353" s="9">
        <v>15.5</v>
      </c>
      <c r="D353" s="9" t="s">
        <v>16</v>
      </c>
      <c r="E353" s="9">
        <v>2</v>
      </c>
      <c r="F353" s="10">
        <v>20</v>
      </c>
      <c r="G353" s="9">
        <v>19</v>
      </c>
      <c r="H353" s="18">
        <v>1.0000000000000001E-5</v>
      </c>
      <c r="I353">
        <f t="shared" si="16"/>
        <v>19.5</v>
      </c>
      <c r="J353">
        <v>10</v>
      </c>
      <c r="K353" s="16">
        <f t="shared" si="17"/>
        <v>194999999.99999997</v>
      </c>
    </row>
    <row r="354" spans="1:11">
      <c r="A354">
        <v>1</v>
      </c>
      <c r="B354" t="s">
        <v>18</v>
      </c>
      <c r="C354" s="9">
        <v>15.5</v>
      </c>
      <c r="D354" s="9" t="s">
        <v>16</v>
      </c>
      <c r="E354" s="9">
        <v>3</v>
      </c>
      <c r="F354" s="9">
        <v>5</v>
      </c>
      <c r="G354" s="9">
        <v>3</v>
      </c>
      <c r="H354" s="18">
        <v>9.9999999999999995E-7</v>
      </c>
      <c r="I354">
        <f t="shared" si="16"/>
        <v>4</v>
      </c>
      <c r="J354">
        <v>10</v>
      </c>
      <c r="K354" s="16">
        <f t="shared" si="17"/>
        <v>400000000</v>
      </c>
    </row>
    <row r="355" spans="1:11">
      <c r="A355">
        <v>1</v>
      </c>
      <c r="B355" t="s">
        <v>18</v>
      </c>
      <c r="C355" s="9">
        <v>15.5</v>
      </c>
      <c r="D355" s="9" t="s">
        <v>16</v>
      </c>
      <c r="E355" s="9">
        <v>4</v>
      </c>
      <c r="F355" s="9">
        <v>6</v>
      </c>
      <c r="G355" s="9">
        <v>5</v>
      </c>
      <c r="H355" s="18">
        <v>9.9999999999999995E-7</v>
      </c>
      <c r="I355">
        <f t="shared" si="16"/>
        <v>5.5</v>
      </c>
      <c r="J355">
        <v>10</v>
      </c>
      <c r="K355" s="16">
        <f t="shared" si="17"/>
        <v>550000000</v>
      </c>
    </row>
    <row r="356" spans="1:11">
      <c r="A356">
        <v>1</v>
      </c>
      <c r="B356" t="s">
        <v>18</v>
      </c>
      <c r="C356" s="9">
        <v>15.5</v>
      </c>
      <c r="D356" s="9" t="s">
        <v>16</v>
      </c>
      <c r="E356" s="9">
        <v>5</v>
      </c>
      <c r="F356" s="9">
        <v>14</v>
      </c>
      <c r="G356" s="9">
        <v>18</v>
      </c>
      <c r="H356" s="18">
        <v>1.0000000000000001E-5</v>
      </c>
      <c r="I356">
        <f t="shared" si="16"/>
        <v>16</v>
      </c>
      <c r="J356">
        <v>10</v>
      </c>
      <c r="K356" s="16">
        <f t="shared" si="17"/>
        <v>160000000</v>
      </c>
    </row>
    <row r="357" spans="1:11">
      <c r="A357">
        <v>1</v>
      </c>
      <c r="B357" t="s">
        <v>18</v>
      </c>
      <c r="C357" s="9">
        <v>15.5</v>
      </c>
      <c r="D357" s="9" t="s">
        <v>16</v>
      </c>
      <c r="E357" s="9">
        <v>6</v>
      </c>
      <c r="F357" s="9">
        <v>21</v>
      </c>
      <c r="G357" s="9">
        <v>30</v>
      </c>
      <c r="H357" s="18">
        <v>1.0000000000000001E-5</v>
      </c>
      <c r="I357">
        <f t="shared" ref="I357:I386" si="18">AVERAGE(F357:G357)</f>
        <v>25.5</v>
      </c>
      <c r="J357">
        <v>10</v>
      </c>
      <c r="K357" s="16">
        <f t="shared" si="17"/>
        <v>254999999.99999997</v>
      </c>
    </row>
    <row r="358" spans="1:11">
      <c r="A358">
        <v>1</v>
      </c>
      <c r="B358" t="s">
        <v>18</v>
      </c>
      <c r="C358" s="9">
        <v>15.5</v>
      </c>
      <c r="D358" s="9" t="s">
        <v>16</v>
      </c>
      <c r="E358" s="9">
        <v>7</v>
      </c>
      <c r="F358" s="9">
        <v>18</v>
      </c>
      <c r="G358" s="9">
        <v>12</v>
      </c>
      <c r="H358" s="18">
        <v>1.0000000000000001E-5</v>
      </c>
      <c r="I358">
        <f t="shared" si="18"/>
        <v>15</v>
      </c>
      <c r="J358">
        <v>10</v>
      </c>
      <c r="K358" s="16">
        <f t="shared" si="17"/>
        <v>150000000</v>
      </c>
    </row>
    <row r="359" spans="1:11">
      <c r="A359">
        <v>1</v>
      </c>
      <c r="B359" t="s">
        <v>18</v>
      </c>
      <c r="C359" s="9">
        <v>15.5</v>
      </c>
      <c r="D359" s="9" t="s">
        <v>16</v>
      </c>
      <c r="E359" s="9">
        <v>8</v>
      </c>
      <c r="F359" s="9">
        <v>4</v>
      </c>
      <c r="G359" s="9">
        <v>3</v>
      </c>
      <c r="H359" s="18">
        <v>9.9999999999999995E-7</v>
      </c>
      <c r="I359">
        <f t="shared" si="18"/>
        <v>3.5</v>
      </c>
      <c r="J359">
        <v>10</v>
      </c>
      <c r="K359" s="16">
        <f t="shared" si="17"/>
        <v>350000000</v>
      </c>
    </row>
    <row r="360" spans="1:11">
      <c r="A360">
        <v>1</v>
      </c>
      <c r="B360" t="s">
        <v>18</v>
      </c>
      <c r="C360" s="9">
        <v>15.5</v>
      </c>
      <c r="D360" s="9" t="s">
        <v>16</v>
      </c>
      <c r="E360" s="9">
        <v>9</v>
      </c>
      <c r="F360" s="9">
        <v>5</v>
      </c>
      <c r="G360" s="9">
        <v>5</v>
      </c>
      <c r="H360" s="18">
        <v>9.9999999999999995E-7</v>
      </c>
      <c r="I360">
        <f t="shared" si="18"/>
        <v>5</v>
      </c>
      <c r="J360">
        <v>10</v>
      </c>
      <c r="K360" s="16">
        <f t="shared" si="17"/>
        <v>500000000</v>
      </c>
    </row>
    <row r="361" spans="1:11">
      <c r="A361">
        <v>1</v>
      </c>
      <c r="B361" t="s">
        <v>18</v>
      </c>
      <c r="C361" s="9">
        <v>15.5</v>
      </c>
      <c r="D361" s="9" t="s">
        <v>16</v>
      </c>
      <c r="E361" s="9">
        <v>10</v>
      </c>
      <c r="F361" s="10">
        <v>30</v>
      </c>
      <c r="G361" s="9">
        <v>28</v>
      </c>
      <c r="H361" s="18">
        <v>1.0000000000000001E-5</v>
      </c>
      <c r="I361">
        <f t="shared" si="18"/>
        <v>29</v>
      </c>
      <c r="J361">
        <v>10</v>
      </c>
      <c r="K361" s="16">
        <f t="shared" si="17"/>
        <v>290000000</v>
      </c>
    </row>
    <row r="362" spans="1:11">
      <c r="A362">
        <v>1</v>
      </c>
      <c r="B362" t="s">
        <v>18</v>
      </c>
      <c r="C362" s="9">
        <v>16</v>
      </c>
      <c r="D362" s="9" t="s">
        <v>16</v>
      </c>
      <c r="E362" s="9" t="s">
        <v>19</v>
      </c>
      <c r="F362" s="9">
        <v>5</v>
      </c>
      <c r="G362" s="9">
        <v>8</v>
      </c>
      <c r="H362" s="18">
        <v>9.9999999999999995E-7</v>
      </c>
      <c r="I362">
        <f t="shared" si="18"/>
        <v>6.5</v>
      </c>
      <c r="J362">
        <v>10</v>
      </c>
      <c r="K362" s="16">
        <f t="shared" si="17"/>
        <v>650000000</v>
      </c>
    </row>
    <row r="363" spans="1:11">
      <c r="A363">
        <v>1</v>
      </c>
      <c r="B363" t="s">
        <v>18</v>
      </c>
      <c r="C363" s="9">
        <v>16</v>
      </c>
      <c r="D363" s="9" t="s">
        <v>16</v>
      </c>
      <c r="E363" s="9" t="s">
        <v>20</v>
      </c>
      <c r="F363" s="9">
        <v>2</v>
      </c>
      <c r="G363" s="9">
        <v>6</v>
      </c>
      <c r="H363" s="18">
        <v>9.9999999999999995E-7</v>
      </c>
      <c r="I363">
        <f t="shared" si="18"/>
        <v>4</v>
      </c>
      <c r="J363">
        <v>10</v>
      </c>
      <c r="K363" s="16">
        <f t="shared" si="17"/>
        <v>400000000</v>
      </c>
    </row>
    <row r="364" spans="1:11">
      <c r="A364">
        <v>1</v>
      </c>
      <c r="B364" t="s">
        <v>18</v>
      </c>
      <c r="C364" s="9">
        <v>16</v>
      </c>
      <c r="D364" s="9" t="s">
        <v>16</v>
      </c>
      <c r="E364" s="9" t="s">
        <v>21</v>
      </c>
      <c r="F364" s="9">
        <v>6</v>
      </c>
      <c r="G364" s="9">
        <v>6</v>
      </c>
      <c r="H364" s="18">
        <v>9.9999999999999995E-7</v>
      </c>
      <c r="I364">
        <f t="shared" si="18"/>
        <v>6</v>
      </c>
      <c r="J364">
        <v>10</v>
      </c>
      <c r="K364" s="16">
        <f t="shared" si="17"/>
        <v>600000000</v>
      </c>
    </row>
    <row r="365" spans="1:11">
      <c r="A365">
        <v>1</v>
      </c>
      <c r="B365" t="s">
        <v>18</v>
      </c>
      <c r="C365" s="9">
        <v>16</v>
      </c>
      <c r="D365" s="9" t="s">
        <v>16</v>
      </c>
      <c r="E365" s="9" t="s">
        <v>22</v>
      </c>
      <c r="F365" s="9">
        <v>5</v>
      </c>
      <c r="G365" s="9">
        <v>7</v>
      </c>
      <c r="H365" s="18">
        <v>9.9999999999999995E-7</v>
      </c>
      <c r="I365">
        <f t="shared" si="18"/>
        <v>6</v>
      </c>
      <c r="J365">
        <v>10</v>
      </c>
      <c r="K365" s="16">
        <f t="shared" si="17"/>
        <v>600000000</v>
      </c>
    </row>
    <row r="366" spans="1:11">
      <c r="A366">
        <v>1</v>
      </c>
      <c r="B366" t="s">
        <v>18</v>
      </c>
      <c r="C366" s="9">
        <v>16</v>
      </c>
      <c r="D366" s="9" t="s">
        <v>16</v>
      </c>
      <c r="E366" s="9">
        <v>1</v>
      </c>
      <c r="F366" s="9">
        <v>2</v>
      </c>
      <c r="G366" s="9">
        <v>1</v>
      </c>
      <c r="H366" s="18">
        <v>9.9999999999999995E-7</v>
      </c>
      <c r="I366">
        <f t="shared" si="18"/>
        <v>1.5</v>
      </c>
      <c r="J366">
        <v>10</v>
      </c>
      <c r="K366" s="16">
        <f t="shared" si="17"/>
        <v>150000000</v>
      </c>
    </row>
    <row r="367" spans="1:11">
      <c r="A367">
        <v>1</v>
      </c>
      <c r="B367" t="s">
        <v>18</v>
      </c>
      <c r="C367" s="9">
        <v>16</v>
      </c>
      <c r="D367" s="9" t="s">
        <v>16</v>
      </c>
      <c r="E367" s="9">
        <v>2</v>
      </c>
      <c r="F367" s="9">
        <v>2</v>
      </c>
      <c r="G367" s="9">
        <v>3</v>
      </c>
      <c r="H367" s="18">
        <v>9.9999999999999995E-7</v>
      </c>
      <c r="I367">
        <f t="shared" si="18"/>
        <v>2.5</v>
      </c>
      <c r="J367">
        <v>10</v>
      </c>
      <c r="K367" s="16">
        <f t="shared" si="17"/>
        <v>250000000</v>
      </c>
    </row>
    <row r="368" spans="1:11">
      <c r="A368">
        <v>1</v>
      </c>
      <c r="B368" t="s">
        <v>18</v>
      </c>
      <c r="C368" s="9">
        <v>16</v>
      </c>
      <c r="D368" s="9" t="s">
        <v>16</v>
      </c>
      <c r="E368" s="9">
        <v>3</v>
      </c>
      <c r="F368" s="9">
        <v>5</v>
      </c>
      <c r="G368" s="9">
        <v>7</v>
      </c>
      <c r="H368" s="18">
        <v>9.9999999999999995E-7</v>
      </c>
      <c r="I368">
        <f t="shared" si="18"/>
        <v>6</v>
      </c>
      <c r="J368">
        <v>10</v>
      </c>
      <c r="K368" s="16">
        <f t="shared" si="17"/>
        <v>600000000</v>
      </c>
    </row>
    <row r="369" spans="1:11">
      <c r="A369">
        <v>1</v>
      </c>
      <c r="B369" t="s">
        <v>18</v>
      </c>
      <c r="C369" s="9">
        <v>16</v>
      </c>
      <c r="D369" s="9" t="s">
        <v>16</v>
      </c>
      <c r="E369" s="9">
        <v>4</v>
      </c>
      <c r="F369" s="9">
        <v>8</v>
      </c>
      <c r="G369" s="9">
        <v>2</v>
      </c>
      <c r="H369" s="18">
        <v>9.9999999999999995E-7</v>
      </c>
      <c r="I369">
        <f t="shared" si="18"/>
        <v>5</v>
      </c>
      <c r="J369">
        <v>10</v>
      </c>
      <c r="K369" s="16">
        <f t="shared" si="17"/>
        <v>500000000</v>
      </c>
    </row>
    <row r="370" spans="1:11">
      <c r="A370">
        <v>1</v>
      </c>
      <c r="B370" t="s">
        <v>18</v>
      </c>
      <c r="C370" s="9">
        <v>16</v>
      </c>
      <c r="D370" s="9" t="s">
        <v>16</v>
      </c>
      <c r="E370" s="9">
        <v>5</v>
      </c>
      <c r="F370" s="9">
        <v>4</v>
      </c>
      <c r="G370" s="9">
        <v>6</v>
      </c>
      <c r="H370" s="18">
        <v>9.9999999999999995E-7</v>
      </c>
      <c r="I370">
        <f t="shared" si="18"/>
        <v>5</v>
      </c>
      <c r="J370">
        <v>10</v>
      </c>
      <c r="K370" s="16">
        <f t="shared" si="17"/>
        <v>500000000</v>
      </c>
    </row>
    <row r="371" spans="1:11">
      <c r="A371">
        <v>1</v>
      </c>
      <c r="B371" t="s">
        <v>18</v>
      </c>
      <c r="C371" s="9">
        <v>16</v>
      </c>
      <c r="D371" s="9" t="s">
        <v>16</v>
      </c>
      <c r="E371" s="9">
        <v>6</v>
      </c>
      <c r="F371" s="9">
        <v>18</v>
      </c>
      <c r="G371" s="9">
        <v>12</v>
      </c>
      <c r="H371" s="18">
        <v>1.0000000000000001E-5</v>
      </c>
      <c r="I371">
        <f t="shared" si="18"/>
        <v>15</v>
      </c>
      <c r="J371">
        <v>10</v>
      </c>
      <c r="K371" s="16">
        <f t="shared" si="17"/>
        <v>150000000</v>
      </c>
    </row>
    <row r="372" spans="1:11">
      <c r="A372">
        <v>1</v>
      </c>
      <c r="B372" t="s">
        <v>18</v>
      </c>
      <c r="C372" s="9">
        <v>16</v>
      </c>
      <c r="D372" s="9" t="s">
        <v>16</v>
      </c>
      <c r="E372" s="9">
        <v>7</v>
      </c>
      <c r="F372" s="9">
        <v>9</v>
      </c>
      <c r="G372" s="9">
        <v>10</v>
      </c>
      <c r="H372" s="18">
        <v>9.9999999999999995E-7</v>
      </c>
      <c r="I372">
        <f t="shared" si="18"/>
        <v>9.5</v>
      </c>
      <c r="J372">
        <v>10</v>
      </c>
      <c r="K372" s="16">
        <f t="shared" si="17"/>
        <v>950000000</v>
      </c>
    </row>
    <row r="373" spans="1:11">
      <c r="A373">
        <v>1</v>
      </c>
      <c r="B373" t="s">
        <v>18</v>
      </c>
      <c r="C373" s="9">
        <v>16</v>
      </c>
      <c r="D373" s="9" t="s">
        <v>16</v>
      </c>
      <c r="E373" s="9">
        <v>8</v>
      </c>
      <c r="F373" s="9">
        <v>7</v>
      </c>
      <c r="G373" s="9">
        <v>11</v>
      </c>
      <c r="H373" s="18">
        <v>9.9999999999999995E-7</v>
      </c>
      <c r="I373">
        <f t="shared" si="18"/>
        <v>9</v>
      </c>
      <c r="J373">
        <v>10</v>
      </c>
      <c r="K373" s="16">
        <f t="shared" si="17"/>
        <v>900000000</v>
      </c>
    </row>
    <row r="374" spans="1:11">
      <c r="A374">
        <v>1</v>
      </c>
      <c r="B374" t="s">
        <v>18</v>
      </c>
      <c r="C374" s="9">
        <v>16</v>
      </c>
      <c r="D374" s="9" t="s">
        <v>16</v>
      </c>
      <c r="E374" s="9">
        <v>9</v>
      </c>
      <c r="F374" s="9">
        <v>4</v>
      </c>
      <c r="G374" s="9">
        <v>6</v>
      </c>
      <c r="H374" s="18">
        <v>9.9999999999999995E-7</v>
      </c>
      <c r="I374">
        <f t="shared" si="18"/>
        <v>5</v>
      </c>
      <c r="J374">
        <v>10</v>
      </c>
      <c r="K374" s="16">
        <f t="shared" si="17"/>
        <v>500000000</v>
      </c>
    </row>
    <row r="375" spans="1:11">
      <c r="A375">
        <v>1</v>
      </c>
      <c r="B375" t="s">
        <v>18</v>
      </c>
      <c r="C375" s="9">
        <v>16</v>
      </c>
      <c r="D375" s="9" t="s">
        <v>16</v>
      </c>
      <c r="E375" s="9">
        <v>10</v>
      </c>
      <c r="F375" s="9">
        <v>1</v>
      </c>
      <c r="G375" s="9">
        <v>3</v>
      </c>
      <c r="H375" s="18">
        <v>9.9999999999999995E-7</v>
      </c>
      <c r="I375">
        <f t="shared" si="18"/>
        <v>2</v>
      </c>
      <c r="J375">
        <v>10</v>
      </c>
      <c r="K375" s="16">
        <f t="shared" si="17"/>
        <v>200000000</v>
      </c>
    </row>
    <row r="376" spans="1:11">
      <c r="A376">
        <v>1</v>
      </c>
      <c r="B376" t="s">
        <v>18</v>
      </c>
      <c r="C376" s="9">
        <v>16.5</v>
      </c>
      <c r="D376" s="9" t="s">
        <v>16</v>
      </c>
      <c r="E376" s="9">
        <v>1</v>
      </c>
      <c r="F376" s="9">
        <v>3</v>
      </c>
      <c r="G376" s="9">
        <v>2</v>
      </c>
      <c r="H376" s="18">
        <v>9.9999999999999995E-7</v>
      </c>
      <c r="I376">
        <f t="shared" si="18"/>
        <v>2.5</v>
      </c>
      <c r="J376">
        <v>10</v>
      </c>
      <c r="K376" s="16">
        <f t="shared" si="17"/>
        <v>250000000</v>
      </c>
    </row>
    <row r="377" spans="1:11">
      <c r="A377">
        <v>1</v>
      </c>
      <c r="B377" t="s">
        <v>18</v>
      </c>
      <c r="C377" s="9">
        <v>16.5</v>
      </c>
      <c r="D377" s="9" t="s">
        <v>16</v>
      </c>
      <c r="E377" s="9">
        <v>2</v>
      </c>
      <c r="F377" s="9">
        <v>25</v>
      </c>
      <c r="G377" s="9">
        <v>24</v>
      </c>
      <c r="H377" s="18">
        <v>1.0000000000000001E-5</v>
      </c>
      <c r="I377">
        <f t="shared" si="18"/>
        <v>24.5</v>
      </c>
      <c r="J377">
        <v>10</v>
      </c>
      <c r="K377" s="16">
        <f t="shared" si="17"/>
        <v>244999999.99999997</v>
      </c>
    </row>
    <row r="378" spans="1:11">
      <c r="A378">
        <v>1</v>
      </c>
      <c r="B378" t="s">
        <v>18</v>
      </c>
      <c r="C378" s="9">
        <v>16.5</v>
      </c>
      <c r="D378" s="9" t="s">
        <v>16</v>
      </c>
      <c r="E378" s="9">
        <v>3</v>
      </c>
      <c r="F378" s="9">
        <v>7</v>
      </c>
      <c r="G378" s="9">
        <v>6</v>
      </c>
      <c r="H378" s="18">
        <v>9.9999999999999995E-7</v>
      </c>
      <c r="I378">
        <f t="shared" si="18"/>
        <v>6.5</v>
      </c>
      <c r="J378">
        <v>10</v>
      </c>
      <c r="K378" s="16">
        <f t="shared" si="17"/>
        <v>650000000</v>
      </c>
    </row>
    <row r="379" spans="1:11">
      <c r="A379">
        <v>1</v>
      </c>
      <c r="B379" t="s">
        <v>18</v>
      </c>
      <c r="C379" s="9">
        <v>16.5</v>
      </c>
      <c r="D379" s="9" t="s">
        <v>16</v>
      </c>
      <c r="E379" s="9">
        <v>4</v>
      </c>
      <c r="F379" s="9">
        <v>9</v>
      </c>
      <c r="G379" s="9">
        <v>8</v>
      </c>
      <c r="H379" s="18">
        <v>9.9999999999999995E-7</v>
      </c>
      <c r="I379">
        <f t="shared" si="18"/>
        <v>8.5</v>
      </c>
      <c r="J379">
        <v>10</v>
      </c>
      <c r="K379" s="16">
        <f t="shared" si="17"/>
        <v>850000000</v>
      </c>
    </row>
    <row r="380" spans="1:11">
      <c r="A380">
        <v>1</v>
      </c>
      <c r="B380" t="s">
        <v>18</v>
      </c>
      <c r="C380" s="9">
        <v>16.5</v>
      </c>
      <c r="D380" s="9" t="s">
        <v>16</v>
      </c>
      <c r="E380" s="9">
        <v>5</v>
      </c>
      <c r="F380" s="9">
        <v>23</v>
      </c>
      <c r="G380" s="9">
        <v>21</v>
      </c>
      <c r="H380" s="18">
        <v>1.0000000000000001E-5</v>
      </c>
      <c r="I380">
        <f t="shared" si="18"/>
        <v>22</v>
      </c>
      <c r="J380">
        <v>10</v>
      </c>
      <c r="K380" s="16">
        <f t="shared" si="17"/>
        <v>219999999.99999997</v>
      </c>
    </row>
    <row r="381" spans="1:11">
      <c r="A381">
        <v>1</v>
      </c>
      <c r="B381" t="s">
        <v>18</v>
      </c>
      <c r="C381" s="9">
        <v>16.5</v>
      </c>
      <c r="D381" s="9" t="s">
        <v>16</v>
      </c>
      <c r="E381" s="9">
        <v>6</v>
      </c>
      <c r="F381" s="9">
        <v>18</v>
      </c>
      <c r="G381" s="9">
        <v>23</v>
      </c>
      <c r="H381" s="18">
        <v>1.0000000000000001E-5</v>
      </c>
      <c r="I381">
        <f t="shared" si="18"/>
        <v>20.5</v>
      </c>
      <c r="J381">
        <v>10</v>
      </c>
      <c r="K381" s="16">
        <f t="shared" si="17"/>
        <v>204999999.99999997</v>
      </c>
    </row>
    <row r="382" spans="1:11">
      <c r="A382">
        <v>1</v>
      </c>
      <c r="B382" t="s">
        <v>18</v>
      </c>
      <c r="C382" s="9">
        <v>16.5</v>
      </c>
      <c r="D382" s="9" t="s">
        <v>16</v>
      </c>
      <c r="E382" s="9">
        <v>7</v>
      </c>
      <c r="F382" s="9">
        <v>12</v>
      </c>
      <c r="G382" s="9">
        <v>5</v>
      </c>
      <c r="H382" s="18">
        <v>1.0000000000000001E-5</v>
      </c>
      <c r="I382">
        <f t="shared" si="18"/>
        <v>8.5</v>
      </c>
      <c r="J382">
        <v>10</v>
      </c>
      <c r="K382" s="16">
        <f t="shared" si="17"/>
        <v>85000000</v>
      </c>
    </row>
    <row r="383" spans="1:11">
      <c r="A383">
        <v>1</v>
      </c>
      <c r="B383" t="s">
        <v>18</v>
      </c>
      <c r="C383" s="9">
        <v>16.5</v>
      </c>
      <c r="D383" s="9" t="s">
        <v>16</v>
      </c>
      <c r="E383" s="9">
        <v>8</v>
      </c>
      <c r="F383" s="9">
        <v>6</v>
      </c>
      <c r="G383" s="9">
        <v>9</v>
      </c>
      <c r="H383" s="18">
        <v>9.9999999999999995E-7</v>
      </c>
      <c r="I383">
        <f t="shared" si="18"/>
        <v>7.5</v>
      </c>
      <c r="J383">
        <v>10</v>
      </c>
      <c r="K383" s="16">
        <f t="shared" si="17"/>
        <v>750000000</v>
      </c>
    </row>
    <row r="384" spans="1:11">
      <c r="A384">
        <v>1</v>
      </c>
      <c r="B384" t="s">
        <v>18</v>
      </c>
      <c r="C384" s="9">
        <v>16.5</v>
      </c>
      <c r="D384" s="9" t="s">
        <v>16</v>
      </c>
      <c r="E384" s="9">
        <v>9</v>
      </c>
      <c r="F384" s="9">
        <v>24</v>
      </c>
      <c r="G384" s="9">
        <v>34</v>
      </c>
      <c r="H384" s="18">
        <v>1.0000000000000001E-5</v>
      </c>
      <c r="I384">
        <f t="shared" si="18"/>
        <v>29</v>
      </c>
      <c r="J384">
        <v>10</v>
      </c>
      <c r="K384" s="16">
        <f t="shared" si="17"/>
        <v>290000000</v>
      </c>
    </row>
    <row r="385" spans="1:11">
      <c r="A385">
        <v>1</v>
      </c>
      <c r="B385" t="s">
        <v>18</v>
      </c>
      <c r="C385" s="9">
        <v>16.5</v>
      </c>
      <c r="D385" s="9" t="s">
        <v>16</v>
      </c>
      <c r="E385" s="9">
        <v>10</v>
      </c>
      <c r="F385" s="9">
        <v>22</v>
      </c>
      <c r="G385" s="9">
        <v>17</v>
      </c>
      <c r="H385" s="18">
        <v>1.0000000000000001E-5</v>
      </c>
      <c r="I385">
        <f t="shared" si="18"/>
        <v>19.5</v>
      </c>
      <c r="J385">
        <v>10</v>
      </c>
      <c r="K385" s="16">
        <f t="shared" si="17"/>
        <v>194999999.99999997</v>
      </c>
    </row>
    <row r="386" spans="1:11">
      <c r="A386">
        <v>1</v>
      </c>
      <c r="B386" t="s">
        <v>15</v>
      </c>
      <c r="C386" s="19">
        <v>17</v>
      </c>
      <c r="D386" s="19" t="s">
        <v>16</v>
      </c>
      <c r="E386" s="19" t="s">
        <v>19</v>
      </c>
      <c r="F386" s="19">
        <v>6</v>
      </c>
      <c r="G386" s="19">
        <v>3</v>
      </c>
      <c r="H386" s="20">
        <v>9.9999999999999995E-7</v>
      </c>
      <c r="I386">
        <f t="shared" si="18"/>
        <v>4.5</v>
      </c>
      <c r="J386">
        <v>10</v>
      </c>
      <c r="K386" s="16">
        <f t="shared" si="17"/>
        <v>450000000</v>
      </c>
    </row>
    <row r="387" spans="1:11">
      <c r="A387">
        <v>1</v>
      </c>
      <c r="B387" t="s">
        <v>15</v>
      </c>
      <c r="C387" s="19">
        <v>17</v>
      </c>
      <c r="D387" s="19" t="s">
        <v>16</v>
      </c>
      <c r="E387" s="19" t="s">
        <v>20</v>
      </c>
      <c r="F387" s="19">
        <v>6</v>
      </c>
      <c r="G387" s="19">
        <v>3</v>
      </c>
      <c r="H387" s="20">
        <v>9.9999999999999995E-7</v>
      </c>
      <c r="I387">
        <f t="shared" ref="I387:I423" si="19">AVERAGE(F387:G387)</f>
        <v>4.5</v>
      </c>
      <c r="J387">
        <v>10</v>
      </c>
      <c r="K387" s="16">
        <f t="shared" si="17"/>
        <v>450000000</v>
      </c>
    </row>
    <row r="388" spans="1:11">
      <c r="A388">
        <v>1</v>
      </c>
      <c r="B388" t="s">
        <v>15</v>
      </c>
      <c r="C388" s="19">
        <v>17</v>
      </c>
      <c r="D388" s="19" t="s">
        <v>16</v>
      </c>
      <c r="E388" s="19" t="s">
        <v>21</v>
      </c>
      <c r="F388" s="19">
        <v>5</v>
      </c>
      <c r="G388" s="19">
        <v>10</v>
      </c>
      <c r="H388" s="20">
        <v>9.9999999999999995E-7</v>
      </c>
      <c r="I388">
        <f t="shared" si="19"/>
        <v>7.5</v>
      </c>
      <c r="J388">
        <v>10</v>
      </c>
      <c r="K388" s="16">
        <f t="shared" si="17"/>
        <v>750000000</v>
      </c>
    </row>
    <row r="389" spans="1:11">
      <c r="A389">
        <v>1</v>
      </c>
      <c r="B389" t="s">
        <v>15</v>
      </c>
      <c r="C389" s="19">
        <v>17</v>
      </c>
      <c r="D389" s="19" t="s">
        <v>16</v>
      </c>
      <c r="E389" s="19" t="s">
        <v>22</v>
      </c>
      <c r="F389" s="19">
        <v>4</v>
      </c>
      <c r="G389" s="19">
        <v>10</v>
      </c>
      <c r="H389" s="20">
        <v>9.9999999999999995E-7</v>
      </c>
      <c r="I389">
        <f t="shared" si="19"/>
        <v>7</v>
      </c>
      <c r="J389">
        <v>10</v>
      </c>
      <c r="K389" s="16">
        <f t="shared" si="17"/>
        <v>700000000</v>
      </c>
    </row>
    <row r="390" spans="1:11">
      <c r="A390">
        <v>1</v>
      </c>
      <c r="B390" t="s">
        <v>15</v>
      </c>
      <c r="C390" s="19">
        <v>17</v>
      </c>
      <c r="D390" s="19" t="s">
        <v>16</v>
      </c>
      <c r="E390" s="19">
        <v>1</v>
      </c>
      <c r="F390" s="19">
        <v>5</v>
      </c>
      <c r="G390" s="19">
        <v>6</v>
      </c>
      <c r="H390" s="20">
        <v>9.9999999999999995E-7</v>
      </c>
      <c r="I390">
        <f t="shared" si="19"/>
        <v>5.5</v>
      </c>
      <c r="J390">
        <v>10</v>
      </c>
      <c r="K390" s="16">
        <f t="shared" si="17"/>
        <v>550000000</v>
      </c>
    </row>
    <row r="391" spans="1:11">
      <c r="A391">
        <v>1</v>
      </c>
      <c r="B391" t="s">
        <v>15</v>
      </c>
      <c r="C391" s="19">
        <v>17</v>
      </c>
      <c r="D391" s="19" t="s">
        <v>16</v>
      </c>
      <c r="E391" s="19">
        <v>2</v>
      </c>
      <c r="F391" s="19">
        <v>11</v>
      </c>
      <c r="G391" s="19">
        <v>5</v>
      </c>
      <c r="H391" s="20">
        <v>9.9999999999999995E-7</v>
      </c>
      <c r="I391">
        <f t="shared" si="19"/>
        <v>8</v>
      </c>
      <c r="J391">
        <v>10</v>
      </c>
      <c r="K391" s="16">
        <f t="shared" si="17"/>
        <v>800000000</v>
      </c>
    </row>
    <row r="392" spans="1:11">
      <c r="A392">
        <v>1</v>
      </c>
      <c r="B392" t="s">
        <v>15</v>
      </c>
      <c r="C392" s="19">
        <v>17</v>
      </c>
      <c r="D392" s="19" t="s">
        <v>16</v>
      </c>
      <c r="E392" s="19">
        <v>3</v>
      </c>
      <c r="F392" s="19">
        <v>7</v>
      </c>
      <c r="G392" s="19">
        <v>8</v>
      </c>
      <c r="H392" s="20">
        <v>9.9999999999999995E-7</v>
      </c>
      <c r="I392">
        <f t="shared" si="19"/>
        <v>7.5</v>
      </c>
      <c r="J392">
        <v>10</v>
      </c>
      <c r="K392" s="16">
        <f t="shared" si="17"/>
        <v>750000000</v>
      </c>
    </row>
    <row r="393" spans="1:11">
      <c r="A393">
        <v>1</v>
      </c>
      <c r="B393" t="s">
        <v>15</v>
      </c>
      <c r="C393" s="19">
        <v>17</v>
      </c>
      <c r="D393" s="19" t="s">
        <v>16</v>
      </c>
      <c r="E393" s="19">
        <v>4</v>
      </c>
      <c r="F393" s="19">
        <v>11</v>
      </c>
      <c r="G393" s="19">
        <v>7</v>
      </c>
      <c r="H393" s="20">
        <v>9.9999999999999995E-7</v>
      </c>
      <c r="I393">
        <f t="shared" si="19"/>
        <v>9</v>
      </c>
      <c r="J393">
        <v>10</v>
      </c>
      <c r="K393" s="16">
        <f t="shared" si="17"/>
        <v>900000000</v>
      </c>
    </row>
    <row r="394" spans="1:11">
      <c r="A394">
        <v>1</v>
      </c>
      <c r="B394" t="s">
        <v>15</v>
      </c>
      <c r="C394" s="19">
        <v>17</v>
      </c>
      <c r="D394" s="19" t="s">
        <v>16</v>
      </c>
      <c r="E394" s="19">
        <v>5</v>
      </c>
      <c r="F394" s="19">
        <v>8</v>
      </c>
      <c r="G394" s="19">
        <v>11</v>
      </c>
      <c r="H394" s="20">
        <v>9.9999999999999995E-7</v>
      </c>
      <c r="I394">
        <f t="shared" si="19"/>
        <v>9.5</v>
      </c>
      <c r="J394">
        <v>10</v>
      </c>
      <c r="K394" s="16">
        <f t="shared" si="17"/>
        <v>950000000</v>
      </c>
    </row>
    <row r="395" spans="1:11">
      <c r="A395">
        <v>1</v>
      </c>
      <c r="B395" t="s">
        <v>15</v>
      </c>
      <c r="C395" s="19">
        <v>17</v>
      </c>
      <c r="D395" s="19" t="s">
        <v>16</v>
      </c>
      <c r="E395" s="19">
        <v>6</v>
      </c>
      <c r="F395" s="19">
        <v>6</v>
      </c>
      <c r="G395" s="19">
        <v>2</v>
      </c>
      <c r="H395" s="20">
        <v>9.9999999999999995E-7</v>
      </c>
      <c r="I395">
        <f t="shared" si="19"/>
        <v>4</v>
      </c>
      <c r="J395">
        <v>10</v>
      </c>
      <c r="K395" s="16">
        <f t="shared" si="17"/>
        <v>400000000</v>
      </c>
    </row>
    <row r="396" spans="1:11">
      <c r="A396">
        <v>1</v>
      </c>
      <c r="B396" t="s">
        <v>15</v>
      </c>
      <c r="C396" s="19">
        <v>17</v>
      </c>
      <c r="D396" s="19" t="s">
        <v>16</v>
      </c>
      <c r="E396" s="19">
        <v>7</v>
      </c>
      <c r="F396" s="19">
        <v>11</v>
      </c>
      <c r="G396" s="19">
        <v>7</v>
      </c>
      <c r="H396" s="20">
        <v>9.9999999999999995E-7</v>
      </c>
      <c r="I396">
        <f t="shared" si="19"/>
        <v>9</v>
      </c>
      <c r="J396">
        <v>10</v>
      </c>
      <c r="K396" s="16">
        <f t="shared" si="17"/>
        <v>900000000</v>
      </c>
    </row>
    <row r="397" spans="1:11">
      <c r="A397">
        <v>1</v>
      </c>
      <c r="B397" t="s">
        <v>15</v>
      </c>
      <c r="C397" s="19">
        <v>17</v>
      </c>
      <c r="D397" s="19" t="s">
        <v>16</v>
      </c>
      <c r="E397" s="19">
        <v>8</v>
      </c>
      <c r="F397" s="19">
        <v>4</v>
      </c>
      <c r="G397" s="19">
        <v>6</v>
      </c>
      <c r="H397" s="20">
        <v>9.9999999999999995E-7</v>
      </c>
      <c r="I397">
        <f t="shared" si="19"/>
        <v>5</v>
      </c>
      <c r="J397">
        <v>10</v>
      </c>
      <c r="K397" s="16">
        <f t="shared" si="17"/>
        <v>500000000</v>
      </c>
    </row>
    <row r="398" spans="1:11">
      <c r="A398">
        <v>1</v>
      </c>
      <c r="B398" t="s">
        <v>15</v>
      </c>
      <c r="C398" s="19">
        <v>17</v>
      </c>
      <c r="D398" s="19" t="s">
        <v>16</v>
      </c>
      <c r="E398" s="19">
        <v>9</v>
      </c>
      <c r="F398" s="19">
        <v>11</v>
      </c>
      <c r="G398" s="19">
        <v>7</v>
      </c>
      <c r="H398" s="20">
        <v>9.9999999999999995E-7</v>
      </c>
      <c r="I398">
        <f t="shared" si="19"/>
        <v>9</v>
      </c>
      <c r="J398">
        <v>10</v>
      </c>
      <c r="K398" s="16">
        <f t="shared" si="17"/>
        <v>900000000</v>
      </c>
    </row>
    <row r="399" spans="1:11">
      <c r="A399">
        <v>1</v>
      </c>
      <c r="B399" t="s">
        <v>15</v>
      </c>
      <c r="C399" s="19">
        <v>17</v>
      </c>
      <c r="D399" s="19" t="s">
        <v>16</v>
      </c>
      <c r="E399" s="19">
        <v>10</v>
      </c>
      <c r="F399" s="19">
        <v>6</v>
      </c>
      <c r="G399" s="19">
        <v>2</v>
      </c>
      <c r="H399" s="20">
        <v>9.9999999999999995E-7</v>
      </c>
      <c r="I399">
        <f t="shared" si="19"/>
        <v>4</v>
      </c>
      <c r="J399">
        <v>10</v>
      </c>
      <c r="K399" s="16">
        <f t="shared" si="17"/>
        <v>400000000</v>
      </c>
    </row>
    <row r="400" spans="1:11">
      <c r="A400">
        <v>1</v>
      </c>
      <c r="B400" t="s">
        <v>15</v>
      </c>
      <c r="C400" s="19">
        <v>17.5</v>
      </c>
      <c r="D400" s="19" t="s">
        <v>16</v>
      </c>
      <c r="E400" s="19">
        <v>1</v>
      </c>
      <c r="F400" s="21">
        <v>7</v>
      </c>
      <c r="G400" s="21">
        <v>7</v>
      </c>
      <c r="H400" s="22">
        <v>0.01</v>
      </c>
      <c r="I400">
        <f t="shared" si="19"/>
        <v>7</v>
      </c>
      <c r="J400">
        <v>10</v>
      </c>
      <c r="K400" s="16">
        <f t="shared" si="17"/>
        <v>70000</v>
      </c>
    </row>
    <row r="401" spans="1:11">
      <c r="A401">
        <v>1</v>
      </c>
      <c r="B401" t="s">
        <v>15</v>
      </c>
      <c r="C401" s="19">
        <v>17.5</v>
      </c>
      <c r="D401" s="19" t="s">
        <v>16</v>
      </c>
      <c r="E401" s="19">
        <v>2</v>
      </c>
      <c r="F401" s="19">
        <v>3</v>
      </c>
      <c r="G401" s="19">
        <v>2</v>
      </c>
      <c r="H401" s="20">
        <v>1E-4</v>
      </c>
      <c r="I401">
        <f t="shared" si="19"/>
        <v>2.5</v>
      </c>
      <c r="J401">
        <v>10</v>
      </c>
      <c r="K401" s="16">
        <f t="shared" si="17"/>
        <v>2499999.9999999995</v>
      </c>
    </row>
    <row r="402" spans="1:11">
      <c r="A402">
        <v>1</v>
      </c>
      <c r="B402" t="s">
        <v>15</v>
      </c>
      <c r="C402" s="19">
        <v>17.5</v>
      </c>
      <c r="D402" s="19" t="s">
        <v>16</v>
      </c>
      <c r="E402" s="19">
        <v>3</v>
      </c>
      <c r="F402" s="19">
        <v>2</v>
      </c>
      <c r="G402" s="19">
        <v>2</v>
      </c>
      <c r="H402" s="20">
        <v>1E-4</v>
      </c>
      <c r="I402">
        <f t="shared" si="19"/>
        <v>2</v>
      </c>
      <c r="J402">
        <v>10</v>
      </c>
      <c r="K402" s="16">
        <f t="shared" si="17"/>
        <v>1999999.9999999998</v>
      </c>
    </row>
    <row r="403" spans="1:11">
      <c r="A403">
        <v>1</v>
      </c>
      <c r="B403" t="s">
        <v>15</v>
      </c>
      <c r="C403" s="19">
        <v>17.5</v>
      </c>
      <c r="D403" s="19" t="s">
        <v>16</v>
      </c>
      <c r="E403" s="19">
        <v>4</v>
      </c>
      <c r="F403" s="19">
        <v>4</v>
      </c>
      <c r="G403" s="19">
        <v>2</v>
      </c>
      <c r="H403" s="20">
        <v>0.01</v>
      </c>
      <c r="I403">
        <f t="shared" si="19"/>
        <v>3</v>
      </c>
      <c r="J403">
        <v>10</v>
      </c>
      <c r="K403" s="16">
        <f t="shared" ref="K403:K466" si="20">I403/(H403*(J403/1000))</f>
        <v>30000</v>
      </c>
    </row>
    <row r="404" spans="1:11">
      <c r="A404">
        <v>1</v>
      </c>
      <c r="B404" t="s">
        <v>15</v>
      </c>
      <c r="C404" s="19">
        <v>17.5</v>
      </c>
      <c r="D404" s="19" t="s">
        <v>16</v>
      </c>
      <c r="E404" s="19">
        <v>5</v>
      </c>
      <c r="F404" s="19">
        <v>3</v>
      </c>
      <c r="G404" s="19">
        <v>6</v>
      </c>
      <c r="H404" s="20">
        <v>1E-3</v>
      </c>
      <c r="I404">
        <f t="shared" si="19"/>
        <v>4.5</v>
      </c>
      <c r="J404">
        <v>10</v>
      </c>
      <c r="K404" s="16">
        <f t="shared" si="20"/>
        <v>449999.99999999994</v>
      </c>
    </row>
    <row r="405" spans="1:11">
      <c r="A405">
        <v>1</v>
      </c>
      <c r="B405" t="s">
        <v>15</v>
      </c>
      <c r="C405" s="19">
        <v>17.5</v>
      </c>
      <c r="D405" s="19" t="s">
        <v>16</v>
      </c>
      <c r="E405" s="19">
        <v>6</v>
      </c>
      <c r="F405" s="19">
        <v>6</v>
      </c>
      <c r="G405" s="19">
        <v>9</v>
      </c>
      <c r="H405" s="20">
        <v>0.01</v>
      </c>
      <c r="I405">
        <f t="shared" si="19"/>
        <v>7.5</v>
      </c>
      <c r="J405">
        <v>10</v>
      </c>
      <c r="K405" s="16">
        <f t="shared" si="20"/>
        <v>75000</v>
      </c>
    </row>
    <row r="406" spans="1:11">
      <c r="A406">
        <v>1</v>
      </c>
      <c r="B406" t="s">
        <v>15</v>
      </c>
      <c r="C406" s="19">
        <v>17.5</v>
      </c>
      <c r="D406" s="19" t="s">
        <v>16</v>
      </c>
      <c r="E406" s="19">
        <v>7</v>
      </c>
      <c r="F406" s="19">
        <v>4</v>
      </c>
      <c r="G406" s="19">
        <v>1</v>
      </c>
      <c r="H406" s="20">
        <v>1.0000000000000001E-5</v>
      </c>
      <c r="I406">
        <f t="shared" si="19"/>
        <v>2.5</v>
      </c>
      <c r="J406">
        <v>10</v>
      </c>
      <c r="K406" s="16">
        <f t="shared" si="20"/>
        <v>24999999.999999996</v>
      </c>
    </row>
    <row r="407" spans="1:11">
      <c r="A407">
        <v>1</v>
      </c>
      <c r="B407" t="s">
        <v>15</v>
      </c>
      <c r="C407" s="19">
        <v>17.5</v>
      </c>
      <c r="D407" s="19" t="s">
        <v>16</v>
      </c>
      <c r="E407" s="19">
        <v>8</v>
      </c>
      <c r="F407" s="19">
        <v>19</v>
      </c>
      <c r="G407" s="19">
        <v>24</v>
      </c>
      <c r="H407" s="20">
        <v>0.01</v>
      </c>
      <c r="I407">
        <f t="shared" si="19"/>
        <v>21.5</v>
      </c>
      <c r="J407">
        <v>10</v>
      </c>
      <c r="K407" s="16">
        <f t="shared" si="20"/>
        <v>215000</v>
      </c>
    </row>
    <row r="408" spans="1:11">
      <c r="A408">
        <v>1</v>
      </c>
      <c r="B408" t="s">
        <v>15</v>
      </c>
      <c r="C408" s="19">
        <v>17.5</v>
      </c>
      <c r="D408" s="19" t="s">
        <v>16</v>
      </c>
      <c r="E408" s="19">
        <v>9</v>
      </c>
      <c r="F408" s="19">
        <v>2</v>
      </c>
      <c r="G408" s="19">
        <v>1</v>
      </c>
      <c r="H408" s="20">
        <v>1E-3</v>
      </c>
      <c r="I408">
        <f t="shared" si="19"/>
        <v>1.5</v>
      </c>
      <c r="J408">
        <v>10</v>
      </c>
      <c r="K408" s="16">
        <f t="shared" si="20"/>
        <v>150000</v>
      </c>
    </row>
    <row r="409" spans="1:11">
      <c r="A409">
        <v>1</v>
      </c>
      <c r="B409" t="s">
        <v>15</v>
      </c>
      <c r="C409" s="19">
        <v>17.5</v>
      </c>
      <c r="D409" s="19" t="s">
        <v>16</v>
      </c>
      <c r="E409" s="19">
        <v>10</v>
      </c>
      <c r="F409" s="19">
        <v>16</v>
      </c>
      <c r="G409" s="23">
        <v>30</v>
      </c>
      <c r="H409" s="20">
        <v>0.01</v>
      </c>
      <c r="I409">
        <f t="shared" si="19"/>
        <v>23</v>
      </c>
      <c r="J409">
        <v>10</v>
      </c>
      <c r="K409" s="16">
        <f t="shared" si="20"/>
        <v>230000</v>
      </c>
    </row>
    <row r="410" spans="1:11">
      <c r="A410">
        <v>1</v>
      </c>
      <c r="B410" t="s">
        <v>15</v>
      </c>
      <c r="C410" s="19">
        <v>18</v>
      </c>
      <c r="D410" s="19" t="s">
        <v>16</v>
      </c>
      <c r="E410" s="19" t="s">
        <v>19</v>
      </c>
      <c r="F410" s="19">
        <v>11</v>
      </c>
      <c r="G410" s="19">
        <v>8</v>
      </c>
      <c r="H410" s="20">
        <v>9.9999999999999995E-7</v>
      </c>
      <c r="I410">
        <f t="shared" si="19"/>
        <v>9.5</v>
      </c>
      <c r="J410">
        <v>10</v>
      </c>
      <c r="K410" s="16">
        <f t="shared" si="20"/>
        <v>950000000</v>
      </c>
    </row>
    <row r="411" spans="1:11">
      <c r="A411">
        <v>1</v>
      </c>
      <c r="B411" t="s">
        <v>15</v>
      </c>
      <c r="C411" s="19">
        <v>18</v>
      </c>
      <c r="D411" s="19" t="s">
        <v>16</v>
      </c>
      <c r="E411" s="19" t="s">
        <v>20</v>
      </c>
      <c r="F411" s="19">
        <v>11</v>
      </c>
      <c r="G411" s="19">
        <v>10</v>
      </c>
      <c r="H411" s="20">
        <v>9.9999999999999995E-7</v>
      </c>
      <c r="I411">
        <f t="shared" si="19"/>
        <v>10.5</v>
      </c>
      <c r="J411">
        <v>10</v>
      </c>
      <c r="K411" s="16">
        <f t="shared" si="20"/>
        <v>1050000000</v>
      </c>
    </row>
    <row r="412" spans="1:11">
      <c r="A412">
        <v>1</v>
      </c>
      <c r="B412" t="s">
        <v>15</v>
      </c>
      <c r="C412" s="19">
        <v>18</v>
      </c>
      <c r="D412" s="19" t="s">
        <v>16</v>
      </c>
      <c r="E412" s="19" t="s">
        <v>21</v>
      </c>
      <c r="F412" s="19">
        <v>16</v>
      </c>
      <c r="G412" s="19">
        <v>12</v>
      </c>
      <c r="H412" s="20">
        <v>9.9999999999999995E-7</v>
      </c>
      <c r="I412">
        <f t="shared" si="19"/>
        <v>14</v>
      </c>
      <c r="J412">
        <v>10</v>
      </c>
      <c r="K412" s="16">
        <f t="shared" si="20"/>
        <v>1400000000</v>
      </c>
    </row>
    <row r="413" spans="1:11">
      <c r="A413">
        <v>1</v>
      </c>
      <c r="B413" t="s">
        <v>15</v>
      </c>
      <c r="C413" s="19">
        <v>18</v>
      </c>
      <c r="D413" s="19" t="s">
        <v>16</v>
      </c>
      <c r="E413" s="19" t="s">
        <v>22</v>
      </c>
      <c r="F413" s="19">
        <v>11</v>
      </c>
      <c r="G413" s="19">
        <v>16</v>
      </c>
      <c r="H413" s="20">
        <v>9.9999999999999995E-7</v>
      </c>
      <c r="I413">
        <f t="shared" si="19"/>
        <v>13.5</v>
      </c>
      <c r="J413">
        <v>10</v>
      </c>
      <c r="K413" s="16">
        <f t="shared" si="20"/>
        <v>1350000000</v>
      </c>
    </row>
    <row r="414" spans="1:11">
      <c r="A414">
        <v>1</v>
      </c>
      <c r="B414" t="s">
        <v>15</v>
      </c>
      <c r="C414" s="19">
        <v>18</v>
      </c>
      <c r="D414" s="19" t="s">
        <v>16</v>
      </c>
      <c r="E414" s="19">
        <v>1</v>
      </c>
      <c r="F414" s="19">
        <v>6</v>
      </c>
      <c r="G414" s="19">
        <v>11</v>
      </c>
      <c r="H414" s="20">
        <v>9.9999999999999995E-7</v>
      </c>
      <c r="I414">
        <f t="shared" si="19"/>
        <v>8.5</v>
      </c>
      <c r="J414">
        <v>10</v>
      </c>
      <c r="K414" s="16">
        <f t="shared" si="20"/>
        <v>850000000</v>
      </c>
    </row>
    <row r="415" spans="1:11">
      <c r="A415">
        <v>1</v>
      </c>
      <c r="B415" t="s">
        <v>15</v>
      </c>
      <c r="C415" s="19">
        <v>18</v>
      </c>
      <c r="D415" s="19" t="s">
        <v>16</v>
      </c>
      <c r="E415" s="19">
        <v>2</v>
      </c>
      <c r="F415" s="19">
        <v>8</v>
      </c>
      <c r="G415" s="19">
        <v>13</v>
      </c>
      <c r="H415" s="20">
        <v>9.9999999999999995E-7</v>
      </c>
      <c r="I415">
        <f t="shared" si="19"/>
        <v>10.5</v>
      </c>
      <c r="J415">
        <v>10</v>
      </c>
      <c r="K415" s="16">
        <f t="shared" si="20"/>
        <v>1050000000</v>
      </c>
    </row>
    <row r="416" spans="1:11">
      <c r="A416">
        <v>1</v>
      </c>
      <c r="B416" t="s">
        <v>15</v>
      </c>
      <c r="C416" s="19">
        <v>18</v>
      </c>
      <c r="D416" s="19" t="s">
        <v>16</v>
      </c>
      <c r="E416" s="19">
        <v>3</v>
      </c>
      <c r="F416" s="19">
        <v>17</v>
      </c>
      <c r="G416" s="19">
        <v>12</v>
      </c>
      <c r="H416" s="20">
        <v>9.9999999999999995E-7</v>
      </c>
      <c r="I416">
        <f t="shared" si="19"/>
        <v>14.5</v>
      </c>
      <c r="J416">
        <v>10</v>
      </c>
      <c r="K416" s="16">
        <f t="shared" si="20"/>
        <v>1450000000</v>
      </c>
    </row>
    <row r="417" spans="1:11">
      <c r="A417">
        <v>1</v>
      </c>
      <c r="B417" t="s">
        <v>15</v>
      </c>
      <c r="C417" s="19">
        <v>18</v>
      </c>
      <c r="D417" s="19" t="s">
        <v>16</v>
      </c>
      <c r="E417" s="19">
        <v>4</v>
      </c>
      <c r="F417" s="19">
        <v>14</v>
      </c>
      <c r="G417" s="19">
        <v>11</v>
      </c>
      <c r="H417" s="20">
        <v>9.9999999999999995E-7</v>
      </c>
      <c r="I417">
        <f t="shared" si="19"/>
        <v>12.5</v>
      </c>
      <c r="J417">
        <v>10</v>
      </c>
      <c r="K417" s="16">
        <f t="shared" si="20"/>
        <v>1250000000</v>
      </c>
    </row>
    <row r="418" spans="1:11">
      <c r="A418">
        <v>1</v>
      </c>
      <c r="B418" t="s">
        <v>15</v>
      </c>
      <c r="C418" s="19">
        <v>18</v>
      </c>
      <c r="D418" s="19" t="s">
        <v>16</v>
      </c>
      <c r="E418" s="19">
        <v>5</v>
      </c>
      <c r="F418" s="19">
        <v>10</v>
      </c>
      <c r="G418" s="19">
        <v>9</v>
      </c>
      <c r="H418" s="20">
        <v>9.9999999999999995E-7</v>
      </c>
      <c r="I418">
        <f t="shared" si="19"/>
        <v>9.5</v>
      </c>
      <c r="J418">
        <v>10</v>
      </c>
      <c r="K418" s="16">
        <f t="shared" si="20"/>
        <v>950000000</v>
      </c>
    </row>
    <row r="419" spans="1:11">
      <c r="A419">
        <v>1</v>
      </c>
      <c r="B419" t="s">
        <v>15</v>
      </c>
      <c r="C419" s="19">
        <v>18</v>
      </c>
      <c r="D419" s="19" t="s">
        <v>16</v>
      </c>
      <c r="E419" s="19">
        <v>6</v>
      </c>
      <c r="F419" s="19">
        <v>6</v>
      </c>
      <c r="G419" s="19">
        <v>7</v>
      </c>
      <c r="H419" s="20">
        <v>9.9999999999999995E-7</v>
      </c>
      <c r="I419">
        <f t="shared" si="19"/>
        <v>6.5</v>
      </c>
      <c r="J419">
        <v>10</v>
      </c>
      <c r="K419" s="16">
        <f t="shared" si="20"/>
        <v>650000000</v>
      </c>
    </row>
    <row r="420" spans="1:11">
      <c r="A420">
        <v>1</v>
      </c>
      <c r="B420" t="s">
        <v>15</v>
      </c>
      <c r="C420" s="19">
        <v>18</v>
      </c>
      <c r="D420" s="19" t="s">
        <v>16</v>
      </c>
      <c r="E420" s="19">
        <v>7</v>
      </c>
      <c r="F420" s="19">
        <v>10</v>
      </c>
      <c r="G420" s="19">
        <v>10</v>
      </c>
      <c r="H420" s="20">
        <v>9.9999999999999995E-7</v>
      </c>
      <c r="I420">
        <f t="shared" si="19"/>
        <v>10</v>
      </c>
      <c r="J420">
        <v>10</v>
      </c>
      <c r="K420" s="16">
        <f t="shared" si="20"/>
        <v>1000000000</v>
      </c>
    </row>
    <row r="421" spans="1:11">
      <c r="A421">
        <v>1</v>
      </c>
      <c r="B421" t="s">
        <v>15</v>
      </c>
      <c r="C421" s="19">
        <v>18</v>
      </c>
      <c r="D421" s="19" t="s">
        <v>16</v>
      </c>
      <c r="E421" s="19">
        <v>8</v>
      </c>
      <c r="F421" s="19">
        <v>10</v>
      </c>
      <c r="G421" s="19">
        <v>11</v>
      </c>
      <c r="H421" s="20">
        <v>9.9999999999999995E-7</v>
      </c>
      <c r="I421">
        <f t="shared" si="19"/>
        <v>10.5</v>
      </c>
      <c r="J421">
        <v>10</v>
      </c>
      <c r="K421" s="16">
        <f t="shared" si="20"/>
        <v>1050000000</v>
      </c>
    </row>
    <row r="422" spans="1:11">
      <c r="A422">
        <v>1</v>
      </c>
      <c r="B422" t="s">
        <v>15</v>
      </c>
      <c r="C422" s="19">
        <v>18</v>
      </c>
      <c r="D422" s="19" t="s">
        <v>16</v>
      </c>
      <c r="E422" s="19">
        <v>9</v>
      </c>
      <c r="F422" s="19">
        <v>10</v>
      </c>
      <c r="G422" s="19">
        <v>12</v>
      </c>
      <c r="H422" s="20">
        <v>9.9999999999999995E-7</v>
      </c>
      <c r="I422">
        <f t="shared" si="19"/>
        <v>11</v>
      </c>
      <c r="J422">
        <v>10</v>
      </c>
      <c r="K422" s="16">
        <f t="shared" si="20"/>
        <v>1100000000</v>
      </c>
    </row>
    <row r="423" spans="1:11">
      <c r="A423">
        <v>1</v>
      </c>
      <c r="B423" t="s">
        <v>15</v>
      </c>
      <c r="C423" s="19">
        <v>18</v>
      </c>
      <c r="D423" s="19" t="s">
        <v>16</v>
      </c>
      <c r="E423" s="19">
        <v>10</v>
      </c>
      <c r="F423" s="19">
        <v>19</v>
      </c>
      <c r="G423" s="19">
        <v>13</v>
      </c>
      <c r="H423" s="20">
        <v>9.9999999999999995E-7</v>
      </c>
      <c r="I423">
        <f t="shared" si="19"/>
        <v>16</v>
      </c>
      <c r="J423">
        <v>10</v>
      </c>
      <c r="K423" s="16">
        <f t="shared" si="20"/>
        <v>1600000000</v>
      </c>
    </row>
    <row r="424" spans="1:11">
      <c r="A424">
        <v>1</v>
      </c>
      <c r="B424" t="s">
        <v>15</v>
      </c>
      <c r="C424" s="19">
        <v>18.5</v>
      </c>
      <c r="D424" s="19" t="s">
        <v>16</v>
      </c>
      <c r="E424" s="19">
        <v>1</v>
      </c>
      <c r="F424" s="21">
        <v>6</v>
      </c>
      <c r="G424" s="21">
        <v>4</v>
      </c>
      <c r="H424" s="20">
        <v>1E-3</v>
      </c>
      <c r="I424">
        <f t="shared" ref="I424:I452" si="21">AVERAGE(F424:G424)</f>
        <v>5</v>
      </c>
      <c r="J424">
        <v>10</v>
      </c>
      <c r="K424" s="16">
        <f t="shared" si="20"/>
        <v>499999.99999999994</v>
      </c>
    </row>
    <row r="425" spans="1:11">
      <c r="A425">
        <v>1</v>
      </c>
      <c r="B425" t="s">
        <v>15</v>
      </c>
      <c r="C425" s="19">
        <v>18.5</v>
      </c>
      <c r="D425" s="19" t="s">
        <v>16</v>
      </c>
      <c r="E425" s="19">
        <v>2</v>
      </c>
      <c r="F425" s="19">
        <v>5</v>
      </c>
      <c r="G425" s="19">
        <v>4</v>
      </c>
      <c r="H425" s="20">
        <v>1E-4</v>
      </c>
      <c r="I425">
        <f t="shared" si="21"/>
        <v>4.5</v>
      </c>
      <c r="J425">
        <v>10</v>
      </c>
      <c r="K425" s="16">
        <f t="shared" si="20"/>
        <v>4499999.9999999991</v>
      </c>
    </row>
    <row r="426" spans="1:11">
      <c r="A426">
        <v>1</v>
      </c>
      <c r="B426" t="s">
        <v>15</v>
      </c>
      <c r="C426" s="19">
        <v>18.5</v>
      </c>
      <c r="D426" s="19" t="s">
        <v>16</v>
      </c>
      <c r="E426" s="19">
        <v>3</v>
      </c>
      <c r="F426" s="19">
        <v>4</v>
      </c>
      <c r="G426" s="19">
        <v>3</v>
      </c>
      <c r="H426" s="20">
        <v>1E-3</v>
      </c>
      <c r="I426">
        <f t="shared" si="21"/>
        <v>3.5</v>
      </c>
      <c r="J426">
        <v>10</v>
      </c>
      <c r="K426" s="16">
        <f t="shared" si="20"/>
        <v>350000</v>
      </c>
    </row>
    <row r="427" spans="1:11">
      <c r="A427">
        <v>1</v>
      </c>
      <c r="B427" t="s">
        <v>15</v>
      </c>
      <c r="C427" s="19">
        <v>18.5</v>
      </c>
      <c r="D427" s="19" t="s">
        <v>16</v>
      </c>
      <c r="E427" s="19">
        <v>4</v>
      </c>
      <c r="F427" s="19">
        <v>18</v>
      </c>
      <c r="G427" s="19">
        <v>15</v>
      </c>
      <c r="H427" s="20">
        <v>1E-4</v>
      </c>
      <c r="I427">
        <f t="shared" si="21"/>
        <v>16.5</v>
      </c>
      <c r="J427">
        <v>10</v>
      </c>
      <c r="K427" s="16">
        <f t="shared" si="20"/>
        <v>16499999.999999998</v>
      </c>
    </row>
    <row r="428" spans="1:11">
      <c r="A428">
        <v>1</v>
      </c>
      <c r="B428" t="s">
        <v>15</v>
      </c>
      <c r="C428" s="19">
        <v>18.5</v>
      </c>
      <c r="D428" s="19" t="s">
        <v>16</v>
      </c>
      <c r="E428" s="19">
        <v>5</v>
      </c>
      <c r="F428" s="19">
        <v>21</v>
      </c>
      <c r="G428" s="19">
        <v>20</v>
      </c>
      <c r="H428" s="20">
        <v>1E-4</v>
      </c>
      <c r="I428">
        <f t="shared" si="21"/>
        <v>20.5</v>
      </c>
      <c r="J428">
        <v>10</v>
      </c>
      <c r="K428" s="16">
        <f t="shared" si="20"/>
        <v>20499999.999999996</v>
      </c>
    </row>
    <row r="429" spans="1:11">
      <c r="A429">
        <v>1</v>
      </c>
      <c r="B429" t="s">
        <v>15</v>
      </c>
      <c r="C429" s="19">
        <v>18.5</v>
      </c>
      <c r="D429" s="19" t="s">
        <v>16</v>
      </c>
      <c r="E429" s="19">
        <v>6</v>
      </c>
      <c r="F429" s="19">
        <v>11</v>
      </c>
      <c r="G429" s="19">
        <v>3</v>
      </c>
      <c r="H429" s="20">
        <v>1.0000000000000001E-5</v>
      </c>
      <c r="I429">
        <f t="shared" si="21"/>
        <v>7</v>
      </c>
      <c r="J429">
        <v>10</v>
      </c>
      <c r="K429" s="16">
        <f t="shared" si="20"/>
        <v>70000000</v>
      </c>
    </row>
    <row r="430" spans="1:11">
      <c r="A430">
        <v>1</v>
      </c>
      <c r="B430" t="s">
        <v>15</v>
      </c>
      <c r="C430" s="19">
        <v>18.5</v>
      </c>
      <c r="D430" s="19" t="s">
        <v>16</v>
      </c>
      <c r="E430" s="19">
        <v>7</v>
      </c>
      <c r="F430" s="19">
        <v>4</v>
      </c>
      <c r="G430" s="19">
        <v>5</v>
      </c>
      <c r="H430" s="20">
        <v>1.0000000000000001E-5</v>
      </c>
      <c r="I430">
        <f t="shared" si="21"/>
        <v>4.5</v>
      </c>
      <c r="J430">
        <v>10</v>
      </c>
      <c r="K430" s="16">
        <f t="shared" si="20"/>
        <v>44999999.999999993</v>
      </c>
    </row>
    <row r="431" spans="1:11">
      <c r="A431">
        <v>1</v>
      </c>
      <c r="B431" t="s">
        <v>15</v>
      </c>
      <c r="C431" s="19">
        <v>18.5</v>
      </c>
      <c r="D431" s="19" t="s">
        <v>16</v>
      </c>
      <c r="E431" s="19">
        <v>8</v>
      </c>
      <c r="F431" s="19">
        <v>3</v>
      </c>
      <c r="G431" s="19">
        <v>9</v>
      </c>
      <c r="H431" s="20">
        <v>1.0000000000000001E-5</v>
      </c>
      <c r="I431">
        <f t="shared" si="21"/>
        <v>6</v>
      </c>
      <c r="J431">
        <v>10</v>
      </c>
      <c r="K431" s="16">
        <f t="shared" si="20"/>
        <v>59999999.999999993</v>
      </c>
    </row>
    <row r="432" spans="1:11">
      <c r="A432">
        <v>1</v>
      </c>
      <c r="B432" t="s">
        <v>15</v>
      </c>
      <c r="C432" s="19">
        <v>18.5</v>
      </c>
      <c r="D432" s="19" t="s">
        <v>16</v>
      </c>
      <c r="E432" s="19">
        <v>9</v>
      </c>
      <c r="F432" s="23">
        <v>40</v>
      </c>
      <c r="G432" s="19">
        <v>31</v>
      </c>
      <c r="H432" s="20">
        <v>1E-3</v>
      </c>
      <c r="I432">
        <f t="shared" si="21"/>
        <v>35.5</v>
      </c>
      <c r="J432">
        <v>10</v>
      </c>
      <c r="K432" s="16">
        <f t="shared" si="20"/>
        <v>3549999.9999999995</v>
      </c>
    </row>
    <row r="433" spans="1:11">
      <c r="A433">
        <v>1</v>
      </c>
      <c r="B433" t="s">
        <v>15</v>
      </c>
      <c r="C433" s="19">
        <v>18.5</v>
      </c>
      <c r="D433" s="19" t="s">
        <v>16</v>
      </c>
      <c r="E433" s="19">
        <v>10</v>
      </c>
      <c r="F433" s="19">
        <v>9</v>
      </c>
      <c r="G433" s="19">
        <v>4</v>
      </c>
      <c r="H433" s="20">
        <v>1.0000000000000001E-5</v>
      </c>
      <c r="I433">
        <f t="shared" si="21"/>
        <v>6.5</v>
      </c>
      <c r="J433">
        <v>10</v>
      </c>
      <c r="K433" s="16">
        <f t="shared" si="20"/>
        <v>64999999.999999993</v>
      </c>
    </row>
    <row r="434" spans="1:11">
      <c r="A434">
        <v>1</v>
      </c>
      <c r="B434" t="s">
        <v>15</v>
      </c>
      <c r="C434" s="19">
        <v>19</v>
      </c>
      <c r="D434" s="19" t="s">
        <v>16</v>
      </c>
      <c r="E434" s="19" t="s">
        <v>19</v>
      </c>
      <c r="F434" s="19">
        <v>13</v>
      </c>
      <c r="G434" s="19">
        <v>16</v>
      </c>
      <c r="H434" s="20">
        <v>9.9999999999999995E-7</v>
      </c>
      <c r="I434">
        <f t="shared" si="21"/>
        <v>14.5</v>
      </c>
      <c r="J434">
        <v>10</v>
      </c>
      <c r="K434" s="16">
        <f t="shared" si="20"/>
        <v>1450000000</v>
      </c>
    </row>
    <row r="435" spans="1:11">
      <c r="A435">
        <v>1</v>
      </c>
      <c r="B435" t="s">
        <v>15</v>
      </c>
      <c r="C435" s="19">
        <v>19</v>
      </c>
      <c r="D435" s="19" t="s">
        <v>16</v>
      </c>
      <c r="E435" s="19" t="s">
        <v>20</v>
      </c>
      <c r="F435" s="19">
        <v>9</v>
      </c>
      <c r="G435" s="19">
        <v>12</v>
      </c>
      <c r="H435" s="20">
        <v>9.9999999999999995E-7</v>
      </c>
      <c r="I435">
        <f t="shared" si="21"/>
        <v>10.5</v>
      </c>
      <c r="J435">
        <v>10</v>
      </c>
      <c r="K435" s="16">
        <f t="shared" si="20"/>
        <v>1050000000</v>
      </c>
    </row>
    <row r="436" spans="1:11">
      <c r="A436">
        <v>1</v>
      </c>
      <c r="B436" t="s">
        <v>15</v>
      </c>
      <c r="C436" s="19">
        <v>19</v>
      </c>
      <c r="D436" s="19" t="s">
        <v>16</v>
      </c>
      <c r="E436" s="19" t="s">
        <v>21</v>
      </c>
      <c r="F436" s="19">
        <v>9</v>
      </c>
      <c r="G436" s="19">
        <v>8</v>
      </c>
      <c r="H436" s="20">
        <v>9.9999999999999995E-7</v>
      </c>
      <c r="I436">
        <f t="shared" si="21"/>
        <v>8.5</v>
      </c>
      <c r="J436">
        <v>10</v>
      </c>
      <c r="K436" s="16">
        <f t="shared" si="20"/>
        <v>850000000</v>
      </c>
    </row>
    <row r="437" spans="1:11">
      <c r="A437">
        <v>1</v>
      </c>
      <c r="B437" t="s">
        <v>15</v>
      </c>
      <c r="C437" s="19">
        <v>19</v>
      </c>
      <c r="D437" s="19" t="s">
        <v>16</v>
      </c>
      <c r="E437" s="19" t="s">
        <v>22</v>
      </c>
      <c r="F437" s="19">
        <v>14</v>
      </c>
      <c r="G437" s="19">
        <v>9</v>
      </c>
      <c r="H437" s="20">
        <v>9.9999999999999995E-7</v>
      </c>
      <c r="I437">
        <f t="shared" si="21"/>
        <v>11.5</v>
      </c>
      <c r="J437">
        <v>10</v>
      </c>
      <c r="K437" s="16">
        <f t="shared" si="20"/>
        <v>1150000000</v>
      </c>
    </row>
    <row r="438" spans="1:11">
      <c r="A438">
        <v>1</v>
      </c>
      <c r="B438" t="s">
        <v>15</v>
      </c>
      <c r="C438" s="19">
        <v>19</v>
      </c>
      <c r="D438" s="19" t="s">
        <v>16</v>
      </c>
      <c r="E438" s="19">
        <v>1</v>
      </c>
      <c r="F438" s="19">
        <v>7</v>
      </c>
      <c r="G438" s="19">
        <v>9</v>
      </c>
      <c r="H438" s="20">
        <v>9.9999999999999995E-7</v>
      </c>
      <c r="I438">
        <f t="shared" si="21"/>
        <v>8</v>
      </c>
      <c r="J438">
        <v>10</v>
      </c>
      <c r="K438" s="16">
        <f t="shared" si="20"/>
        <v>800000000</v>
      </c>
    </row>
    <row r="439" spans="1:11">
      <c r="A439">
        <v>1</v>
      </c>
      <c r="B439" t="s">
        <v>15</v>
      </c>
      <c r="C439" s="19">
        <v>19</v>
      </c>
      <c r="D439" s="19" t="s">
        <v>16</v>
      </c>
      <c r="E439" s="19">
        <v>2</v>
      </c>
      <c r="F439" s="19">
        <v>5</v>
      </c>
      <c r="G439" s="19">
        <v>14</v>
      </c>
      <c r="H439" s="20">
        <v>9.9999999999999995E-7</v>
      </c>
      <c r="I439">
        <f t="shared" si="21"/>
        <v>9.5</v>
      </c>
      <c r="J439">
        <v>10</v>
      </c>
      <c r="K439" s="16">
        <f t="shared" si="20"/>
        <v>950000000</v>
      </c>
    </row>
    <row r="440" spans="1:11">
      <c r="A440">
        <v>1</v>
      </c>
      <c r="B440" t="s">
        <v>15</v>
      </c>
      <c r="C440" s="19">
        <v>19</v>
      </c>
      <c r="D440" s="19" t="s">
        <v>16</v>
      </c>
      <c r="E440" s="19">
        <v>3</v>
      </c>
      <c r="F440" s="19">
        <v>8</v>
      </c>
      <c r="G440" s="19">
        <v>3</v>
      </c>
      <c r="H440" s="20">
        <v>9.9999999999999995E-7</v>
      </c>
      <c r="I440">
        <f t="shared" si="21"/>
        <v>5.5</v>
      </c>
      <c r="J440">
        <v>10</v>
      </c>
      <c r="K440" s="16">
        <f t="shared" si="20"/>
        <v>550000000</v>
      </c>
    </row>
    <row r="441" spans="1:11">
      <c r="A441">
        <v>1</v>
      </c>
      <c r="B441" t="s">
        <v>15</v>
      </c>
      <c r="C441" s="19">
        <v>19</v>
      </c>
      <c r="D441" s="19" t="s">
        <v>16</v>
      </c>
      <c r="E441" s="19">
        <v>4</v>
      </c>
      <c r="F441" s="19">
        <v>9</v>
      </c>
      <c r="G441" s="19">
        <v>7</v>
      </c>
      <c r="H441" s="20">
        <v>9.9999999999999995E-7</v>
      </c>
      <c r="I441">
        <f t="shared" si="21"/>
        <v>8</v>
      </c>
      <c r="J441">
        <v>10</v>
      </c>
      <c r="K441" s="16">
        <f t="shared" si="20"/>
        <v>800000000</v>
      </c>
    </row>
    <row r="442" spans="1:11">
      <c r="A442">
        <v>1</v>
      </c>
      <c r="B442" t="s">
        <v>15</v>
      </c>
      <c r="C442" s="19">
        <v>19</v>
      </c>
      <c r="D442" s="19" t="s">
        <v>16</v>
      </c>
      <c r="E442" s="19">
        <v>5</v>
      </c>
      <c r="F442" s="19">
        <v>12</v>
      </c>
      <c r="G442" s="19">
        <v>16</v>
      </c>
      <c r="H442" s="20">
        <v>9.9999999999999995E-7</v>
      </c>
      <c r="I442">
        <f t="shared" si="21"/>
        <v>14</v>
      </c>
      <c r="J442">
        <v>10</v>
      </c>
      <c r="K442" s="16">
        <f t="shared" si="20"/>
        <v>1400000000</v>
      </c>
    </row>
    <row r="443" spans="1:11">
      <c r="A443">
        <v>1</v>
      </c>
      <c r="B443" t="s">
        <v>15</v>
      </c>
      <c r="C443" s="19">
        <v>19</v>
      </c>
      <c r="D443" s="19" t="s">
        <v>16</v>
      </c>
      <c r="E443" s="19">
        <v>6</v>
      </c>
      <c r="F443" s="19">
        <v>15</v>
      </c>
      <c r="G443" s="19">
        <v>15</v>
      </c>
      <c r="H443" s="20">
        <v>9.9999999999999995E-7</v>
      </c>
      <c r="I443">
        <f t="shared" si="21"/>
        <v>15</v>
      </c>
      <c r="J443">
        <v>10</v>
      </c>
      <c r="K443" s="16">
        <f t="shared" si="20"/>
        <v>1500000000</v>
      </c>
    </row>
    <row r="444" spans="1:11">
      <c r="A444">
        <v>1</v>
      </c>
      <c r="B444" t="s">
        <v>15</v>
      </c>
      <c r="C444" s="19">
        <v>19</v>
      </c>
      <c r="D444" s="19" t="s">
        <v>16</v>
      </c>
      <c r="E444" s="19">
        <v>7</v>
      </c>
      <c r="F444" s="19">
        <v>16</v>
      </c>
      <c r="G444" s="19">
        <v>11</v>
      </c>
      <c r="H444" s="20">
        <v>9.9999999999999995E-7</v>
      </c>
      <c r="I444">
        <f t="shared" si="21"/>
        <v>13.5</v>
      </c>
      <c r="J444">
        <v>10</v>
      </c>
      <c r="K444" s="16">
        <f t="shared" si="20"/>
        <v>1350000000</v>
      </c>
    </row>
    <row r="445" spans="1:11">
      <c r="A445">
        <v>1</v>
      </c>
      <c r="B445" t="s">
        <v>15</v>
      </c>
      <c r="C445" s="19">
        <v>19</v>
      </c>
      <c r="D445" s="19" t="s">
        <v>16</v>
      </c>
      <c r="E445" s="19">
        <v>8</v>
      </c>
      <c r="F445" s="19">
        <v>11</v>
      </c>
      <c r="G445" s="19">
        <v>10</v>
      </c>
      <c r="H445" s="20">
        <v>9.9999999999999995E-7</v>
      </c>
      <c r="I445">
        <f t="shared" si="21"/>
        <v>10.5</v>
      </c>
      <c r="J445">
        <v>10</v>
      </c>
      <c r="K445" s="16">
        <f t="shared" si="20"/>
        <v>1050000000</v>
      </c>
    </row>
    <row r="446" spans="1:11">
      <c r="A446">
        <v>1</v>
      </c>
      <c r="B446" t="s">
        <v>15</v>
      </c>
      <c r="C446" s="19">
        <v>19</v>
      </c>
      <c r="D446" s="19" t="s">
        <v>16</v>
      </c>
      <c r="E446" s="19">
        <v>9</v>
      </c>
      <c r="F446" s="19">
        <v>6</v>
      </c>
      <c r="G446" s="19">
        <v>6</v>
      </c>
      <c r="H446" s="20">
        <v>9.9999999999999995E-7</v>
      </c>
      <c r="I446">
        <f t="shared" si="21"/>
        <v>6</v>
      </c>
      <c r="J446">
        <v>10</v>
      </c>
      <c r="K446" s="16">
        <f t="shared" si="20"/>
        <v>600000000</v>
      </c>
    </row>
    <row r="447" spans="1:11">
      <c r="A447">
        <v>1</v>
      </c>
      <c r="B447" t="s">
        <v>15</v>
      </c>
      <c r="C447" s="19">
        <v>19</v>
      </c>
      <c r="D447" s="19" t="s">
        <v>16</v>
      </c>
      <c r="E447" s="19">
        <v>10</v>
      </c>
      <c r="F447" s="19">
        <v>16</v>
      </c>
      <c r="G447" s="19">
        <v>16</v>
      </c>
      <c r="H447" s="20">
        <v>9.9999999999999995E-7</v>
      </c>
      <c r="I447">
        <f t="shared" si="21"/>
        <v>16</v>
      </c>
      <c r="J447">
        <v>10</v>
      </c>
      <c r="K447" s="16">
        <f t="shared" si="20"/>
        <v>1600000000</v>
      </c>
    </row>
    <row r="448" spans="1:11">
      <c r="A448">
        <v>1</v>
      </c>
      <c r="B448" t="s">
        <v>15</v>
      </c>
      <c r="C448" s="19">
        <v>19.5</v>
      </c>
      <c r="D448" s="19" t="s">
        <v>16</v>
      </c>
      <c r="E448" s="19">
        <v>1</v>
      </c>
      <c r="F448" s="21">
        <v>4</v>
      </c>
      <c r="G448" s="21">
        <v>2</v>
      </c>
      <c r="H448" s="22">
        <v>1E-3</v>
      </c>
      <c r="I448">
        <f t="shared" si="21"/>
        <v>3</v>
      </c>
      <c r="J448">
        <v>10</v>
      </c>
      <c r="K448" s="16">
        <f t="shared" si="20"/>
        <v>300000</v>
      </c>
    </row>
    <row r="449" spans="1:11">
      <c r="A449">
        <v>1</v>
      </c>
      <c r="B449" t="s">
        <v>15</v>
      </c>
      <c r="C449" s="19">
        <v>19.5</v>
      </c>
      <c r="D449" s="19" t="s">
        <v>16</v>
      </c>
      <c r="E449" s="19">
        <v>2</v>
      </c>
      <c r="F449" s="19">
        <v>11</v>
      </c>
      <c r="G449" s="19">
        <v>12</v>
      </c>
      <c r="H449" s="20">
        <v>1E-4</v>
      </c>
      <c r="I449">
        <f t="shared" si="21"/>
        <v>11.5</v>
      </c>
      <c r="J449">
        <v>10</v>
      </c>
      <c r="K449" s="16">
        <f t="shared" si="20"/>
        <v>11499999.999999998</v>
      </c>
    </row>
    <row r="450" spans="1:11">
      <c r="A450">
        <v>1</v>
      </c>
      <c r="B450" t="s">
        <v>15</v>
      </c>
      <c r="C450" s="19">
        <v>19.5</v>
      </c>
      <c r="D450" s="19" t="s">
        <v>16</v>
      </c>
      <c r="E450" s="19">
        <v>3</v>
      </c>
      <c r="F450" s="19">
        <v>4</v>
      </c>
      <c r="G450" s="19">
        <v>2</v>
      </c>
      <c r="H450" s="20">
        <v>1E-3</v>
      </c>
      <c r="I450">
        <f t="shared" si="21"/>
        <v>3</v>
      </c>
      <c r="J450">
        <v>10</v>
      </c>
      <c r="K450" s="16">
        <f t="shared" si="20"/>
        <v>300000</v>
      </c>
    </row>
    <row r="451" spans="1:11">
      <c r="A451">
        <v>1</v>
      </c>
      <c r="B451" t="s">
        <v>15</v>
      </c>
      <c r="C451" s="19">
        <v>19.5</v>
      </c>
      <c r="D451" s="19" t="s">
        <v>16</v>
      </c>
      <c r="E451" s="19">
        <v>4</v>
      </c>
      <c r="F451" s="19">
        <v>7</v>
      </c>
      <c r="G451" s="19">
        <v>9</v>
      </c>
      <c r="H451" s="20">
        <v>1.0000000000000001E-5</v>
      </c>
      <c r="I451">
        <f t="shared" si="21"/>
        <v>8</v>
      </c>
      <c r="J451">
        <v>10</v>
      </c>
      <c r="K451" s="16">
        <f t="shared" si="20"/>
        <v>80000000</v>
      </c>
    </row>
    <row r="452" spans="1:11">
      <c r="A452">
        <v>1</v>
      </c>
      <c r="B452" t="s">
        <v>15</v>
      </c>
      <c r="C452" s="19">
        <v>19.5</v>
      </c>
      <c r="D452" s="19" t="s">
        <v>16</v>
      </c>
      <c r="E452" s="19">
        <v>5</v>
      </c>
      <c r="F452" s="19">
        <v>6</v>
      </c>
      <c r="G452" s="19">
        <v>7</v>
      </c>
      <c r="H452" s="20">
        <v>1.0000000000000001E-5</v>
      </c>
      <c r="I452">
        <f t="shared" si="21"/>
        <v>6.5</v>
      </c>
      <c r="J452">
        <v>10</v>
      </c>
      <c r="K452" s="16">
        <f t="shared" si="20"/>
        <v>64999999.999999993</v>
      </c>
    </row>
    <row r="453" spans="1:11">
      <c r="A453">
        <v>1</v>
      </c>
      <c r="B453" t="s">
        <v>15</v>
      </c>
      <c r="C453" s="19">
        <v>19.5</v>
      </c>
      <c r="D453" s="19" t="s">
        <v>16</v>
      </c>
      <c r="E453" s="19">
        <v>6</v>
      </c>
      <c r="F453" s="19">
        <v>3</v>
      </c>
      <c r="G453" s="19">
        <v>2</v>
      </c>
      <c r="H453" s="20">
        <v>9.9999999999999995E-7</v>
      </c>
      <c r="I453">
        <f t="shared" ref="I453:I482" si="22">AVERAGE(F453:G453)</f>
        <v>2.5</v>
      </c>
      <c r="J453">
        <v>10</v>
      </c>
      <c r="K453" s="16">
        <f t="shared" si="20"/>
        <v>250000000</v>
      </c>
    </row>
    <row r="454" spans="1:11">
      <c r="A454">
        <v>1</v>
      </c>
      <c r="B454" t="s">
        <v>15</v>
      </c>
      <c r="C454" s="19">
        <v>19.5</v>
      </c>
      <c r="D454" s="19" t="s">
        <v>16</v>
      </c>
      <c r="E454" s="19">
        <v>7</v>
      </c>
      <c r="F454" s="19">
        <v>1</v>
      </c>
      <c r="G454" s="19">
        <v>3</v>
      </c>
      <c r="H454" s="20">
        <v>1.0000000000000001E-5</v>
      </c>
      <c r="I454">
        <f t="shared" si="22"/>
        <v>2</v>
      </c>
      <c r="J454">
        <v>10</v>
      </c>
      <c r="K454" s="16">
        <f t="shared" si="20"/>
        <v>20000000</v>
      </c>
    </row>
    <row r="455" spans="1:11">
      <c r="A455">
        <v>1</v>
      </c>
      <c r="B455" t="s">
        <v>15</v>
      </c>
      <c r="C455" s="19">
        <v>19.5</v>
      </c>
      <c r="D455" s="19" t="s">
        <v>16</v>
      </c>
      <c r="E455" s="19">
        <v>8</v>
      </c>
      <c r="F455" s="19">
        <v>15</v>
      </c>
      <c r="G455" s="19">
        <v>9</v>
      </c>
      <c r="H455" s="20">
        <v>9.9999999999999995E-7</v>
      </c>
      <c r="I455">
        <f t="shared" si="22"/>
        <v>12</v>
      </c>
      <c r="J455">
        <v>10</v>
      </c>
      <c r="K455" s="16">
        <f t="shared" si="20"/>
        <v>1200000000</v>
      </c>
    </row>
    <row r="456" spans="1:11">
      <c r="A456">
        <v>1</v>
      </c>
      <c r="B456" t="s">
        <v>15</v>
      </c>
      <c r="C456" s="19">
        <v>19.5</v>
      </c>
      <c r="D456" s="19" t="s">
        <v>16</v>
      </c>
      <c r="E456" s="19">
        <v>9</v>
      </c>
      <c r="F456" s="19">
        <v>9</v>
      </c>
      <c r="G456" s="19">
        <v>10</v>
      </c>
      <c r="H456" s="20">
        <v>1E-4</v>
      </c>
      <c r="I456">
        <f t="shared" si="22"/>
        <v>9.5</v>
      </c>
      <c r="J456">
        <v>10</v>
      </c>
      <c r="K456" s="16">
        <f t="shared" si="20"/>
        <v>9499999.9999999981</v>
      </c>
    </row>
    <row r="457" spans="1:11">
      <c r="A457">
        <v>1</v>
      </c>
      <c r="B457" t="s">
        <v>15</v>
      </c>
      <c r="C457" s="19">
        <v>19.5</v>
      </c>
      <c r="D457" s="19" t="s">
        <v>16</v>
      </c>
      <c r="E457" s="19">
        <v>10</v>
      </c>
      <c r="F457" s="19">
        <v>5</v>
      </c>
      <c r="G457" s="19">
        <v>3</v>
      </c>
      <c r="H457" s="20">
        <v>1E-4</v>
      </c>
      <c r="I457">
        <f t="shared" si="22"/>
        <v>4</v>
      </c>
      <c r="J457">
        <v>10</v>
      </c>
      <c r="K457" s="16">
        <f t="shared" si="20"/>
        <v>3999999.9999999995</v>
      </c>
    </row>
    <row r="458" spans="1:11">
      <c r="A458">
        <v>1</v>
      </c>
      <c r="B458" t="s">
        <v>15</v>
      </c>
      <c r="C458" s="19">
        <v>20</v>
      </c>
      <c r="D458" s="19" t="s">
        <v>16</v>
      </c>
      <c r="E458" s="19" t="s">
        <v>19</v>
      </c>
      <c r="F458" s="19">
        <v>11</v>
      </c>
      <c r="G458" s="19">
        <v>12</v>
      </c>
      <c r="H458" s="20">
        <v>9.9999999999999995E-7</v>
      </c>
      <c r="I458">
        <f t="shared" si="22"/>
        <v>11.5</v>
      </c>
      <c r="J458">
        <v>10</v>
      </c>
      <c r="K458" s="16">
        <f t="shared" si="20"/>
        <v>1150000000</v>
      </c>
    </row>
    <row r="459" spans="1:11">
      <c r="A459">
        <v>1</v>
      </c>
      <c r="B459" t="s">
        <v>15</v>
      </c>
      <c r="C459" s="19">
        <v>20</v>
      </c>
      <c r="D459" s="19" t="s">
        <v>16</v>
      </c>
      <c r="E459" s="19" t="s">
        <v>20</v>
      </c>
      <c r="F459" s="19">
        <v>11</v>
      </c>
      <c r="G459" s="19">
        <v>12</v>
      </c>
      <c r="H459" s="20">
        <v>9.9999999999999995E-7</v>
      </c>
      <c r="I459">
        <f t="shared" si="22"/>
        <v>11.5</v>
      </c>
      <c r="J459">
        <v>10</v>
      </c>
      <c r="K459" s="16">
        <f t="shared" si="20"/>
        <v>1150000000</v>
      </c>
    </row>
    <row r="460" spans="1:11">
      <c r="A460">
        <v>1</v>
      </c>
      <c r="B460" t="s">
        <v>15</v>
      </c>
      <c r="C460" s="19">
        <v>20</v>
      </c>
      <c r="D460" s="19" t="s">
        <v>16</v>
      </c>
      <c r="E460" s="19" t="s">
        <v>21</v>
      </c>
      <c r="F460" s="19">
        <v>11</v>
      </c>
      <c r="G460" s="19">
        <v>3</v>
      </c>
      <c r="H460" s="20">
        <v>9.9999999999999995E-7</v>
      </c>
      <c r="I460">
        <f t="shared" si="22"/>
        <v>7</v>
      </c>
      <c r="J460">
        <v>10</v>
      </c>
      <c r="K460" s="16">
        <f t="shared" si="20"/>
        <v>700000000</v>
      </c>
    </row>
    <row r="461" spans="1:11">
      <c r="A461">
        <v>1</v>
      </c>
      <c r="B461" t="s">
        <v>15</v>
      </c>
      <c r="C461" s="19">
        <v>20</v>
      </c>
      <c r="D461" s="19" t="s">
        <v>16</v>
      </c>
      <c r="E461" s="19" t="s">
        <v>22</v>
      </c>
      <c r="F461" s="19">
        <v>8</v>
      </c>
      <c r="G461" s="19">
        <v>4</v>
      </c>
      <c r="H461" s="20">
        <v>9.9999999999999995E-7</v>
      </c>
      <c r="I461">
        <f t="shared" si="22"/>
        <v>6</v>
      </c>
      <c r="J461">
        <v>10</v>
      </c>
      <c r="K461" s="16">
        <f t="shared" si="20"/>
        <v>600000000</v>
      </c>
    </row>
    <row r="462" spans="1:11">
      <c r="A462">
        <v>1</v>
      </c>
      <c r="B462" t="s">
        <v>15</v>
      </c>
      <c r="C462" s="19">
        <v>20</v>
      </c>
      <c r="D462" s="19" t="s">
        <v>16</v>
      </c>
      <c r="E462" s="19">
        <v>1</v>
      </c>
      <c r="F462" s="19">
        <v>13</v>
      </c>
      <c r="G462" s="19">
        <v>6</v>
      </c>
      <c r="H462" s="20">
        <v>9.9999999999999995E-7</v>
      </c>
      <c r="I462">
        <f t="shared" si="22"/>
        <v>9.5</v>
      </c>
      <c r="J462">
        <v>10</v>
      </c>
      <c r="K462" s="16">
        <f t="shared" si="20"/>
        <v>950000000</v>
      </c>
    </row>
    <row r="463" spans="1:11">
      <c r="A463">
        <v>1</v>
      </c>
      <c r="B463" t="s">
        <v>15</v>
      </c>
      <c r="C463" s="19">
        <v>20</v>
      </c>
      <c r="D463" s="19" t="s">
        <v>16</v>
      </c>
      <c r="E463" s="19">
        <v>2</v>
      </c>
      <c r="F463" s="19">
        <v>12</v>
      </c>
      <c r="G463" s="19">
        <v>9</v>
      </c>
      <c r="H463" s="20">
        <v>9.9999999999999995E-7</v>
      </c>
      <c r="I463">
        <f t="shared" si="22"/>
        <v>10.5</v>
      </c>
      <c r="J463">
        <v>10</v>
      </c>
      <c r="K463" s="16">
        <f t="shared" si="20"/>
        <v>1050000000</v>
      </c>
    </row>
    <row r="464" spans="1:11">
      <c r="A464">
        <v>1</v>
      </c>
      <c r="B464" t="s">
        <v>15</v>
      </c>
      <c r="C464" s="19">
        <v>20</v>
      </c>
      <c r="D464" s="19" t="s">
        <v>16</v>
      </c>
      <c r="E464" s="19">
        <v>3</v>
      </c>
      <c r="F464" s="19">
        <v>13</v>
      </c>
      <c r="G464" s="19">
        <v>13</v>
      </c>
      <c r="H464" s="20">
        <v>9.9999999999999995E-7</v>
      </c>
      <c r="I464">
        <f t="shared" si="22"/>
        <v>13</v>
      </c>
      <c r="J464">
        <v>10</v>
      </c>
      <c r="K464" s="16">
        <f t="shared" si="20"/>
        <v>1300000000</v>
      </c>
    </row>
    <row r="465" spans="1:11">
      <c r="A465">
        <v>1</v>
      </c>
      <c r="B465" t="s">
        <v>15</v>
      </c>
      <c r="C465" s="19">
        <v>20</v>
      </c>
      <c r="D465" s="19" t="s">
        <v>16</v>
      </c>
      <c r="E465" s="19">
        <v>4</v>
      </c>
      <c r="F465" s="19">
        <v>4</v>
      </c>
      <c r="G465" s="19">
        <v>7</v>
      </c>
      <c r="H465" s="20">
        <v>9.9999999999999995E-7</v>
      </c>
      <c r="I465">
        <f t="shared" si="22"/>
        <v>5.5</v>
      </c>
      <c r="J465">
        <v>10</v>
      </c>
      <c r="K465" s="16">
        <f t="shared" si="20"/>
        <v>550000000</v>
      </c>
    </row>
    <row r="466" spans="1:11">
      <c r="A466">
        <v>1</v>
      </c>
      <c r="B466" t="s">
        <v>15</v>
      </c>
      <c r="C466" s="19">
        <v>20</v>
      </c>
      <c r="D466" s="19" t="s">
        <v>16</v>
      </c>
      <c r="E466" s="19">
        <v>5</v>
      </c>
      <c r="F466" s="19">
        <v>7</v>
      </c>
      <c r="G466" s="19">
        <v>5</v>
      </c>
      <c r="H466" s="20">
        <v>9.9999999999999995E-7</v>
      </c>
      <c r="I466">
        <f t="shared" si="22"/>
        <v>6</v>
      </c>
      <c r="J466">
        <v>10</v>
      </c>
      <c r="K466" s="16">
        <f t="shared" si="20"/>
        <v>600000000</v>
      </c>
    </row>
    <row r="467" spans="1:11">
      <c r="A467">
        <v>1</v>
      </c>
      <c r="B467" t="s">
        <v>15</v>
      </c>
      <c r="C467" s="19">
        <v>20</v>
      </c>
      <c r="D467" s="19" t="s">
        <v>16</v>
      </c>
      <c r="E467" s="19">
        <v>6</v>
      </c>
      <c r="F467" s="19">
        <v>11</v>
      </c>
      <c r="G467" s="19">
        <v>17</v>
      </c>
      <c r="H467" s="20">
        <v>9.9999999999999995E-7</v>
      </c>
      <c r="I467">
        <f t="shared" si="22"/>
        <v>14</v>
      </c>
      <c r="J467">
        <v>10</v>
      </c>
      <c r="K467" s="16">
        <f t="shared" ref="K467:K530" si="23">I467/(H467*(J467/1000))</f>
        <v>1400000000</v>
      </c>
    </row>
    <row r="468" spans="1:11">
      <c r="A468">
        <v>1</v>
      </c>
      <c r="B468" t="s">
        <v>15</v>
      </c>
      <c r="C468" s="19">
        <v>20</v>
      </c>
      <c r="D468" s="19" t="s">
        <v>16</v>
      </c>
      <c r="E468" s="19">
        <v>7</v>
      </c>
      <c r="F468" s="19">
        <v>11</v>
      </c>
      <c r="G468" s="19">
        <v>14</v>
      </c>
      <c r="H468" s="20">
        <v>9.9999999999999995E-7</v>
      </c>
      <c r="I468">
        <f t="shared" si="22"/>
        <v>12.5</v>
      </c>
      <c r="J468">
        <v>10</v>
      </c>
      <c r="K468" s="16">
        <f t="shared" si="23"/>
        <v>1250000000</v>
      </c>
    </row>
    <row r="469" spans="1:11">
      <c r="A469">
        <v>1</v>
      </c>
      <c r="B469" t="s">
        <v>15</v>
      </c>
      <c r="C469" s="19">
        <v>20</v>
      </c>
      <c r="D469" s="19" t="s">
        <v>16</v>
      </c>
      <c r="E469" s="19">
        <v>8</v>
      </c>
      <c r="F469" s="19">
        <v>12</v>
      </c>
      <c r="G469" s="19">
        <v>13</v>
      </c>
      <c r="H469" s="20">
        <v>9.9999999999999995E-7</v>
      </c>
      <c r="I469">
        <f t="shared" si="22"/>
        <v>12.5</v>
      </c>
      <c r="J469">
        <v>10</v>
      </c>
      <c r="K469" s="16">
        <f t="shared" si="23"/>
        <v>1250000000</v>
      </c>
    </row>
    <row r="470" spans="1:11">
      <c r="A470">
        <v>1</v>
      </c>
      <c r="B470" t="s">
        <v>15</v>
      </c>
      <c r="C470" s="19">
        <v>20</v>
      </c>
      <c r="D470" s="19" t="s">
        <v>16</v>
      </c>
      <c r="E470" s="19">
        <v>9</v>
      </c>
      <c r="F470" s="19">
        <v>10</v>
      </c>
      <c r="G470" s="19">
        <v>13</v>
      </c>
      <c r="H470" s="20">
        <v>9.9999999999999995E-7</v>
      </c>
      <c r="I470">
        <f t="shared" si="22"/>
        <v>11.5</v>
      </c>
      <c r="J470">
        <v>10</v>
      </c>
      <c r="K470" s="16">
        <f t="shared" si="23"/>
        <v>1150000000</v>
      </c>
    </row>
    <row r="471" spans="1:11">
      <c r="A471">
        <v>1</v>
      </c>
      <c r="B471" t="s">
        <v>15</v>
      </c>
      <c r="C471" s="19">
        <v>20</v>
      </c>
      <c r="D471" s="19" t="s">
        <v>16</v>
      </c>
      <c r="E471" s="19">
        <v>10</v>
      </c>
      <c r="F471" s="19">
        <v>13</v>
      </c>
      <c r="G471" s="19">
        <v>13</v>
      </c>
      <c r="H471" s="20">
        <v>9.9999999999999995E-7</v>
      </c>
      <c r="I471">
        <f t="shared" si="22"/>
        <v>13</v>
      </c>
      <c r="J471">
        <v>10</v>
      </c>
      <c r="K471" s="16">
        <f t="shared" si="23"/>
        <v>1300000000</v>
      </c>
    </row>
    <row r="472" spans="1:11">
      <c r="A472">
        <v>1</v>
      </c>
      <c r="B472" t="s">
        <v>15</v>
      </c>
      <c r="C472" s="19">
        <v>20.5</v>
      </c>
      <c r="D472" s="19" t="s">
        <v>16</v>
      </c>
      <c r="E472" s="19">
        <v>1</v>
      </c>
      <c r="F472" s="24">
        <v>30</v>
      </c>
      <c r="G472" s="21">
        <v>27</v>
      </c>
      <c r="H472" s="22">
        <v>1E-4</v>
      </c>
      <c r="I472">
        <f t="shared" si="22"/>
        <v>28.5</v>
      </c>
      <c r="J472">
        <v>10</v>
      </c>
      <c r="K472" s="16">
        <f t="shared" si="23"/>
        <v>28499999.999999996</v>
      </c>
    </row>
    <row r="473" spans="1:11">
      <c r="A473">
        <v>1</v>
      </c>
      <c r="B473" t="s">
        <v>15</v>
      </c>
      <c r="C473" s="19">
        <v>20.5</v>
      </c>
      <c r="D473" s="19" t="s">
        <v>16</v>
      </c>
      <c r="E473" s="19">
        <v>2</v>
      </c>
      <c r="F473" s="19">
        <v>11</v>
      </c>
      <c r="G473" s="19">
        <v>11</v>
      </c>
      <c r="H473" s="20">
        <v>1.0000000000000001E-5</v>
      </c>
      <c r="I473">
        <f t="shared" si="22"/>
        <v>11</v>
      </c>
      <c r="J473">
        <v>10</v>
      </c>
      <c r="K473" s="16">
        <f t="shared" si="23"/>
        <v>109999999.99999999</v>
      </c>
    </row>
    <row r="474" spans="1:11">
      <c r="A474">
        <v>1</v>
      </c>
      <c r="B474" t="s">
        <v>15</v>
      </c>
      <c r="C474" s="19">
        <v>20.5</v>
      </c>
      <c r="D474" s="19" t="s">
        <v>16</v>
      </c>
      <c r="E474" s="19">
        <v>3</v>
      </c>
      <c r="F474" s="19">
        <v>3</v>
      </c>
      <c r="G474" s="19">
        <v>4</v>
      </c>
      <c r="H474" s="20">
        <v>1.0000000000000001E-5</v>
      </c>
      <c r="I474">
        <f t="shared" si="22"/>
        <v>3.5</v>
      </c>
      <c r="J474">
        <v>10</v>
      </c>
      <c r="K474" s="16">
        <f t="shared" si="23"/>
        <v>35000000</v>
      </c>
    </row>
    <row r="475" spans="1:11">
      <c r="A475">
        <v>1</v>
      </c>
      <c r="B475" t="s">
        <v>15</v>
      </c>
      <c r="C475" s="19">
        <v>20.5</v>
      </c>
      <c r="D475" s="19" t="s">
        <v>16</v>
      </c>
      <c r="E475" s="19">
        <v>4</v>
      </c>
      <c r="F475" s="19">
        <v>3</v>
      </c>
      <c r="G475" s="19">
        <v>4</v>
      </c>
      <c r="H475" s="20">
        <v>9.9999999999999995E-7</v>
      </c>
      <c r="I475">
        <f t="shared" si="22"/>
        <v>3.5</v>
      </c>
      <c r="J475">
        <v>10</v>
      </c>
      <c r="K475" s="16">
        <f t="shared" si="23"/>
        <v>350000000</v>
      </c>
    </row>
    <row r="476" spans="1:11">
      <c r="A476">
        <v>1</v>
      </c>
      <c r="B476" t="s">
        <v>15</v>
      </c>
      <c r="C476" s="19">
        <v>20.5</v>
      </c>
      <c r="D476" s="19" t="s">
        <v>16</v>
      </c>
      <c r="E476" s="19">
        <v>5</v>
      </c>
      <c r="F476" s="19">
        <v>12</v>
      </c>
      <c r="G476" s="19">
        <v>13</v>
      </c>
      <c r="H476" s="20">
        <v>1.0000000000000001E-5</v>
      </c>
      <c r="I476">
        <f t="shared" si="22"/>
        <v>12.5</v>
      </c>
      <c r="J476">
        <v>10</v>
      </c>
      <c r="K476" s="16">
        <f t="shared" si="23"/>
        <v>124999999.99999999</v>
      </c>
    </row>
    <row r="477" spans="1:11">
      <c r="A477">
        <v>1</v>
      </c>
      <c r="B477" t="s">
        <v>15</v>
      </c>
      <c r="C477" s="19">
        <v>20.5</v>
      </c>
      <c r="D477" s="19" t="s">
        <v>16</v>
      </c>
      <c r="E477" s="19">
        <v>6</v>
      </c>
      <c r="F477" s="19">
        <v>8</v>
      </c>
      <c r="G477" s="19">
        <v>6</v>
      </c>
      <c r="H477" s="20">
        <v>9.9999999999999995E-7</v>
      </c>
      <c r="I477">
        <f t="shared" si="22"/>
        <v>7</v>
      </c>
      <c r="J477">
        <v>10</v>
      </c>
      <c r="K477" s="16">
        <f t="shared" si="23"/>
        <v>700000000</v>
      </c>
    </row>
    <row r="478" spans="1:11">
      <c r="A478">
        <v>1</v>
      </c>
      <c r="B478" t="s">
        <v>15</v>
      </c>
      <c r="C478" s="19">
        <v>20.5</v>
      </c>
      <c r="D478" s="19" t="s">
        <v>16</v>
      </c>
      <c r="E478" s="19">
        <v>7</v>
      </c>
      <c r="F478" s="19">
        <v>18</v>
      </c>
      <c r="G478" s="19">
        <v>19</v>
      </c>
      <c r="H478" s="20">
        <v>1E-4</v>
      </c>
      <c r="I478">
        <f t="shared" si="22"/>
        <v>18.5</v>
      </c>
      <c r="J478">
        <v>10</v>
      </c>
      <c r="K478" s="16">
        <f t="shared" si="23"/>
        <v>18499999.999999996</v>
      </c>
    </row>
    <row r="479" spans="1:11">
      <c r="A479">
        <v>1</v>
      </c>
      <c r="B479" t="s">
        <v>15</v>
      </c>
      <c r="C479" s="19">
        <v>20.5</v>
      </c>
      <c r="D479" s="19" t="s">
        <v>16</v>
      </c>
      <c r="E479" s="19">
        <v>8</v>
      </c>
      <c r="F479" s="19">
        <v>6</v>
      </c>
      <c r="G479" s="19">
        <v>8</v>
      </c>
      <c r="H479" s="20">
        <v>9.9999999999999995E-7</v>
      </c>
      <c r="I479">
        <f t="shared" si="22"/>
        <v>7</v>
      </c>
      <c r="J479">
        <v>10</v>
      </c>
      <c r="K479" s="16">
        <f t="shared" si="23"/>
        <v>700000000</v>
      </c>
    </row>
    <row r="480" spans="1:11">
      <c r="A480">
        <v>1</v>
      </c>
      <c r="B480" t="s">
        <v>15</v>
      </c>
      <c r="C480" s="19">
        <v>20.5</v>
      </c>
      <c r="D480" s="19" t="s">
        <v>16</v>
      </c>
      <c r="E480" s="19">
        <v>9</v>
      </c>
      <c r="F480" s="19">
        <v>13</v>
      </c>
      <c r="G480" s="19">
        <v>18</v>
      </c>
      <c r="H480" s="20">
        <v>1.0000000000000001E-5</v>
      </c>
      <c r="I480">
        <f t="shared" si="22"/>
        <v>15.5</v>
      </c>
      <c r="J480">
        <v>10</v>
      </c>
      <c r="K480" s="16">
        <f t="shared" si="23"/>
        <v>155000000</v>
      </c>
    </row>
    <row r="481" spans="1:11">
      <c r="A481">
        <v>1</v>
      </c>
      <c r="B481" t="s">
        <v>15</v>
      </c>
      <c r="C481" s="19">
        <v>20.5</v>
      </c>
      <c r="D481" s="19" t="s">
        <v>16</v>
      </c>
      <c r="E481" s="19">
        <v>10</v>
      </c>
      <c r="F481" s="19">
        <v>7</v>
      </c>
      <c r="G481" s="19">
        <v>10</v>
      </c>
      <c r="H481" s="20">
        <v>1.0000000000000001E-5</v>
      </c>
      <c r="I481">
        <f t="shared" si="22"/>
        <v>8.5</v>
      </c>
      <c r="J481">
        <v>10</v>
      </c>
      <c r="K481" s="16">
        <f t="shared" si="23"/>
        <v>85000000</v>
      </c>
    </row>
    <row r="482" spans="1:11">
      <c r="A482">
        <v>1</v>
      </c>
      <c r="B482" t="s">
        <v>15</v>
      </c>
      <c r="C482" s="19">
        <v>21</v>
      </c>
      <c r="D482" s="19" t="s">
        <v>16</v>
      </c>
      <c r="E482" s="19" t="s">
        <v>19</v>
      </c>
      <c r="F482" s="19">
        <v>14</v>
      </c>
      <c r="G482" s="19">
        <v>10</v>
      </c>
      <c r="H482" s="20">
        <v>9.9999999999999995E-7</v>
      </c>
      <c r="I482">
        <f t="shared" si="22"/>
        <v>12</v>
      </c>
      <c r="J482">
        <v>10</v>
      </c>
      <c r="K482" s="16">
        <f t="shared" si="23"/>
        <v>1200000000</v>
      </c>
    </row>
    <row r="483" spans="1:11">
      <c r="A483">
        <v>1</v>
      </c>
      <c r="B483" t="s">
        <v>15</v>
      </c>
      <c r="C483" s="19">
        <v>21</v>
      </c>
      <c r="D483" s="19" t="s">
        <v>16</v>
      </c>
      <c r="E483" s="19" t="s">
        <v>20</v>
      </c>
      <c r="F483" s="19">
        <v>7</v>
      </c>
      <c r="G483" s="19">
        <v>9</v>
      </c>
      <c r="H483" s="20">
        <v>9.9999999999999995E-7</v>
      </c>
      <c r="I483">
        <f t="shared" ref="I483:I519" si="24">AVERAGE(F483:G483)</f>
        <v>8</v>
      </c>
      <c r="J483">
        <v>10</v>
      </c>
      <c r="K483" s="16">
        <f t="shared" si="23"/>
        <v>800000000</v>
      </c>
    </row>
    <row r="484" spans="1:11">
      <c r="A484">
        <v>1</v>
      </c>
      <c r="B484" t="s">
        <v>15</v>
      </c>
      <c r="C484" s="19">
        <v>21</v>
      </c>
      <c r="D484" s="19" t="s">
        <v>16</v>
      </c>
      <c r="E484" s="19" t="s">
        <v>21</v>
      </c>
      <c r="F484" s="19">
        <v>6</v>
      </c>
      <c r="G484" s="19">
        <v>8</v>
      </c>
      <c r="H484" s="20">
        <v>9.9999999999999995E-7</v>
      </c>
      <c r="I484">
        <f t="shared" si="24"/>
        <v>7</v>
      </c>
      <c r="J484">
        <v>10</v>
      </c>
      <c r="K484" s="16">
        <f t="shared" si="23"/>
        <v>700000000</v>
      </c>
    </row>
    <row r="485" spans="1:11">
      <c r="A485">
        <v>1</v>
      </c>
      <c r="B485" t="s">
        <v>15</v>
      </c>
      <c r="C485" s="19">
        <v>21</v>
      </c>
      <c r="D485" s="19" t="s">
        <v>16</v>
      </c>
      <c r="E485" s="19" t="s">
        <v>22</v>
      </c>
      <c r="F485" s="19">
        <v>9</v>
      </c>
      <c r="G485" s="19">
        <v>8</v>
      </c>
      <c r="H485" s="20">
        <v>9.9999999999999995E-7</v>
      </c>
      <c r="I485">
        <f t="shared" si="24"/>
        <v>8.5</v>
      </c>
      <c r="J485">
        <v>10</v>
      </c>
      <c r="K485" s="16">
        <f t="shared" si="23"/>
        <v>850000000</v>
      </c>
    </row>
    <row r="486" spans="1:11">
      <c r="A486">
        <v>1</v>
      </c>
      <c r="B486" t="s">
        <v>15</v>
      </c>
      <c r="C486" s="19">
        <v>21</v>
      </c>
      <c r="D486" s="19" t="s">
        <v>16</v>
      </c>
      <c r="E486" s="19">
        <v>1</v>
      </c>
      <c r="F486" s="19">
        <v>35</v>
      </c>
      <c r="G486" s="23">
        <v>50</v>
      </c>
      <c r="H486" s="20">
        <v>1.0000000000000001E-5</v>
      </c>
      <c r="I486">
        <f t="shared" si="24"/>
        <v>42.5</v>
      </c>
      <c r="J486">
        <v>10</v>
      </c>
      <c r="K486" s="16">
        <f t="shared" si="23"/>
        <v>424999999.99999994</v>
      </c>
    </row>
    <row r="487" spans="1:11">
      <c r="A487">
        <v>1</v>
      </c>
      <c r="B487" t="s">
        <v>15</v>
      </c>
      <c r="C487" s="19">
        <v>21</v>
      </c>
      <c r="D487" s="19" t="s">
        <v>16</v>
      </c>
      <c r="E487" s="19">
        <v>2</v>
      </c>
      <c r="F487" s="19">
        <v>10</v>
      </c>
      <c r="G487" s="19">
        <v>10</v>
      </c>
      <c r="H487" s="20">
        <v>9.9999999999999995E-7</v>
      </c>
      <c r="I487">
        <f t="shared" si="24"/>
        <v>10</v>
      </c>
      <c r="J487">
        <v>10</v>
      </c>
      <c r="K487" s="16">
        <f t="shared" si="23"/>
        <v>1000000000</v>
      </c>
    </row>
    <row r="488" spans="1:11">
      <c r="A488">
        <v>1</v>
      </c>
      <c r="B488" t="s">
        <v>15</v>
      </c>
      <c r="C488" s="19">
        <v>21</v>
      </c>
      <c r="D488" s="19" t="s">
        <v>16</v>
      </c>
      <c r="E488" s="19">
        <v>3</v>
      </c>
      <c r="F488" s="19">
        <v>8</v>
      </c>
      <c r="G488" s="19">
        <v>10</v>
      </c>
      <c r="H488" s="20">
        <v>9.9999999999999995E-7</v>
      </c>
      <c r="I488">
        <f t="shared" si="24"/>
        <v>9</v>
      </c>
      <c r="J488">
        <v>10</v>
      </c>
      <c r="K488" s="16">
        <f t="shared" si="23"/>
        <v>900000000</v>
      </c>
    </row>
    <row r="489" spans="1:11">
      <c r="A489">
        <v>1</v>
      </c>
      <c r="B489" t="s">
        <v>15</v>
      </c>
      <c r="C489" s="19">
        <v>21</v>
      </c>
      <c r="D489" s="19" t="s">
        <v>16</v>
      </c>
      <c r="E489" s="19">
        <v>4</v>
      </c>
      <c r="F489" s="19">
        <v>13</v>
      </c>
      <c r="G489" s="19">
        <v>13</v>
      </c>
      <c r="H489" s="20">
        <v>9.9999999999999995E-7</v>
      </c>
      <c r="I489">
        <f t="shared" si="24"/>
        <v>13</v>
      </c>
      <c r="J489">
        <v>10</v>
      </c>
      <c r="K489" s="16">
        <f t="shared" si="23"/>
        <v>1300000000</v>
      </c>
    </row>
    <row r="490" spans="1:11">
      <c r="A490">
        <v>1</v>
      </c>
      <c r="B490" t="s">
        <v>15</v>
      </c>
      <c r="C490" s="19">
        <v>21</v>
      </c>
      <c r="D490" s="19" t="s">
        <v>16</v>
      </c>
      <c r="E490" s="19">
        <v>5</v>
      </c>
      <c r="F490" s="19">
        <v>12</v>
      </c>
      <c r="G490" s="19">
        <v>8</v>
      </c>
      <c r="H490" s="20">
        <v>9.9999999999999995E-7</v>
      </c>
      <c r="I490">
        <f t="shared" si="24"/>
        <v>10</v>
      </c>
      <c r="J490">
        <v>10</v>
      </c>
      <c r="K490" s="16">
        <f t="shared" si="23"/>
        <v>1000000000</v>
      </c>
    </row>
    <row r="491" spans="1:11">
      <c r="A491">
        <v>1</v>
      </c>
      <c r="B491" t="s">
        <v>15</v>
      </c>
      <c r="C491" s="19">
        <v>21</v>
      </c>
      <c r="D491" s="19" t="s">
        <v>16</v>
      </c>
      <c r="E491" s="19">
        <v>6</v>
      </c>
      <c r="F491" s="19">
        <v>17</v>
      </c>
      <c r="G491" s="19">
        <v>8</v>
      </c>
      <c r="H491" s="20">
        <v>9.9999999999999995E-7</v>
      </c>
      <c r="I491">
        <f t="shared" si="24"/>
        <v>12.5</v>
      </c>
      <c r="J491">
        <v>10</v>
      </c>
      <c r="K491" s="16">
        <f t="shared" si="23"/>
        <v>1250000000</v>
      </c>
    </row>
    <row r="492" spans="1:11">
      <c r="A492">
        <v>1</v>
      </c>
      <c r="B492" t="s">
        <v>15</v>
      </c>
      <c r="C492" s="19">
        <v>21</v>
      </c>
      <c r="D492" s="19" t="s">
        <v>16</v>
      </c>
      <c r="E492" s="19">
        <v>7</v>
      </c>
      <c r="F492" s="19">
        <v>6</v>
      </c>
      <c r="G492" s="19">
        <v>9</v>
      </c>
      <c r="H492" s="20">
        <v>9.9999999999999995E-7</v>
      </c>
      <c r="I492">
        <f t="shared" si="24"/>
        <v>7.5</v>
      </c>
      <c r="J492">
        <v>10</v>
      </c>
      <c r="K492" s="16">
        <f t="shared" si="23"/>
        <v>750000000</v>
      </c>
    </row>
    <row r="493" spans="1:11">
      <c r="A493">
        <v>1</v>
      </c>
      <c r="B493" t="s">
        <v>15</v>
      </c>
      <c r="C493" s="19">
        <v>21</v>
      </c>
      <c r="D493" s="19" t="s">
        <v>16</v>
      </c>
      <c r="E493" s="19">
        <v>8</v>
      </c>
      <c r="F493" s="19">
        <v>11</v>
      </c>
      <c r="G493" s="19">
        <v>7</v>
      </c>
      <c r="H493" s="20">
        <v>9.9999999999999995E-7</v>
      </c>
      <c r="I493">
        <f t="shared" si="24"/>
        <v>9</v>
      </c>
      <c r="J493">
        <v>10</v>
      </c>
      <c r="K493" s="16">
        <f t="shared" si="23"/>
        <v>900000000</v>
      </c>
    </row>
    <row r="494" spans="1:11">
      <c r="A494">
        <v>1</v>
      </c>
      <c r="B494" t="s">
        <v>15</v>
      </c>
      <c r="C494" s="19">
        <v>21</v>
      </c>
      <c r="D494" s="19" t="s">
        <v>16</v>
      </c>
      <c r="E494" s="19">
        <v>9</v>
      </c>
      <c r="F494" s="19">
        <v>16</v>
      </c>
      <c r="G494" s="19">
        <v>8</v>
      </c>
      <c r="H494" s="20">
        <v>9.9999999999999995E-7</v>
      </c>
      <c r="I494">
        <f t="shared" si="24"/>
        <v>12</v>
      </c>
      <c r="J494">
        <v>10</v>
      </c>
      <c r="K494" s="16">
        <f t="shared" si="23"/>
        <v>1200000000</v>
      </c>
    </row>
    <row r="495" spans="1:11">
      <c r="A495">
        <v>1</v>
      </c>
      <c r="B495" t="s">
        <v>15</v>
      </c>
      <c r="C495" s="19">
        <v>21</v>
      </c>
      <c r="D495" s="19" t="s">
        <v>16</v>
      </c>
      <c r="E495" s="19">
        <v>10</v>
      </c>
      <c r="F495" s="19">
        <v>11</v>
      </c>
      <c r="G495" s="19">
        <v>12</v>
      </c>
      <c r="H495" s="20">
        <v>9.9999999999999995E-7</v>
      </c>
      <c r="I495">
        <f t="shared" si="24"/>
        <v>11.5</v>
      </c>
      <c r="J495">
        <v>10</v>
      </c>
      <c r="K495" s="16">
        <f t="shared" si="23"/>
        <v>1150000000</v>
      </c>
    </row>
    <row r="496" spans="1:11">
      <c r="A496">
        <v>1</v>
      </c>
      <c r="B496" t="s">
        <v>15</v>
      </c>
      <c r="C496" s="19">
        <v>21.5</v>
      </c>
      <c r="D496" s="19" t="s">
        <v>16</v>
      </c>
      <c r="E496" s="19">
        <v>1</v>
      </c>
      <c r="F496" s="21">
        <v>12</v>
      </c>
      <c r="G496" s="21">
        <v>9</v>
      </c>
      <c r="H496" s="20">
        <v>1.0000000000000001E-5</v>
      </c>
      <c r="I496">
        <f t="shared" si="24"/>
        <v>10.5</v>
      </c>
      <c r="J496">
        <v>10</v>
      </c>
      <c r="K496" s="16">
        <f t="shared" si="23"/>
        <v>104999999.99999999</v>
      </c>
    </row>
    <row r="497" spans="1:11">
      <c r="A497">
        <v>1</v>
      </c>
      <c r="B497" t="s">
        <v>15</v>
      </c>
      <c r="C497" s="19">
        <v>21.5</v>
      </c>
      <c r="D497" s="19" t="s">
        <v>16</v>
      </c>
      <c r="E497" s="19">
        <v>2</v>
      </c>
      <c r="F497" s="19">
        <v>18</v>
      </c>
      <c r="G497" s="19">
        <v>13</v>
      </c>
      <c r="H497" s="20">
        <v>1.0000000000000001E-5</v>
      </c>
      <c r="I497">
        <f t="shared" si="24"/>
        <v>15.5</v>
      </c>
      <c r="J497">
        <v>10</v>
      </c>
      <c r="K497" s="16">
        <f t="shared" si="23"/>
        <v>155000000</v>
      </c>
    </row>
    <row r="498" spans="1:11">
      <c r="A498">
        <v>1</v>
      </c>
      <c r="B498" t="s">
        <v>15</v>
      </c>
      <c r="C498" s="19">
        <v>21.5</v>
      </c>
      <c r="D498" s="19" t="s">
        <v>16</v>
      </c>
      <c r="E498" s="19">
        <v>3</v>
      </c>
      <c r="F498" s="19">
        <v>31</v>
      </c>
      <c r="G498" s="19">
        <v>28</v>
      </c>
      <c r="H498" s="20">
        <v>1E-4</v>
      </c>
      <c r="I498">
        <f t="shared" si="24"/>
        <v>29.5</v>
      </c>
      <c r="J498">
        <v>10</v>
      </c>
      <c r="K498" s="16">
        <f t="shared" si="23"/>
        <v>29499999.999999996</v>
      </c>
    </row>
    <row r="499" spans="1:11">
      <c r="A499">
        <v>1</v>
      </c>
      <c r="B499" t="s">
        <v>15</v>
      </c>
      <c r="C499" s="19">
        <v>21.5</v>
      </c>
      <c r="D499" s="19" t="s">
        <v>16</v>
      </c>
      <c r="E499" s="19">
        <v>4</v>
      </c>
      <c r="F499" s="19">
        <v>8</v>
      </c>
      <c r="G499" s="19">
        <v>12</v>
      </c>
      <c r="H499" s="20">
        <v>9.9999999999999995E-7</v>
      </c>
      <c r="I499">
        <f t="shared" si="24"/>
        <v>10</v>
      </c>
      <c r="J499">
        <v>10</v>
      </c>
      <c r="K499" s="16">
        <f t="shared" si="23"/>
        <v>1000000000</v>
      </c>
    </row>
    <row r="500" spans="1:11">
      <c r="A500">
        <v>1</v>
      </c>
      <c r="B500" t="s">
        <v>15</v>
      </c>
      <c r="C500" s="19">
        <v>21.5</v>
      </c>
      <c r="D500" s="19" t="s">
        <v>16</v>
      </c>
      <c r="E500" s="19">
        <v>5</v>
      </c>
      <c r="F500" s="19">
        <v>30</v>
      </c>
      <c r="G500" s="19">
        <v>35</v>
      </c>
      <c r="H500" s="20">
        <v>1E-4</v>
      </c>
      <c r="I500">
        <f t="shared" si="24"/>
        <v>32.5</v>
      </c>
      <c r="J500">
        <v>10</v>
      </c>
      <c r="K500" s="16">
        <f t="shared" si="23"/>
        <v>32499999.999999996</v>
      </c>
    </row>
    <row r="501" spans="1:11">
      <c r="A501">
        <v>1</v>
      </c>
      <c r="B501" t="s">
        <v>15</v>
      </c>
      <c r="C501" s="19">
        <v>21.5</v>
      </c>
      <c r="D501" s="19" t="s">
        <v>16</v>
      </c>
      <c r="E501" s="19">
        <v>6</v>
      </c>
      <c r="F501" s="19">
        <v>3</v>
      </c>
      <c r="G501" s="19">
        <v>4</v>
      </c>
      <c r="H501" s="20">
        <v>1.0000000000000001E-5</v>
      </c>
      <c r="I501">
        <f t="shared" si="24"/>
        <v>3.5</v>
      </c>
      <c r="J501">
        <v>10</v>
      </c>
      <c r="K501" s="16">
        <f t="shared" si="23"/>
        <v>35000000</v>
      </c>
    </row>
    <row r="502" spans="1:11">
      <c r="A502">
        <v>1</v>
      </c>
      <c r="B502" t="s">
        <v>15</v>
      </c>
      <c r="C502" s="19">
        <v>21.5</v>
      </c>
      <c r="D502" s="19" t="s">
        <v>16</v>
      </c>
      <c r="E502" s="19">
        <v>7</v>
      </c>
      <c r="F502" s="19">
        <v>5</v>
      </c>
      <c r="G502" s="19">
        <v>2</v>
      </c>
      <c r="H502" s="20">
        <v>1.0000000000000001E-5</v>
      </c>
      <c r="I502">
        <f t="shared" si="24"/>
        <v>3.5</v>
      </c>
      <c r="J502">
        <v>10</v>
      </c>
      <c r="K502" s="16">
        <f t="shared" si="23"/>
        <v>35000000</v>
      </c>
    </row>
    <row r="503" spans="1:11">
      <c r="A503">
        <v>1</v>
      </c>
      <c r="B503" t="s">
        <v>15</v>
      </c>
      <c r="C503" s="19">
        <v>21.5</v>
      </c>
      <c r="D503" s="19" t="s">
        <v>16</v>
      </c>
      <c r="E503" s="19">
        <v>8</v>
      </c>
      <c r="F503" s="19">
        <v>2</v>
      </c>
      <c r="G503" s="19">
        <v>4</v>
      </c>
      <c r="H503" s="20">
        <v>1.0000000000000001E-5</v>
      </c>
      <c r="I503">
        <f t="shared" si="24"/>
        <v>3</v>
      </c>
      <c r="J503">
        <v>10</v>
      </c>
      <c r="K503" s="16">
        <f t="shared" si="23"/>
        <v>29999999.999999996</v>
      </c>
    </row>
    <row r="504" spans="1:11">
      <c r="A504">
        <v>1</v>
      </c>
      <c r="B504" t="s">
        <v>15</v>
      </c>
      <c r="C504" s="19">
        <v>21.5</v>
      </c>
      <c r="D504" s="19" t="s">
        <v>16</v>
      </c>
      <c r="E504" s="19">
        <v>9</v>
      </c>
      <c r="F504" s="19">
        <v>29</v>
      </c>
      <c r="G504" s="19">
        <v>28</v>
      </c>
      <c r="H504" s="20">
        <v>1.0000000000000001E-5</v>
      </c>
      <c r="I504">
        <f t="shared" si="24"/>
        <v>28.5</v>
      </c>
      <c r="J504">
        <v>10</v>
      </c>
      <c r="K504" s="16">
        <f t="shared" si="23"/>
        <v>285000000</v>
      </c>
    </row>
    <row r="505" spans="1:11">
      <c r="A505">
        <v>1</v>
      </c>
      <c r="B505" t="s">
        <v>15</v>
      </c>
      <c r="C505" s="19">
        <v>21.5</v>
      </c>
      <c r="D505" s="19" t="s">
        <v>16</v>
      </c>
      <c r="E505" s="19">
        <v>10</v>
      </c>
      <c r="F505" s="19">
        <v>15</v>
      </c>
      <c r="G505" s="19">
        <v>13</v>
      </c>
      <c r="H505" s="20">
        <v>1E-3</v>
      </c>
      <c r="I505">
        <f t="shared" si="24"/>
        <v>14</v>
      </c>
      <c r="J505">
        <v>10</v>
      </c>
      <c r="K505" s="16">
        <f t="shared" si="23"/>
        <v>1400000</v>
      </c>
    </row>
    <row r="506" spans="1:11">
      <c r="A506">
        <v>1</v>
      </c>
      <c r="B506" t="s">
        <v>15</v>
      </c>
      <c r="C506" s="19">
        <v>22</v>
      </c>
      <c r="D506" s="19" t="s">
        <v>16</v>
      </c>
      <c r="E506" s="19" t="s">
        <v>19</v>
      </c>
      <c r="F506" s="19">
        <v>4</v>
      </c>
      <c r="G506" s="19">
        <v>1</v>
      </c>
      <c r="H506" s="20">
        <v>9.9999999999999995E-7</v>
      </c>
      <c r="I506">
        <f t="shared" si="24"/>
        <v>2.5</v>
      </c>
      <c r="J506">
        <v>10</v>
      </c>
      <c r="K506" s="16">
        <f t="shared" si="23"/>
        <v>250000000</v>
      </c>
    </row>
    <row r="507" spans="1:11">
      <c r="A507">
        <v>1</v>
      </c>
      <c r="B507" t="s">
        <v>15</v>
      </c>
      <c r="C507" s="19">
        <v>22</v>
      </c>
      <c r="D507" s="19" t="s">
        <v>16</v>
      </c>
      <c r="E507" s="19" t="s">
        <v>20</v>
      </c>
      <c r="F507" s="19">
        <v>8</v>
      </c>
      <c r="G507" s="19">
        <v>3</v>
      </c>
      <c r="H507" s="20">
        <v>9.9999999999999995E-7</v>
      </c>
      <c r="I507">
        <f t="shared" si="24"/>
        <v>5.5</v>
      </c>
      <c r="J507">
        <v>10</v>
      </c>
      <c r="K507" s="16">
        <f t="shared" si="23"/>
        <v>550000000</v>
      </c>
    </row>
    <row r="508" spans="1:11">
      <c r="A508">
        <v>1</v>
      </c>
      <c r="B508" t="s">
        <v>15</v>
      </c>
      <c r="C508" s="19">
        <v>22</v>
      </c>
      <c r="D508" s="19" t="s">
        <v>16</v>
      </c>
      <c r="E508" s="19" t="s">
        <v>21</v>
      </c>
      <c r="F508" s="19">
        <v>6</v>
      </c>
      <c r="G508" s="19">
        <v>5</v>
      </c>
      <c r="H508" s="20">
        <v>9.9999999999999995E-7</v>
      </c>
      <c r="I508">
        <f t="shared" si="24"/>
        <v>5.5</v>
      </c>
      <c r="J508">
        <v>10</v>
      </c>
      <c r="K508" s="16">
        <f t="shared" si="23"/>
        <v>550000000</v>
      </c>
    </row>
    <row r="509" spans="1:11">
      <c r="A509">
        <v>1</v>
      </c>
      <c r="B509" t="s">
        <v>15</v>
      </c>
      <c r="C509" s="19">
        <v>22</v>
      </c>
      <c r="D509" s="19" t="s">
        <v>16</v>
      </c>
      <c r="E509" s="19" t="s">
        <v>22</v>
      </c>
      <c r="F509" s="19">
        <v>4</v>
      </c>
      <c r="G509" s="19">
        <v>6</v>
      </c>
      <c r="H509" s="20">
        <v>9.9999999999999995E-7</v>
      </c>
      <c r="I509">
        <f t="shared" si="24"/>
        <v>5</v>
      </c>
      <c r="J509">
        <v>10</v>
      </c>
      <c r="K509" s="16">
        <f t="shared" si="23"/>
        <v>500000000</v>
      </c>
    </row>
    <row r="510" spans="1:11">
      <c r="A510">
        <v>1</v>
      </c>
      <c r="B510" t="s">
        <v>15</v>
      </c>
      <c r="C510" s="19">
        <v>22</v>
      </c>
      <c r="D510" s="19" t="s">
        <v>16</v>
      </c>
      <c r="E510" s="19">
        <v>1</v>
      </c>
      <c r="F510" s="19">
        <v>3</v>
      </c>
      <c r="G510" s="19">
        <v>10</v>
      </c>
      <c r="H510" s="20">
        <v>9.9999999999999995E-7</v>
      </c>
      <c r="I510">
        <f t="shared" si="24"/>
        <v>6.5</v>
      </c>
      <c r="J510">
        <v>10</v>
      </c>
      <c r="K510" s="16">
        <f t="shared" si="23"/>
        <v>650000000</v>
      </c>
    </row>
    <row r="511" spans="1:11">
      <c r="A511">
        <v>1</v>
      </c>
      <c r="B511" t="s">
        <v>15</v>
      </c>
      <c r="C511" s="19">
        <v>22</v>
      </c>
      <c r="D511" s="19" t="s">
        <v>16</v>
      </c>
      <c r="E511" s="19">
        <v>2</v>
      </c>
      <c r="F511" s="19">
        <v>8</v>
      </c>
      <c r="G511" s="19">
        <v>11</v>
      </c>
      <c r="H511" s="20">
        <v>9.9999999999999995E-7</v>
      </c>
      <c r="I511">
        <f t="shared" si="24"/>
        <v>9.5</v>
      </c>
      <c r="J511">
        <v>10</v>
      </c>
      <c r="K511" s="16">
        <f t="shared" si="23"/>
        <v>950000000</v>
      </c>
    </row>
    <row r="512" spans="1:11">
      <c r="A512">
        <v>1</v>
      </c>
      <c r="B512" t="s">
        <v>15</v>
      </c>
      <c r="C512" s="19">
        <v>22</v>
      </c>
      <c r="D512" s="19" t="s">
        <v>16</v>
      </c>
      <c r="E512" s="19">
        <v>3</v>
      </c>
      <c r="F512" s="19">
        <v>4</v>
      </c>
      <c r="G512" s="19">
        <v>6</v>
      </c>
      <c r="H512" s="20">
        <v>9.9999999999999995E-7</v>
      </c>
      <c r="I512">
        <f t="shared" si="24"/>
        <v>5</v>
      </c>
      <c r="J512">
        <v>10</v>
      </c>
      <c r="K512" s="16">
        <f t="shared" si="23"/>
        <v>500000000</v>
      </c>
    </row>
    <row r="513" spans="1:11">
      <c r="A513">
        <v>1</v>
      </c>
      <c r="B513" t="s">
        <v>15</v>
      </c>
      <c r="C513" s="19">
        <v>22</v>
      </c>
      <c r="D513" s="19" t="s">
        <v>16</v>
      </c>
      <c r="E513" s="19">
        <v>4</v>
      </c>
      <c r="F513" s="19">
        <v>5</v>
      </c>
      <c r="G513" s="19">
        <v>9</v>
      </c>
      <c r="H513" s="20">
        <v>9.9999999999999995E-7</v>
      </c>
      <c r="I513">
        <f t="shared" si="24"/>
        <v>7</v>
      </c>
      <c r="J513">
        <v>10</v>
      </c>
      <c r="K513" s="16">
        <f t="shared" si="23"/>
        <v>700000000</v>
      </c>
    </row>
    <row r="514" spans="1:11">
      <c r="A514">
        <v>1</v>
      </c>
      <c r="B514" t="s">
        <v>15</v>
      </c>
      <c r="C514" s="19">
        <v>22</v>
      </c>
      <c r="D514" s="19" t="s">
        <v>16</v>
      </c>
      <c r="E514" s="19">
        <v>5</v>
      </c>
      <c r="F514" s="19">
        <v>8</v>
      </c>
      <c r="G514" s="19">
        <v>14</v>
      </c>
      <c r="H514" s="20">
        <v>9.9999999999999995E-7</v>
      </c>
      <c r="I514">
        <f t="shared" si="24"/>
        <v>11</v>
      </c>
      <c r="J514">
        <v>10</v>
      </c>
      <c r="K514" s="16">
        <f t="shared" si="23"/>
        <v>1100000000</v>
      </c>
    </row>
    <row r="515" spans="1:11">
      <c r="A515">
        <v>1</v>
      </c>
      <c r="B515" t="s">
        <v>15</v>
      </c>
      <c r="C515" s="19">
        <v>22</v>
      </c>
      <c r="D515" s="19" t="s">
        <v>16</v>
      </c>
      <c r="E515" s="19">
        <v>6</v>
      </c>
      <c r="F515" s="19">
        <v>11</v>
      </c>
      <c r="G515" s="19">
        <v>9</v>
      </c>
      <c r="H515" s="20">
        <v>9.9999999999999995E-7</v>
      </c>
      <c r="I515">
        <f t="shared" si="24"/>
        <v>10</v>
      </c>
      <c r="J515">
        <v>10</v>
      </c>
      <c r="K515" s="16">
        <f t="shared" si="23"/>
        <v>1000000000</v>
      </c>
    </row>
    <row r="516" spans="1:11">
      <c r="A516">
        <v>1</v>
      </c>
      <c r="B516" t="s">
        <v>15</v>
      </c>
      <c r="C516" s="19">
        <v>22</v>
      </c>
      <c r="D516" s="19" t="s">
        <v>16</v>
      </c>
      <c r="E516" s="19">
        <v>7</v>
      </c>
      <c r="F516" s="19">
        <v>5</v>
      </c>
      <c r="G516" s="19">
        <v>3</v>
      </c>
      <c r="H516" s="20">
        <v>9.9999999999999995E-7</v>
      </c>
      <c r="I516">
        <f t="shared" si="24"/>
        <v>4</v>
      </c>
      <c r="J516">
        <v>10</v>
      </c>
      <c r="K516" s="16">
        <f t="shared" si="23"/>
        <v>400000000</v>
      </c>
    </row>
    <row r="517" spans="1:11">
      <c r="A517">
        <v>1</v>
      </c>
      <c r="B517" t="s">
        <v>15</v>
      </c>
      <c r="C517" s="19">
        <v>22</v>
      </c>
      <c r="D517" s="19" t="s">
        <v>16</v>
      </c>
      <c r="E517" s="19">
        <v>8</v>
      </c>
      <c r="F517" s="19">
        <v>7</v>
      </c>
      <c r="G517" s="19">
        <v>8</v>
      </c>
      <c r="H517" s="20">
        <v>9.9999999999999995E-7</v>
      </c>
      <c r="I517">
        <f t="shared" si="24"/>
        <v>7.5</v>
      </c>
      <c r="J517">
        <v>10</v>
      </c>
      <c r="K517" s="16">
        <f t="shared" si="23"/>
        <v>750000000</v>
      </c>
    </row>
    <row r="518" spans="1:11">
      <c r="A518">
        <v>1</v>
      </c>
      <c r="B518" t="s">
        <v>15</v>
      </c>
      <c r="C518" s="19">
        <v>22</v>
      </c>
      <c r="D518" s="19" t="s">
        <v>16</v>
      </c>
      <c r="E518" s="19">
        <v>9</v>
      </c>
      <c r="F518" s="19">
        <v>9</v>
      </c>
      <c r="G518" s="19">
        <v>6</v>
      </c>
      <c r="H518" s="20">
        <v>9.9999999999999995E-7</v>
      </c>
      <c r="I518">
        <f t="shared" si="24"/>
        <v>7.5</v>
      </c>
      <c r="J518">
        <v>10</v>
      </c>
      <c r="K518" s="16">
        <f t="shared" si="23"/>
        <v>750000000</v>
      </c>
    </row>
    <row r="519" spans="1:11">
      <c r="A519">
        <v>1</v>
      </c>
      <c r="B519" t="s">
        <v>15</v>
      </c>
      <c r="C519" s="19">
        <v>22</v>
      </c>
      <c r="D519" s="19" t="s">
        <v>16</v>
      </c>
      <c r="E519" s="19">
        <v>10</v>
      </c>
      <c r="F519" s="19">
        <v>8</v>
      </c>
      <c r="G519" s="19">
        <v>9</v>
      </c>
      <c r="H519" s="20">
        <v>9.9999999999999995E-7</v>
      </c>
      <c r="I519">
        <f t="shared" si="24"/>
        <v>8.5</v>
      </c>
      <c r="J519">
        <v>10</v>
      </c>
      <c r="K519" s="16">
        <f t="shared" si="23"/>
        <v>850000000</v>
      </c>
    </row>
    <row r="520" spans="1:11">
      <c r="A520">
        <v>1</v>
      </c>
      <c r="B520" t="s">
        <v>15</v>
      </c>
      <c r="C520" s="19">
        <v>22.5</v>
      </c>
      <c r="D520" s="19" t="s">
        <v>16</v>
      </c>
      <c r="E520" s="19">
        <v>1</v>
      </c>
      <c r="F520" s="21">
        <v>15</v>
      </c>
      <c r="G520" s="21">
        <v>17</v>
      </c>
      <c r="H520" s="22">
        <v>1.0000000000000001E-5</v>
      </c>
      <c r="I520">
        <f t="shared" ref="I520:I548" si="25">AVERAGE(F520:G520)</f>
        <v>16</v>
      </c>
      <c r="J520">
        <v>10</v>
      </c>
      <c r="K520" s="16">
        <f t="shared" si="23"/>
        <v>160000000</v>
      </c>
    </row>
    <row r="521" spans="1:11">
      <c r="A521">
        <v>1</v>
      </c>
      <c r="B521" t="s">
        <v>15</v>
      </c>
      <c r="C521" s="19">
        <v>22.5</v>
      </c>
      <c r="D521" s="19" t="s">
        <v>16</v>
      </c>
      <c r="E521" s="19">
        <v>2</v>
      </c>
      <c r="F521" s="19">
        <v>21</v>
      </c>
      <c r="G521" s="19">
        <v>15</v>
      </c>
      <c r="H521" s="20">
        <v>1.0000000000000001E-5</v>
      </c>
      <c r="I521">
        <f t="shared" si="25"/>
        <v>18</v>
      </c>
      <c r="J521">
        <v>10</v>
      </c>
      <c r="K521" s="16">
        <f t="shared" si="23"/>
        <v>179999999.99999997</v>
      </c>
    </row>
    <row r="522" spans="1:11">
      <c r="A522">
        <v>1</v>
      </c>
      <c r="B522" t="s">
        <v>15</v>
      </c>
      <c r="C522" s="19">
        <v>22.5</v>
      </c>
      <c r="D522" s="19" t="s">
        <v>16</v>
      </c>
      <c r="E522" s="19">
        <v>3</v>
      </c>
      <c r="F522" s="19">
        <v>11</v>
      </c>
      <c r="G522" s="19">
        <v>14</v>
      </c>
      <c r="H522" s="20">
        <v>1.0000000000000001E-5</v>
      </c>
      <c r="I522">
        <f t="shared" si="25"/>
        <v>12.5</v>
      </c>
      <c r="J522">
        <v>10</v>
      </c>
      <c r="K522" s="16">
        <f t="shared" si="23"/>
        <v>124999999.99999999</v>
      </c>
    </row>
    <row r="523" spans="1:11">
      <c r="A523">
        <v>1</v>
      </c>
      <c r="B523" t="s">
        <v>15</v>
      </c>
      <c r="C523" s="19">
        <v>22.5</v>
      </c>
      <c r="D523" s="19" t="s">
        <v>16</v>
      </c>
      <c r="E523" s="19">
        <v>4</v>
      </c>
      <c r="F523" s="19">
        <v>9</v>
      </c>
      <c r="G523" s="19">
        <v>13</v>
      </c>
      <c r="H523" s="20">
        <v>9.9999999999999995E-7</v>
      </c>
      <c r="I523">
        <f t="shared" si="25"/>
        <v>11</v>
      </c>
      <c r="J523">
        <v>10</v>
      </c>
      <c r="K523" s="16">
        <f t="shared" si="23"/>
        <v>1100000000</v>
      </c>
    </row>
    <row r="524" spans="1:11">
      <c r="A524">
        <v>1</v>
      </c>
      <c r="B524" t="s">
        <v>15</v>
      </c>
      <c r="C524" s="19">
        <v>22.5</v>
      </c>
      <c r="D524" s="19" t="s">
        <v>16</v>
      </c>
      <c r="E524" s="19">
        <v>5</v>
      </c>
      <c r="F524" s="19">
        <v>10</v>
      </c>
      <c r="G524" s="19">
        <v>4</v>
      </c>
      <c r="H524" s="20">
        <v>1.0000000000000001E-5</v>
      </c>
      <c r="I524">
        <f t="shared" si="25"/>
        <v>7</v>
      </c>
      <c r="J524">
        <v>10</v>
      </c>
      <c r="K524" s="16">
        <f t="shared" si="23"/>
        <v>70000000</v>
      </c>
    </row>
    <row r="525" spans="1:11">
      <c r="A525">
        <v>1</v>
      </c>
      <c r="B525" t="s">
        <v>15</v>
      </c>
      <c r="C525" s="19">
        <v>22.5</v>
      </c>
      <c r="D525" s="19" t="s">
        <v>16</v>
      </c>
      <c r="E525" s="19">
        <v>6</v>
      </c>
      <c r="F525" s="19">
        <v>29</v>
      </c>
      <c r="G525" s="19">
        <v>18</v>
      </c>
      <c r="H525" s="20">
        <v>1.0000000000000001E-5</v>
      </c>
      <c r="I525">
        <f t="shared" si="25"/>
        <v>23.5</v>
      </c>
      <c r="J525">
        <v>10</v>
      </c>
      <c r="K525" s="16">
        <f t="shared" si="23"/>
        <v>234999999.99999997</v>
      </c>
    </row>
    <row r="526" spans="1:11">
      <c r="A526">
        <v>1</v>
      </c>
      <c r="B526" t="s">
        <v>15</v>
      </c>
      <c r="C526" s="19">
        <v>22.5</v>
      </c>
      <c r="D526" s="19" t="s">
        <v>16</v>
      </c>
      <c r="E526" s="19">
        <v>7</v>
      </c>
      <c r="F526" s="19">
        <v>11</v>
      </c>
      <c r="G526" s="19">
        <v>7</v>
      </c>
      <c r="H526" s="20">
        <v>1.0000000000000001E-5</v>
      </c>
      <c r="I526">
        <f t="shared" si="25"/>
        <v>9</v>
      </c>
      <c r="J526">
        <v>10</v>
      </c>
      <c r="K526" s="16">
        <f t="shared" si="23"/>
        <v>89999999.999999985</v>
      </c>
    </row>
    <row r="527" spans="1:11">
      <c r="A527">
        <v>1</v>
      </c>
      <c r="B527" t="s">
        <v>15</v>
      </c>
      <c r="C527" s="19">
        <v>22.5</v>
      </c>
      <c r="D527" s="19" t="s">
        <v>16</v>
      </c>
      <c r="E527" s="19">
        <v>8</v>
      </c>
      <c r="F527" s="19">
        <v>9</v>
      </c>
      <c r="G527" s="19">
        <v>16</v>
      </c>
      <c r="H527" s="20">
        <v>1.0000000000000001E-5</v>
      </c>
      <c r="I527">
        <f t="shared" si="25"/>
        <v>12.5</v>
      </c>
      <c r="J527">
        <v>10</v>
      </c>
      <c r="K527" s="16">
        <f t="shared" si="23"/>
        <v>124999999.99999999</v>
      </c>
    </row>
    <row r="528" spans="1:11">
      <c r="A528">
        <v>1</v>
      </c>
      <c r="B528" t="s">
        <v>15</v>
      </c>
      <c r="C528" s="19">
        <v>22.5</v>
      </c>
      <c r="D528" s="19" t="s">
        <v>16</v>
      </c>
      <c r="E528" s="19">
        <v>9</v>
      </c>
      <c r="F528" s="19">
        <v>16</v>
      </c>
      <c r="G528" s="19">
        <v>7</v>
      </c>
      <c r="H528" s="20">
        <v>1.0000000000000001E-5</v>
      </c>
      <c r="I528">
        <f t="shared" si="25"/>
        <v>11.5</v>
      </c>
      <c r="J528">
        <v>10</v>
      </c>
      <c r="K528" s="16">
        <f t="shared" si="23"/>
        <v>114999999.99999999</v>
      </c>
    </row>
    <row r="529" spans="1:11">
      <c r="A529">
        <v>1</v>
      </c>
      <c r="B529" t="s">
        <v>15</v>
      </c>
      <c r="C529" s="19">
        <v>22.5</v>
      </c>
      <c r="D529" s="19" t="s">
        <v>16</v>
      </c>
      <c r="E529" s="19">
        <v>10</v>
      </c>
      <c r="F529" s="19">
        <v>6</v>
      </c>
      <c r="G529" s="19">
        <v>3</v>
      </c>
      <c r="H529" s="20">
        <v>1.0000000000000001E-5</v>
      </c>
      <c r="I529">
        <f t="shared" si="25"/>
        <v>4.5</v>
      </c>
      <c r="J529">
        <v>10</v>
      </c>
      <c r="K529" s="16">
        <f t="shared" si="23"/>
        <v>44999999.999999993</v>
      </c>
    </row>
    <row r="530" spans="1:11">
      <c r="A530">
        <v>1</v>
      </c>
      <c r="B530" t="s">
        <v>15</v>
      </c>
      <c r="C530" s="19">
        <v>23</v>
      </c>
      <c r="D530" s="19" t="s">
        <v>16</v>
      </c>
      <c r="E530" s="19" t="s">
        <v>19</v>
      </c>
      <c r="F530" s="19">
        <v>9</v>
      </c>
      <c r="G530" s="19">
        <v>7</v>
      </c>
      <c r="H530" s="20">
        <v>9.9999999999999995E-7</v>
      </c>
      <c r="I530">
        <f t="shared" si="25"/>
        <v>8</v>
      </c>
      <c r="J530">
        <v>10</v>
      </c>
      <c r="K530" s="16">
        <f t="shared" si="23"/>
        <v>800000000</v>
      </c>
    </row>
    <row r="531" spans="1:11">
      <c r="A531">
        <v>1</v>
      </c>
      <c r="B531" t="s">
        <v>15</v>
      </c>
      <c r="C531" s="19">
        <v>23</v>
      </c>
      <c r="D531" s="19" t="s">
        <v>16</v>
      </c>
      <c r="E531" s="19" t="s">
        <v>20</v>
      </c>
      <c r="F531" s="19">
        <v>8</v>
      </c>
      <c r="G531" s="19">
        <v>2</v>
      </c>
      <c r="H531" s="20">
        <v>9.9999999999999995E-7</v>
      </c>
      <c r="I531">
        <f t="shared" si="25"/>
        <v>5</v>
      </c>
      <c r="J531">
        <v>10</v>
      </c>
      <c r="K531" s="16">
        <f t="shared" ref="K531:K594" si="26">I531/(H531*(J531/1000))</f>
        <v>500000000</v>
      </c>
    </row>
    <row r="532" spans="1:11">
      <c r="A532">
        <v>1</v>
      </c>
      <c r="B532" t="s">
        <v>15</v>
      </c>
      <c r="C532" s="19">
        <v>23</v>
      </c>
      <c r="D532" s="19" t="s">
        <v>16</v>
      </c>
      <c r="E532" s="19" t="s">
        <v>21</v>
      </c>
      <c r="F532" s="19">
        <v>5</v>
      </c>
      <c r="G532" s="19">
        <v>3</v>
      </c>
      <c r="H532" s="20">
        <v>9.9999999999999995E-7</v>
      </c>
      <c r="I532">
        <f t="shared" si="25"/>
        <v>4</v>
      </c>
      <c r="J532">
        <v>10</v>
      </c>
      <c r="K532" s="16">
        <f t="shared" si="26"/>
        <v>400000000</v>
      </c>
    </row>
    <row r="533" spans="1:11">
      <c r="A533">
        <v>1</v>
      </c>
      <c r="B533" t="s">
        <v>15</v>
      </c>
      <c r="C533" s="19">
        <v>23</v>
      </c>
      <c r="D533" s="19" t="s">
        <v>16</v>
      </c>
      <c r="E533" s="19" t="s">
        <v>22</v>
      </c>
      <c r="F533" s="19">
        <v>6</v>
      </c>
      <c r="G533" s="19">
        <v>8</v>
      </c>
      <c r="H533" s="20">
        <v>9.9999999999999995E-7</v>
      </c>
      <c r="I533">
        <f t="shared" si="25"/>
        <v>7</v>
      </c>
      <c r="J533">
        <v>10</v>
      </c>
      <c r="K533" s="16">
        <f t="shared" si="26"/>
        <v>700000000</v>
      </c>
    </row>
    <row r="534" spans="1:11">
      <c r="A534">
        <v>1</v>
      </c>
      <c r="B534" t="s">
        <v>15</v>
      </c>
      <c r="C534" s="19">
        <v>23</v>
      </c>
      <c r="D534" s="19" t="s">
        <v>16</v>
      </c>
      <c r="E534" s="19">
        <v>1</v>
      </c>
      <c r="F534" s="19">
        <v>2</v>
      </c>
      <c r="G534" s="19">
        <v>8</v>
      </c>
      <c r="H534" s="20">
        <v>9.9999999999999995E-7</v>
      </c>
      <c r="I534">
        <f t="shared" si="25"/>
        <v>5</v>
      </c>
      <c r="J534">
        <v>10</v>
      </c>
      <c r="K534" s="16">
        <f t="shared" si="26"/>
        <v>500000000</v>
      </c>
    </row>
    <row r="535" spans="1:11">
      <c r="A535">
        <v>1</v>
      </c>
      <c r="B535" t="s">
        <v>15</v>
      </c>
      <c r="C535" s="19">
        <v>23</v>
      </c>
      <c r="D535" s="19" t="s">
        <v>16</v>
      </c>
      <c r="E535" s="19">
        <v>2</v>
      </c>
      <c r="F535" s="19">
        <v>8</v>
      </c>
      <c r="G535" s="19">
        <v>6</v>
      </c>
      <c r="H535" s="20">
        <v>9.9999999999999995E-7</v>
      </c>
      <c r="I535">
        <f t="shared" si="25"/>
        <v>7</v>
      </c>
      <c r="J535">
        <v>10</v>
      </c>
      <c r="K535" s="16">
        <f t="shared" si="26"/>
        <v>700000000</v>
      </c>
    </row>
    <row r="536" spans="1:11">
      <c r="A536">
        <v>1</v>
      </c>
      <c r="B536" t="s">
        <v>15</v>
      </c>
      <c r="C536" s="19">
        <v>23</v>
      </c>
      <c r="D536" s="19" t="s">
        <v>16</v>
      </c>
      <c r="E536" s="19">
        <v>3</v>
      </c>
      <c r="F536" s="19">
        <v>8</v>
      </c>
      <c r="G536" s="19">
        <v>10</v>
      </c>
      <c r="H536" s="20">
        <v>9.9999999999999995E-7</v>
      </c>
      <c r="I536">
        <f t="shared" si="25"/>
        <v>9</v>
      </c>
      <c r="J536">
        <v>10</v>
      </c>
      <c r="K536" s="16">
        <f t="shared" si="26"/>
        <v>900000000</v>
      </c>
    </row>
    <row r="537" spans="1:11">
      <c r="A537">
        <v>1</v>
      </c>
      <c r="B537" t="s">
        <v>15</v>
      </c>
      <c r="C537" s="19">
        <v>23</v>
      </c>
      <c r="D537" s="19" t="s">
        <v>16</v>
      </c>
      <c r="E537" s="19">
        <v>4</v>
      </c>
      <c r="F537" s="19">
        <v>3</v>
      </c>
      <c r="G537" s="19">
        <v>3</v>
      </c>
      <c r="H537" s="20">
        <v>9.9999999999999995E-7</v>
      </c>
      <c r="I537">
        <f t="shared" si="25"/>
        <v>3</v>
      </c>
      <c r="J537">
        <v>10</v>
      </c>
      <c r="K537" s="16">
        <f t="shared" si="26"/>
        <v>300000000</v>
      </c>
    </row>
    <row r="538" spans="1:11">
      <c r="A538">
        <v>1</v>
      </c>
      <c r="B538" t="s">
        <v>15</v>
      </c>
      <c r="C538" s="19">
        <v>23</v>
      </c>
      <c r="D538" s="19" t="s">
        <v>16</v>
      </c>
      <c r="E538" s="19">
        <v>5</v>
      </c>
      <c r="F538" s="19">
        <v>12</v>
      </c>
      <c r="G538" s="19">
        <v>7</v>
      </c>
      <c r="H538" s="20">
        <v>9.9999999999999995E-7</v>
      </c>
      <c r="I538">
        <f t="shared" si="25"/>
        <v>9.5</v>
      </c>
      <c r="J538">
        <v>10</v>
      </c>
      <c r="K538" s="16">
        <f t="shared" si="26"/>
        <v>950000000</v>
      </c>
    </row>
    <row r="539" spans="1:11">
      <c r="A539">
        <v>1</v>
      </c>
      <c r="B539" t="s">
        <v>15</v>
      </c>
      <c r="C539" s="19">
        <v>23</v>
      </c>
      <c r="D539" s="19" t="s">
        <v>16</v>
      </c>
      <c r="E539" s="19">
        <v>6</v>
      </c>
      <c r="F539" s="19">
        <v>13</v>
      </c>
      <c r="G539" s="19">
        <v>6</v>
      </c>
      <c r="H539" s="20">
        <v>9.9999999999999995E-7</v>
      </c>
      <c r="I539">
        <f t="shared" si="25"/>
        <v>9.5</v>
      </c>
      <c r="J539">
        <v>10</v>
      </c>
      <c r="K539" s="16">
        <f t="shared" si="26"/>
        <v>950000000</v>
      </c>
    </row>
    <row r="540" spans="1:11">
      <c r="A540">
        <v>1</v>
      </c>
      <c r="B540" t="s">
        <v>15</v>
      </c>
      <c r="C540" s="19">
        <v>23</v>
      </c>
      <c r="D540" s="19" t="s">
        <v>16</v>
      </c>
      <c r="E540" s="19">
        <v>7</v>
      </c>
      <c r="F540" s="19">
        <v>8</v>
      </c>
      <c r="G540" s="19">
        <v>5</v>
      </c>
      <c r="H540" s="20">
        <v>9.9999999999999995E-7</v>
      </c>
      <c r="I540">
        <f t="shared" si="25"/>
        <v>6.5</v>
      </c>
      <c r="J540">
        <v>10</v>
      </c>
      <c r="K540" s="16">
        <f t="shared" si="26"/>
        <v>650000000</v>
      </c>
    </row>
    <row r="541" spans="1:11">
      <c r="A541">
        <v>1</v>
      </c>
      <c r="B541" t="s">
        <v>15</v>
      </c>
      <c r="C541" s="19">
        <v>23</v>
      </c>
      <c r="D541" s="19" t="s">
        <v>16</v>
      </c>
      <c r="E541" s="19">
        <v>8</v>
      </c>
      <c r="F541" s="19">
        <v>5</v>
      </c>
      <c r="G541" s="19">
        <v>11</v>
      </c>
      <c r="H541" s="20">
        <v>9.9999999999999995E-7</v>
      </c>
      <c r="I541">
        <f t="shared" si="25"/>
        <v>8</v>
      </c>
      <c r="J541">
        <v>10</v>
      </c>
      <c r="K541" s="16">
        <f t="shared" si="26"/>
        <v>800000000</v>
      </c>
    </row>
    <row r="542" spans="1:11">
      <c r="A542">
        <v>1</v>
      </c>
      <c r="B542" t="s">
        <v>15</v>
      </c>
      <c r="C542" s="19">
        <v>23</v>
      </c>
      <c r="D542" s="19" t="s">
        <v>16</v>
      </c>
      <c r="E542" s="19">
        <v>9</v>
      </c>
      <c r="F542" s="19">
        <v>9</v>
      </c>
      <c r="G542" s="19">
        <v>7</v>
      </c>
      <c r="H542" s="20">
        <v>9.9999999999999995E-7</v>
      </c>
      <c r="I542">
        <f t="shared" si="25"/>
        <v>8</v>
      </c>
      <c r="J542">
        <v>10</v>
      </c>
      <c r="K542" s="16">
        <f t="shared" si="26"/>
        <v>800000000</v>
      </c>
    </row>
    <row r="543" spans="1:11">
      <c r="A543">
        <v>1</v>
      </c>
      <c r="B543" t="s">
        <v>15</v>
      </c>
      <c r="C543" s="19">
        <v>23</v>
      </c>
      <c r="D543" s="19" t="s">
        <v>16</v>
      </c>
      <c r="E543" s="19">
        <v>10</v>
      </c>
      <c r="F543" s="19">
        <v>6</v>
      </c>
      <c r="G543" s="19">
        <v>6</v>
      </c>
      <c r="H543" s="20">
        <v>9.9999999999999995E-7</v>
      </c>
      <c r="I543">
        <f t="shared" si="25"/>
        <v>6</v>
      </c>
      <c r="J543">
        <v>10</v>
      </c>
      <c r="K543" s="16">
        <f t="shared" si="26"/>
        <v>600000000</v>
      </c>
    </row>
    <row r="544" spans="1:11">
      <c r="A544">
        <v>1</v>
      </c>
      <c r="B544" t="s">
        <v>15</v>
      </c>
      <c r="C544" s="19">
        <v>23.5</v>
      </c>
      <c r="D544" s="19" t="s">
        <v>16</v>
      </c>
      <c r="E544" s="19">
        <v>1</v>
      </c>
      <c r="F544" s="21">
        <v>15</v>
      </c>
      <c r="G544" s="21">
        <v>20</v>
      </c>
      <c r="H544" s="20">
        <v>1.0000000000000001E-5</v>
      </c>
      <c r="I544">
        <f t="shared" si="25"/>
        <v>17.5</v>
      </c>
      <c r="J544">
        <v>10</v>
      </c>
      <c r="K544" s="16">
        <f t="shared" si="26"/>
        <v>174999999.99999997</v>
      </c>
    </row>
    <row r="545" spans="1:11">
      <c r="A545">
        <v>1</v>
      </c>
      <c r="B545" t="s">
        <v>15</v>
      </c>
      <c r="C545" s="19">
        <v>23.5</v>
      </c>
      <c r="D545" s="19" t="s">
        <v>16</v>
      </c>
      <c r="E545" s="19">
        <v>2</v>
      </c>
      <c r="F545" s="19">
        <v>12</v>
      </c>
      <c r="G545" s="19">
        <v>8</v>
      </c>
      <c r="H545" s="20">
        <v>1E-4</v>
      </c>
      <c r="I545">
        <f t="shared" si="25"/>
        <v>10</v>
      </c>
      <c r="J545">
        <v>10</v>
      </c>
      <c r="K545" s="16">
        <f t="shared" si="26"/>
        <v>9999999.9999999981</v>
      </c>
    </row>
    <row r="546" spans="1:11">
      <c r="A546">
        <v>1</v>
      </c>
      <c r="B546" t="s">
        <v>15</v>
      </c>
      <c r="C546" s="19">
        <v>23.5</v>
      </c>
      <c r="D546" s="19" t="s">
        <v>16</v>
      </c>
      <c r="E546" s="19">
        <v>3</v>
      </c>
      <c r="F546" s="19">
        <v>21</v>
      </c>
      <c r="G546" s="19">
        <v>25</v>
      </c>
      <c r="H546" s="20">
        <v>1.0000000000000001E-5</v>
      </c>
      <c r="I546">
        <f t="shared" si="25"/>
        <v>23</v>
      </c>
      <c r="J546">
        <v>10</v>
      </c>
      <c r="K546" s="16">
        <f t="shared" si="26"/>
        <v>229999999.99999997</v>
      </c>
    </row>
    <row r="547" spans="1:11">
      <c r="A547">
        <v>1</v>
      </c>
      <c r="B547" t="s">
        <v>15</v>
      </c>
      <c r="C547" s="19">
        <v>23.5</v>
      </c>
      <c r="D547" s="19" t="s">
        <v>16</v>
      </c>
      <c r="E547" s="19">
        <v>4</v>
      </c>
      <c r="F547" s="19">
        <v>12</v>
      </c>
      <c r="G547" s="19">
        <v>11</v>
      </c>
      <c r="H547" s="20">
        <v>1.0000000000000001E-5</v>
      </c>
      <c r="I547">
        <f t="shared" si="25"/>
        <v>11.5</v>
      </c>
      <c r="J547">
        <v>10</v>
      </c>
      <c r="K547" s="16">
        <f t="shared" si="26"/>
        <v>114999999.99999999</v>
      </c>
    </row>
    <row r="548" spans="1:11">
      <c r="A548">
        <v>1</v>
      </c>
      <c r="B548" t="s">
        <v>15</v>
      </c>
      <c r="C548" s="19">
        <v>23.5</v>
      </c>
      <c r="D548" s="19" t="s">
        <v>16</v>
      </c>
      <c r="E548" s="19">
        <v>5</v>
      </c>
      <c r="F548" s="19">
        <v>10</v>
      </c>
      <c r="G548" s="19">
        <v>9</v>
      </c>
      <c r="H548" s="20">
        <v>1E-4</v>
      </c>
      <c r="I548">
        <f t="shared" si="25"/>
        <v>9.5</v>
      </c>
      <c r="J548">
        <v>10</v>
      </c>
      <c r="K548" s="16">
        <f t="shared" si="26"/>
        <v>9499999.9999999981</v>
      </c>
    </row>
    <row r="549" spans="1:11">
      <c r="A549">
        <v>1</v>
      </c>
      <c r="B549" t="s">
        <v>15</v>
      </c>
      <c r="C549" s="19">
        <v>23.5</v>
      </c>
      <c r="D549" s="19" t="s">
        <v>16</v>
      </c>
      <c r="E549" s="19">
        <v>6</v>
      </c>
      <c r="F549" s="19">
        <v>3</v>
      </c>
      <c r="G549" s="19">
        <v>5</v>
      </c>
      <c r="H549" s="20">
        <v>1.0000000000000001E-5</v>
      </c>
      <c r="I549">
        <f t="shared" ref="I549:I578" si="27">AVERAGE(F549:G549)</f>
        <v>4</v>
      </c>
      <c r="J549">
        <v>10</v>
      </c>
      <c r="K549" s="16">
        <f t="shared" si="26"/>
        <v>40000000</v>
      </c>
    </row>
    <row r="550" spans="1:11">
      <c r="A550">
        <v>1</v>
      </c>
      <c r="B550" t="s">
        <v>15</v>
      </c>
      <c r="C550" s="19">
        <v>23.5</v>
      </c>
      <c r="D550" s="19" t="s">
        <v>16</v>
      </c>
      <c r="E550" s="19">
        <v>7</v>
      </c>
      <c r="F550" s="19">
        <v>3</v>
      </c>
      <c r="G550" s="19">
        <v>4</v>
      </c>
      <c r="H550" s="20">
        <v>9.9999999999999995E-7</v>
      </c>
      <c r="I550">
        <f t="shared" si="27"/>
        <v>3.5</v>
      </c>
      <c r="J550">
        <v>10</v>
      </c>
      <c r="K550" s="16">
        <f t="shared" si="26"/>
        <v>350000000</v>
      </c>
    </row>
    <row r="551" spans="1:11">
      <c r="A551">
        <v>1</v>
      </c>
      <c r="B551" t="s">
        <v>15</v>
      </c>
      <c r="C551" s="19">
        <v>23.5</v>
      </c>
      <c r="D551" s="19" t="s">
        <v>16</v>
      </c>
      <c r="E551" s="19">
        <v>8</v>
      </c>
      <c r="F551" s="19">
        <v>16</v>
      </c>
      <c r="G551" s="19">
        <v>17</v>
      </c>
      <c r="H551" s="20">
        <v>1.0000000000000001E-5</v>
      </c>
      <c r="I551">
        <f t="shared" si="27"/>
        <v>16.5</v>
      </c>
      <c r="J551">
        <v>10</v>
      </c>
      <c r="K551" s="16">
        <f t="shared" si="26"/>
        <v>165000000</v>
      </c>
    </row>
    <row r="552" spans="1:11">
      <c r="A552">
        <v>1</v>
      </c>
      <c r="B552" t="s">
        <v>15</v>
      </c>
      <c r="C552" s="19">
        <v>23.5</v>
      </c>
      <c r="D552" s="19" t="s">
        <v>16</v>
      </c>
      <c r="E552" s="19">
        <v>9</v>
      </c>
      <c r="F552" s="19">
        <v>8</v>
      </c>
      <c r="G552" s="19">
        <v>9</v>
      </c>
      <c r="H552" s="20">
        <v>9.9999999999999995E-7</v>
      </c>
      <c r="I552">
        <f t="shared" si="27"/>
        <v>8.5</v>
      </c>
      <c r="J552">
        <v>10</v>
      </c>
      <c r="K552" s="16">
        <f t="shared" si="26"/>
        <v>850000000</v>
      </c>
    </row>
    <row r="553" spans="1:11">
      <c r="A553">
        <v>1</v>
      </c>
      <c r="B553" t="s">
        <v>15</v>
      </c>
      <c r="C553" s="19">
        <v>23.5</v>
      </c>
      <c r="D553" s="19" t="s">
        <v>16</v>
      </c>
      <c r="E553" s="19">
        <v>10</v>
      </c>
      <c r="F553" s="19">
        <v>4</v>
      </c>
      <c r="G553" s="19">
        <v>4</v>
      </c>
      <c r="H553" s="20">
        <v>9.9999999999999995E-7</v>
      </c>
      <c r="I553">
        <f t="shared" si="27"/>
        <v>4</v>
      </c>
      <c r="J553">
        <v>10</v>
      </c>
      <c r="K553" s="16">
        <f t="shared" si="26"/>
        <v>400000000</v>
      </c>
    </row>
    <row r="554" spans="1:11">
      <c r="A554">
        <v>1</v>
      </c>
      <c r="B554" t="s">
        <v>15</v>
      </c>
      <c r="C554" s="19">
        <v>24</v>
      </c>
      <c r="D554" s="19" t="s">
        <v>16</v>
      </c>
      <c r="E554" s="19" t="s">
        <v>19</v>
      </c>
      <c r="F554" s="19">
        <v>4</v>
      </c>
      <c r="G554" s="19">
        <v>8</v>
      </c>
      <c r="H554" s="20">
        <v>9.9999999999999995E-7</v>
      </c>
      <c r="I554">
        <f t="shared" si="27"/>
        <v>6</v>
      </c>
      <c r="J554">
        <v>10</v>
      </c>
      <c r="K554" s="16">
        <f t="shared" si="26"/>
        <v>600000000</v>
      </c>
    </row>
    <row r="555" spans="1:11">
      <c r="A555">
        <v>1</v>
      </c>
      <c r="B555" t="s">
        <v>15</v>
      </c>
      <c r="C555" s="19">
        <v>24</v>
      </c>
      <c r="D555" s="19" t="s">
        <v>16</v>
      </c>
      <c r="E555" s="19" t="s">
        <v>20</v>
      </c>
      <c r="F555" s="19">
        <v>15</v>
      </c>
      <c r="G555" s="19">
        <v>3</v>
      </c>
      <c r="H555" s="20">
        <v>9.9999999999999995E-7</v>
      </c>
      <c r="I555">
        <f t="shared" si="27"/>
        <v>9</v>
      </c>
      <c r="J555">
        <v>10</v>
      </c>
      <c r="K555" s="16">
        <f t="shared" si="26"/>
        <v>900000000</v>
      </c>
    </row>
    <row r="556" spans="1:11">
      <c r="A556">
        <v>1</v>
      </c>
      <c r="B556" t="s">
        <v>15</v>
      </c>
      <c r="C556" s="19">
        <v>24</v>
      </c>
      <c r="D556" s="19" t="s">
        <v>16</v>
      </c>
      <c r="E556" s="19" t="s">
        <v>21</v>
      </c>
      <c r="F556" s="19">
        <v>3</v>
      </c>
      <c r="G556" s="19">
        <v>4</v>
      </c>
      <c r="H556" s="20">
        <v>9.9999999999999995E-7</v>
      </c>
      <c r="I556">
        <f t="shared" si="27"/>
        <v>3.5</v>
      </c>
      <c r="J556">
        <v>10</v>
      </c>
      <c r="K556" s="16">
        <f t="shared" si="26"/>
        <v>350000000</v>
      </c>
    </row>
    <row r="557" spans="1:11">
      <c r="A557">
        <v>1</v>
      </c>
      <c r="B557" t="s">
        <v>15</v>
      </c>
      <c r="C557" s="19">
        <v>24</v>
      </c>
      <c r="D557" s="19" t="s">
        <v>16</v>
      </c>
      <c r="E557" s="19" t="s">
        <v>22</v>
      </c>
      <c r="F557" s="19">
        <v>5</v>
      </c>
      <c r="G557" s="19">
        <v>7</v>
      </c>
      <c r="H557" s="20">
        <v>9.9999999999999995E-7</v>
      </c>
      <c r="I557">
        <f t="shared" si="27"/>
        <v>6</v>
      </c>
      <c r="J557">
        <v>10</v>
      </c>
      <c r="K557" s="16">
        <f t="shared" si="26"/>
        <v>600000000</v>
      </c>
    </row>
    <row r="558" spans="1:11">
      <c r="A558">
        <v>1</v>
      </c>
      <c r="B558" t="s">
        <v>15</v>
      </c>
      <c r="C558" s="19">
        <v>24</v>
      </c>
      <c r="D558" s="19" t="s">
        <v>16</v>
      </c>
      <c r="E558" s="19">
        <v>1</v>
      </c>
      <c r="F558" s="19">
        <v>5</v>
      </c>
      <c r="G558" s="19">
        <v>2</v>
      </c>
      <c r="H558" s="20">
        <v>9.9999999999999995E-7</v>
      </c>
      <c r="I558">
        <f t="shared" si="27"/>
        <v>3.5</v>
      </c>
      <c r="J558">
        <v>10</v>
      </c>
      <c r="K558" s="16">
        <f t="shared" si="26"/>
        <v>350000000</v>
      </c>
    </row>
    <row r="559" spans="1:11">
      <c r="A559">
        <v>1</v>
      </c>
      <c r="B559" t="s">
        <v>15</v>
      </c>
      <c r="C559" s="19">
        <v>24</v>
      </c>
      <c r="D559" s="19" t="s">
        <v>16</v>
      </c>
      <c r="E559" s="19">
        <v>2</v>
      </c>
      <c r="F559" s="19">
        <v>5</v>
      </c>
      <c r="G559" s="19">
        <v>9</v>
      </c>
      <c r="H559" s="20">
        <v>9.9999999999999995E-7</v>
      </c>
      <c r="I559">
        <f t="shared" si="27"/>
        <v>7</v>
      </c>
      <c r="J559">
        <v>10</v>
      </c>
      <c r="K559" s="16">
        <f t="shared" si="26"/>
        <v>700000000</v>
      </c>
    </row>
    <row r="560" spans="1:11">
      <c r="A560">
        <v>1</v>
      </c>
      <c r="B560" t="s">
        <v>15</v>
      </c>
      <c r="C560" s="19">
        <v>24</v>
      </c>
      <c r="D560" s="19" t="s">
        <v>16</v>
      </c>
      <c r="E560" s="19">
        <v>3</v>
      </c>
      <c r="F560" s="19">
        <v>4</v>
      </c>
      <c r="G560" s="19">
        <v>3</v>
      </c>
      <c r="H560" s="20">
        <v>9.9999999999999995E-7</v>
      </c>
      <c r="I560">
        <f t="shared" si="27"/>
        <v>3.5</v>
      </c>
      <c r="J560">
        <v>10</v>
      </c>
      <c r="K560" s="16">
        <f t="shared" si="26"/>
        <v>350000000</v>
      </c>
    </row>
    <row r="561" spans="1:11">
      <c r="A561">
        <v>1</v>
      </c>
      <c r="B561" t="s">
        <v>15</v>
      </c>
      <c r="C561" s="19">
        <v>24</v>
      </c>
      <c r="D561" s="19" t="s">
        <v>16</v>
      </c>
      <c r="E561" s="19">
        <v>4</v>
      </c>
      <c r="F561" s="19">
        <v>9</v>
      </c>
      <c r="G561" s="19">
        <v>4</v>
      </c>
      <c r="H561" s="20">
        <v>9.9999999999999995E-7</v>
      </c>
      <c r="I561">
        <f t="shared" si="27"/>
        <v>6.5</v>
      </c>
      <c r="J561">
        <v>10</v>
      </c>
      <c r="K561" s="16">
        <f t="shared" si="26"/>
        <v>650000000</v>
      </c>
    </row>
    <row r="562" spans="1:11">
      <c r="A562">
        <v>1</v>
      </c>
      <c r="B562" t="s">
        <v>15</v>
      </c>
      <c r="C562" s="19">
        <v>24</v>
      </c>
      <c r="D562" s="19" t="s">
        <v>16</v>
      </c>
      <c r="E562" s="19">
        <v>5</v>
      </c>
      <c r="F562" s="19">
        <v>9</v>
      </c>
      <c r="G562" s="19">
        <v>6</v>
      </c>
      <c r="H562" s="20">
        <v>9.9999999999999995E-7</v>
      </c>
      <c r="I562">
        <f t="shared" si="27"/>
        <v>7.5</v>
      </c>
      <c r="J562">
        <v>10</v>
      </c>
      <c r="K562" s="16">
        <f t="shared" si="26"/>
        <v>750000000</v>
      </c>
    </row>
    <row r="563" spans="1:11">
      <c r="A563">
        <v>1</v>
      </c>
      <c r="B563" t="s">
        <v>15</v>
      </c>
      <c r="C563" s="19">
        <v>24</v>
      </c>
      <c r="D563" s="19" t="s">
        <v>16</v>
      </c>
      <c r="E563" s="19">
        <v>6</v>
      </c>
      <c r="F563" s="19">
        <v>13</v>
      </c>
      <c r="G563" s="19">
        <v>11</v>
      </c>
      <c r="H563" s="20">
        <v>9.9999999999999995E-7</v>
      </c>
      <c r="I563">
        <f t="shared" si="27"/>
        <v>12</v>
      </c>
      <c r="J563">
        <v>10</v>
      </c>
      <c r="K563" s="16">
        <f t="shared" si="26"/>
        <v>1200000000</v>
      </c>
    </row>
    <row r="564" spans="1:11">
      <c r="A564">
        <v>1</v>
      </c>
      <c r="B564" t="s">
        <v>15</v>
      </c>
      <c r="C564" s="19">
        <v>24</v>
      </c>
      <c r="D564" s="19" t="s">
        <v>16</v>
      </c>
      <c r="E564" s="19">
        <v>7</v>
      </c>
      <c r="F564" s="19">
        <v>12</v>
      </c>
      <c r="G564" s="19">
        <v>11</v>
      </c>
      <c r="H564" s="20">
        <v>9.9999999999999995E-7</v>
      </c>
      <c r="I564">
        <f t="shared" si="27"/>
        <v>11.5</v>
      </c>
      <c r="J564">
        <v>10</v>
      </c>
      <c r="K564" s="16">
        <f t="shared" si="26"/>
        <v>1150000000</v>
      </c>
    </row>
    <row r="565" spans="1:11">
      <c r="A565">
        <v>1</v>
      </c>
      <c r="B565" t="s">
        <v>15</v>
      </c>
      <c r="C565" s="19">
        <v>24</v>
      </c>
      <c r="D565" s="19" t="s">
        <v>16</v>
      </c>
      <c r="E565" s="19">
        <v>8</v>
      </c>
      <c r="F565" s="19">
        <v>4</v>
      </c>
      <c r="G565" s="19">
        <v>6</v>
      </c>
      <c r="H565" s="20">
        <v>9.9999999999999995E-7</v>
      </c>
      <c r="I565">
        <f t="shared" si="27"/>
        <v>5</v>
      </c>
      <c r="J565">
        <v>10</v>
      </c>
      <c r="K565" s="16">
        <f t="shared" si="26"/>
        <v>500000000</v>
      </c>
    </row>
    <row r="566" spans="1:11">
      <c r="A566">
        <v>1</v>
      </c>
      <c r="B566" t="s">
        <v>15</v>
      </c>
      <c r="C566" s="19">
        <v>24</v>
      </c>
      <c r="D566" s="19" t="s">
        <v>16</v>
      </c>
      <c r="E566" s="19">
        <v>9</v>
      </c>
      <c r="F566" s="19">
        <v>6</v>
      </c>
      <c r="G566" s="19">
        <v>3</v>
      </c>
      <c r="H566" s="20">
        <v>9.9999999999999995E-7</v>
      </c>
      <c r="I566">
        <f t="shared" si="27"/>
        <v>4.5</v>
      </c>
      <c r="J566">
        <v>10</v>
      </c>
      <c r="K566" s="16">
        <f t="shared" si="26"/>
        <v>450000000</v>
      </c>
    </row>
    <row r="567" spans="1:11">
      <c r="A567">
        <v>1</v>
      </c>
      <c r="B567" t="s">
        <v>15</v>
      </c>
      <c r="C567" s="19">
        <v>24</v>
      </c>
      <c r="D567" s="19" t="s">
        <v>16</v>
      </c>
      <c r="E567" s="19">
        <v>10</v>
      </c>
      <c r="F567" s="19">
        <v>5</v>
      </c>
      <c r="G567" s="19">
        <v>4</v>
      </c>
      <c r="H567" s="20">
        <v>9.9999999999999995E-7</v>
      </c>
      <c r="I567">
        <f t="shared" si="27"/>
        <v>4.5</v>
      </c>
      <c r="J567">
        <v>10</v>
      </c>
      <c r="K567" s="16">
        <f t="shared" si="26"/>
        <v>450000000</v>
      </c>
    </row>
    <row r="568" spans="1:11">
      <c r="A568">
        <v>1</v>
      </c>
      <c r="B568" t="s">
        <v>15</v>
      </c>
      <c r="C568" s="19">
        <v>24.5</v>
      </c>
      <c r="D568" s="19" t="s">
        <v>16</v>
      </c>
      <c r="E568" s="19">
        <v>1</v>
      </c>
      <c r="F568" s="25">
        <v>26</v>
      </c>
      <c r="G568" s="26">
        <v>60</v>
      </c>
      <c r="H568" s="22">
        <v>1E-3</v>
      </c>
      <c r="I568">
        <f t="shared" si="27"/>
        <v>43</v>
      </c>
      <c r="J568">
        <v>10</v>
      </c>
      <c r="K568" s="16">
        <f t="shared" si="26"/>
        <v>4300000</v>
      </c>
    </row>
    <row r="569" spans="1:11">
      <c r="A569">
        <v>1</v>
      </c>
      <c r="B569" t="s">
        <v>15</v>
      </c>
      <c r="C569" s="19">
        <v>24.5</v>
      </c>
      <c r="D569" s="19" t="s">
        <v>16</v>
      </c>
      <c r="E569" s="19">
        <v>2</v>
      </c>
      <c r="F569" s="25">
        <v>5</v>
      </c>
      <c r="G569" s="25">
        <v>6</v>
      </c>
      <c r="H569" s="20">
        <v>1.0000000000000001E-5</v>
      </c>
      <c r="I569">
        <f t="shared" si="27"/>
        <v>5.5</v>
      </c>
      <c r="J569">
        <v>10</v>
      </c>
      <c r="K569" s="16">
        <f t="shared" si="26"/>
        <v>54999999.999999993</v>
      </c>
    </row>
    <row r="570" spans="1:11">
      <c r="A570">
        <v>1</v>
      </c>
      <c r="B570" t="s">
        <v>15</v>
      </c>
      <c r="C570" s="19">
        <v>24.5</v>
      </c>
      <c r="D570" s="19" t="s">
        <v>16</v>
      </c>
      <c r="E570" s="19">
        <v>3</v>
      </c>
      <c r="F570" s="27">
        <v>4</v>
      </c>
      <c r="G570" s="27">
        <v>6</v>
      </c>
      <c r="H570" s="28">
        <v>1.0000000000000001E-5</v>
      </c>
      <c r="I570">
        <f t="shared" si="27"/>
        <v>5</v>
      </c>
      <c r="J570">
        <v>10</v>
      </c>
      <c r="K570" s="16">
        <f t="shared" si="26"/>
        <v>49999999.999999993</v>
      </c>
    </row>
    <row r="571" spans="1:11">
      <c r="A571">
        <v>1</v>
      </c>
      <c r="B571" t="s">
        <v>15</v>
      </c>
      <c r="C571" s="19">
        <v>24.5</v>
      </c>
      <c r="D571" s="19" t="s">
        <v>16</v>
      </c>
      <c r="E571" s="19">
        <v>4</v>
      </c>
      <c r="F571" s="27">
        <v>6</v>
      </c>
      <c r="G571" s="27">
        <v>7</v>
      </c>
      <c r="H571" s="28">
        <v>9.9999999999999995E-7</v>
      </c>
      <c r="I571">
        <f t="shared" si="27"/>
        <v>6.5</v>
      </c>
      <c r="J571">
        <v>10</v>
      </c>
      <c r="K571" s="16">
        <f t="shared" si="26"/>
        <v>650000000</v>
      </c>
    </row>
    <row r="572" spans="1:11">
      <c r="A572">
        <v>1</v>
      </c>
      <c r="B572" t="s">
        <v>15</v>
      </c>
      <c r="C572" s="19">
        <v>24.5</v>
      </c>
      <c r="D572" s="19" t="s">
        <v>16</v>
      </c>
      <c r="E572" s="19">
        <v>5</v>
      </c>
      <c r="F572" s="27">
        <v>2</v>
      </c>
      <c r="G572" s="27">
        <v>4</v>
      </c>
      <c r="H572" s="28">
        <v>1E-4</v>
      </c>
      <c r="I572">
        <f t="shared" si="27"/>
        <v>3</v>
      </c>
      <c r="J572">
        <v>10</v>
      </c>
      <c r="K572" s="16">
        <f t="shared" si="26"/>
        <v>2999999.9999999995</v>
      </c>
    </row>
    <row r="573" spans="1:11">
      <c r="A573">
        <v>1</v>
      </c>
      <c r="B573" t="s">
        <v>15</v>
      </c>
      <c r="C573" s="19">
        <v>24.5</v>
      </c>
      <c r="D573" s="19" t="s">
        <v>16</v>
      </c>
      <c r="E573" s="19">
        <v>6</v>
      </c>
      <c r="F573" s="27">
        <v>8</v>
      </c>
      <c r="G573" s="27">
        <v>12</v>
      </c>
      <c r="H573" s="28">
        <v>9.9999999999999995E-7</v>
      </c>
      <c r="I573">
        <f t="shared" si="27"/>
        <v>10</v>
      </c>
      <c r="J573">
        <v>10</v>
      </c>
      <c r="K573" s="16">
        <f t="shared" si="26"/>
        <v>1000000000</v>
      </c>
    </row>
    <row r="574" spans="1:11">
      <c r="A574">
        <v>1</v>
      </c>
      <c r="B574" t="s">
        <v>15</v>
      </c>
      <c r="C574" s="19">
        <v>24.5</v>
      </c>
      <c r="D574" s="19" t="s">
        <v>16</v>
      </c>
      <c r="E574" s="19">
        <v>7</v>
      </c>
      <c r="F574" s="25">
        <v>3</v>
      </c>
      <c r="G574" s="25">
        <v>1</v>
      </c>
      <c r="H574" s="20">
        <v>9.9999999999999995E-7</v>
      </c>
      <c r="I574">
        <f t="shared" si="27"/>
        <v>2</v>
      </c>
      <c r="J574">
        <v>10</v>
      </c>
      <c r="K574" s="16">
        <f t="shared" si="26"/>
        <v>200000000</v>
      </c>
    </row>
    <row r="575" spans="1:11">
      <c r="A575">
        <v>1</v>
      </c>
      <c r="B575" t="s">
        <v>15</v>
      </c>
      <c r="C575" s="19">
        <v>24.5</v>
      </c>
      <c r="D575" s="19" t="s">
        <v>16</v>
      </c>
      <c r="E575" s="19">
        <v>8</v>
      </c>
      <c r="F575" s="25">
        <v>3</v>
      </c>
      <c r="G575" s="25">
        <v>4</v>
      </c>
      <c r="H575" s="20">
        <v>9.9999999999999995E-7</v>
      </c>
      <c r="I575">
        <f t="shared" si="27"/>
        <v>3.5</v>
      </c>
      <c r="J575">
        <v>10</v>
      </c>
      <c r="K575" s="16">
        <f t="shared" si="26"/>
        <v>350000000</v>
      </c>
    </row>
    <row r="576" spans="1:11">
      <c r="A576">
        <v>1</v>
      </c>
      <c r="B576" t="s">
        <v>15</v>
      </c>
      <c r="C576" s="19">
        <v>24.5</v>
      </c>
      <c r="D576" s="19" t="s">
        <v>16</v>
      </c>
      <c r="E576" s="19">
        <v>9</v>
      </c>
      <c r="F576" s="25">
        <v>2</v>
      </c>
      <c r="G576" s="25">
        <v>3</v>
      </c>
      <c r="H576" s="20">
        <v>9.9999999999999995E-7</v>
      </c>
      <c r="I576">
        <f t="shared" si="27"/>
        <v>2.5</v>
      </c>
      <c r="J576">
        <v>10</v>
      </c>
      <c r="K576" s="16">
        <f t="shared" si="26"/>
        <v>250000000</v>
      </c>
    </row>
    <row r="577" spans="1:11">
      <c r="A577">
        <v>1</v>
      </c>
      <c r="B577" t="s">
        <v>15</v>
      </c>
      <c r="C577" s="19">
        <v>24.5</v>
      </c>
      <c r="D577" s="19" t="s">
        <v>16</v>
      </c>
      <c r="E577" s="19">
        <v>10</v>
      </c>
      <c r="F577" s="25">
        <v>8</v>
      </c>
      <c r="G577" s="25">
        <v>8</v>
      </c>
      <c r="H577" s="20">
        <v>9.9999999999999995E-7</v>
      </c>
      <c r="I577">
        <f t="shared" si="27"/>
        <v>8</v>
      </c>
      <c r="J577">
        <v>10</v>
      </c>
      <c r="K577" s="16">
        <f t="shared" si="26"/>
        <v>800000000</v>
      </c>
    </row>
    <row r="578" spans="1:11">
      <c r="A578">
        <v>1</v>
      </c>
      <c r="B578" t="s">
        <v>15</v>
      </c>
      <c r="C578" s="19">
        <v>25</v>
      </c>
      <c r="D578" s="19" t="s">
        <v>16</v>
      </c>
      <c r="E578" s="19" t="s">
        <v>19</v>
      </c>
      <c r="F578" s="19">
        <v>8</v>
      </c>
      <c r="G578" s="19">
        <v>8</v>
      </c>
      <c r="H578" s="20">
        <v>9.9999999999999995E-7</v>
      </c>
      <c r="I578">
        <f t="shared" si="27"/>
        <v>8</v>
      </c>
      <c r="J578">
        <v>10</v>
      </c>
      <c r="K578" s="16">
        <f t="shared" si="26"/>
        <v>800000000</v>
      </c>
    </row>
    <row r="579" spans="1:11">
      <c r="A579">
        <v>1</v>
      </c>
      <c r="B579" t="s">
        <v>15</v>
      </c>
      <c r="C579" s="19">
        <v>25</v>
      </c>
      <c r="D579" s="19" t="s">
        <v>16</v>
      </c>
      <c r="E579" s="19" t="s">
        <v>20</v>
      </c>
      <c r="F579" s="19">
        <v>10</v>
      </c>
      <c r="G579" s="19">
        <v>13</v>
      </c>
      <c r="H579" s="20">
        <v>9.9999999999999995E-7</v>
      </c>
      <c r="I579">
        <f t="shared" ref="I579:I615" si="28">AVERAGE(F579:G579)</f>
        <v>11.5</v>
      </c>
      <c r="J579">
        <v>10</v>
      </c>
      <c r="K579" s="16">
        <f t="shared" si="26"/>
        <v>1150000000</v>
      </c>
    </row>
    <row r="580" spans="1:11">
      <c r="A580">
        <v>1</v>
      </c>
      <c r="B580" t="s">
        <v>15</v>
      </c>
      <c r="C580" s="19">
        <v>25</v>
      </c>
      <c r="D580" s="19" t="s">
        <v>16</v>
      </c>
      <c r="E580" s="19" t="s">
        <v>21</v>
      </c>
      <c r="F580" s="19">
        <v>13</v>
      </c>
      <c r="G580" s="19">
        <v>12</v>
      </c>
      <c r="H580" s="20">
        <v>9.9999999999999995E-7</v>
      </c>
      <c r="I580">
        <f t="shared" si="28"/>
        <v>12.5</v>
      </c>
      <c r="J580">
        <v>10</v>
      </c>
      <c r="K580" s="16">
        <f t="shared" si="26"/>
        <v>1250000000</v>
      </c>
    </row>
    <row r="581" spans="1:11">
      <c r="A581">
        <v>1</v>
      </c>
      <c r="B581" t="s">
        <v>15</v>
      </c>
      <c r="C581" s="19">
        <v>25</v>
      </c>
      <c r="D581" s="19" t="s">
        <v>16</v>
      </c>
      <c r="E581" s="19" t="s">
        <v>22</v>
      </c>
      <c r="F581" s="19">
        <v>11</v>
      </c>
      <c r="G581" s="19">
        <v>10</v>
      </c>
      <c r="H581" s="20">
        <v>9.9999999999999995E-7</v>
      </c>
      <c r="I581">
        <f t="shared" si="28"/>
        <v>10.5</v>
      </c>
      <c r="J581">
        <v>10</v>
      </c>
      <c r="K581" s="16">
        <f t="shared" si="26"/>
        <v>1050000000</v>
      </c>
    </row>
    <row r="582" spans="1:11">
      <c r="A582">
        <v>1</v>
      </c>
      <c r="B582" t="s">
        <v>15</v>
      </c>
      <c r="C582" s="19">
        <v>25</v>
      </c>
      <c r="D582" s="19" t="s">
        <v>16</v>
      </c>
      <c r="E582" s="19">
        <v>1</v>
      </c>
      <c r="F582" s="19">
        <v>4</v>
      </c>
      <c r="G582" s="19">
        <v>2</v>
      </c>
      <c r="H582" s="20">
        <v>9.9999999999999995E-7</v>
      </c>
      <c r="I582">
        <f t="shared" si="28"/>
        <v>3</v>
      </c>
      <c r="J582">
        <v>10</v>
      </c>
      <c r="K582" s="16">
        <f t="shared" si="26"/>
        <v>300000000</v>
      </c>
    </row>
    <row r="583" spans="1:11">
      <c r="A583">
        <v>1</v>
      </c>
      <c r="B583" t="s">
        <v>15</v>
      </c>
      <c r="C583" s="19">
        <v>25</v>
      </c>
      <c r="D583" s="19" t="s">
        <v>16</v>
      </c>
      <c r="E583" s="19">
        <v>2</v>
      </c>
      <c r="F583" s="19">
        <v>7</v>
      </c>
      <c r="G583" s="19">
        <v>6</v>
      </c>
      <c r="H583" s="20">
        <v>9.9999999999999995E-7</v>
      </c>
      <c r="I583">
        <f t="shared" si="28"/>
        <v>6.5</v>
      </c>
      <c r="J583">
        <v>10</v>
      </c>
      <c r="K583" s="16">
        <f t="shared" si="26"/>
        <v>650000000</v>
      </c>
    </row>
    <row r="584" spans="1:11">
      <c r="A584">
        <v>1</v>
      </c>
      <c r="B584" t="s">
        <v>15</v>
      </c>
      <c r="C584" s="19">
        <v>25</v>
      </c>
      <c r="D584" s="19" t="s">
        <v>16</v>
      </c>
      <c r="E584" s="19">
        <v>3</v>
      </c>
      <c r="F584" s="19">
        <v>5</v>
      </c>
      <c r="G584" s="19">
        <v>3</v>
      </c>
      <c r="H584" s="20">
        <v>9.9999999999999995E-7</v>
      </c>
      <c r="I584">
        <f t="shared" si="28"/>
        <v>4</v>
      </c>
      <c r="J584">
        <v>10</v>
      </c>
      <c r="K584" s="16">
        <f t="shared" si="26"/>
        <v>400000000</v>
      </c>
    </row>
    <row r="585" spans="1:11">
      <c r="A585">
        <v>1</v>
      </c>
      <c r="B585" t="s">
        <v>15</v>
      </c>
      <c r="C585" s="19">
        <v>25</v>
      </c>
      <c r="D585" s="19" t="s">
        <v>16</v>
      </c>
      <c r="E585" s="19">
        <v>4</v>
      </c>
      <c r="F585" s="19">
        <v>6</v>
      </c>
      <c r="G585" s="19">
        <v>13</v>
      </c>
      <c r="H585" s="20">
        <v>9.9999999999999995E-7</v>
      </c>
      <c r="I585">
        <f t="shared" si="28"/>
        <v>9.5</v>
      </c>
      <c r="J585">
        <v>10</v>
      </c>
      <c r="K585" s="16">
        <f t="shared" si="26"/>
        <v>950000000</v>
      </c>
    </row>
    <row r="586" spans="1:11">
      <c r="A586">
        <v>1</v>
      </c>
      <c r="B586" t="s">
        <v>15</v>
      </c>
      <c r="C586" s="19">
        <v>25</v>
      </c>
      <c r="D586" s="19" t="s">
        <v>16</v>
      </c>
      <c r="E586" s="19">
        <v>5</v>
      </c>
      <c r="F586" s="19">
        <v>7</v>
      </c>
      <c r="G586" s="19">
        <v>6</v>
      </c>
      <c r="H586" s="20">
        <v>9.9999999999999995E-7</v>
      </c>
      <c r="I586">
        <f t="shared" si="28"/>
        <v>6.5</v>
      </c>
      <c r="J586">
        <v>10</v>
      </c>
      <c r="K586" s="16">
        <f t="shared" si="26"/>
        <v>650000000</v>
      </c>
    </row>
    <row r="587" spans="1:11">
      <c r="A587">
        <v>1</v>
      </c>
      <c r="B587" t="s">
        <v>15</v>
      </c>
      <c r="C587" s="19">
        <v>25</v>
      </c>
      <c r="D587" s="19" t="s">
        <v>16</v>
      </c>
      <c r="E587" s="19">
        <v>6</v>
      </c>
      <c r="F587" s="19">
        <v>10</v>
      </c>
      <c r="G587" s="19">
        <v>5</v>
      </c>
      <c r="H587" s="20">
        <v>9.9999999999999995E-7</v>
      </c>
      <c r="I587">
        <f t="shared" si="28"/>
        <v>7.5</v>
      </c>
      <c r="J587">
        <v>10</v>
      </c>
      <c r="K587" s="16">
        <f t="shared" si="26"/>
        <v>750000000</v>
      </c>
    </row>
    <row r="588" spans="1:11">
      <c r="A588">
        <v>1</v>
      </c>
      <c r="B588" t="s">
        <v>15</v>
      </c>
      <c r="C588" s="19">
        <v>25</v>
      </c>
      <c r="D588" s="19" t="s">
        <v>16</v>
      </c>
      <c r="E588" s="19">
        <v>7</v>
      </c>
      <c r="F588" s="19">
        <v>8</v>
      </c>
      <c r="G588" s="19">
        <v>8</v>
      </c>
      <c r="H588" s="20">
        <v>9.9999999999999995E-7</v>
      </c>
      <c r="I588">
        <f t="shared" si="28"/>
        <v>8</v>
      </c>
      <c r="J588">
        <v>10</v>
      </c>
      <c r="K588" s="16">
        <f t="shared" si="26"/>
        <v>800000000</v>
      </c>
    </row>
    <row r="589" spans="1:11">
      <c r="A589">
        <v>1</v>
      </c>
      <c r="B589" t="s">
        <v>15</v>
      </c>
      <c r="C589" s="19">
        <v>25</v>
      </c>
      <c r="D589" s="19" t="s">
        <v>16</v>
      </c>
      <c r="E589" s="19">
        <v>8</v>
      </c>
      <c r="F589" s="19">
        <v>4</v>
      </c>
      <c r="G589" s="19">
        <v>11</v>
      </c>
      <c r="H589" s="20">
        <v>9.9999999999999995E-7</v>
      </c>
      <c r="I589">
        <f t="shared" si="28"/>
        <v>7.5</v>
      </c>
      <c r="J589">
        <v>10</v>
      </c>
      <c r="K589" s="16">
        <f t="shared" si="26"/>
        <v>750000000</v>
      </c>
    </row>
    <row r="590" spans="1:11">
      <c r="A590">
        <v>1</v>
      </c>
      <c r="B590" t="s">
        <v>15</v>
      </c>
      <c r="C590" s="19">
        <v>25</v>
      </c>
      <c r="D590" s="19" t="s">
        <v>16</v>
      </c>
      <c r="E590" s="19">
        <v>9</v>
      </c>
      <c r="F590" s="19">
        <v>5</v>
      </c>
      <c r="G590" s="19">
        <v>3</v>
      </c>
      <c r="H590" s="20">
        <v>9.9999999999999995E-7</v>
      </c>
      <c r="I590">
        <f t="shared" si="28"/>
        <v>4</v>
      </c>
      <c r="J590">
        <v>10</v>
      </c>
      <c r="K590" s="16">
        <f t="shared" si="26"/>
        <v>400000000</v>
      </c>
    </row>
    <row r="591" spans="1:11">
      <c r="A591">
        <v>1</v>
      </c>
      <c r="B591" t="s">
        <v>15</v>
      </c>
      <c r="C591" s="19">
        <v>25</v>
      </c>
      <c r="D591" s="19" t="s">
        <v>16</v>
      </c>
      <c r="E591" s="19">
        <v>10</v>
      </c>
      <c r="F591" s="19">
        <v>5</v>
      </c>
      <c r="G591" s="19">
        <v>7</v>
      </c>
      <c r="H591" s="20">
        <v>9.9999999999999995E-7</v>
      </c>
      <c r="I591">
        <f t="shared" si="28"/>
        <v>6</v>
      </c>
      <c r="J591">
        <v>10</v>
      </c>
      <c r="K591" s="16">
        <f t="shared" si="26"/>
        <v>600000000</v>
      </c>
    </row>
    <row r="592" spans="1:11">
      <c r="A592">
        <v>1</v>
      </c>
      <c r="B592" t="s">
        <v>15</v>
      </c>
      <c r="C592" s="19">
        <v>25.5</v>
      </c>
      <c r="D592" s="19" t="s">
        <v>16</v>
      </c>
      <c r="E592" s="19">
        <v>1</v>
      </c>
      <c r="F592" s="24">
        <v>90</v>
      </c>
      <c r="G592" s="21">
        <v>44</v>
      </c>
      <c r="H592" s="20">
        <v>1.0000000000000001E-5</v>
      </c>
      <c r="I592">
        <f t="shared" si="28"/>
        <v>67</v>
      </c>
      <c r="J592">
        <v>10</v>
      </c>
      <c r="K592" s="16">
        <f t="shared" si="26"/>
        <v>670000000</v>
      </c>
    </row>
    <row r="593" spans="1:11">
      <c r="A593">
        <v>1</v>
      </c>
      <c r="B593" t="s">
        <v>15</v>
      </c>
      <c r="C593" s="19">
        <v>25.5</v>
      </c>
      <c r="D593" s="19" t="s">
        <v>16</v>
      </c>
      <c r="E593" s="19">
        <v>2</v>
      </c>
      <c r="F593" s="19">
        <v>6</v>
      </c>
      <c r="G593" s="19">
        <v>8</v>
      </c>
      <c r="H593" s="20">
        <v>9.9999999999999995E-7</v>
      </c>
      <c r="I593">
        <f t="shared" si="28"/>
        <v>7</v>
      </c>
      <c r="J593">
        <v>10</v>
      </c>
      <c r="K593" s="16">
        <f t="shared" si="26"/>
        <v>700000000</v>
      </c>
    </row>
    <row r="594" spans="1:11">
      <c r="A594">
        <v>1</v>
      </c>
      <c r="B594" t="s">
        <v>15</v>
      </c>
      <c r="C594" s="19">
        <v>25.5</v>
      </c>
      <c r="D594" s="19" t="s">
        <v>16</v>
      </c>
      <c r="E594" s="19">
        <v>3</v>
      </c>
      <c r="F594" s="19">
        <v>13</v>
      </c>
      <c r="G594" s="19">
        <v>10</v>
      </c>
      <c r="H594" s="20">
        <v>1.0000000000000001E-5</v>
      </c>
      <c r="I594">
        <f t="shared" si="28"/>
        <v>11.5</v>
      </c>
      <c r="J594">
        <v>10</v>
      </c>
      <c r="K594" s="16">
        <f t="shared" si="26"/>
        <v>114999999.99999999</v>
      </c>
    </row>
    <row r="595" spans="1:11">
      <c r="A595">
        <v>1</v>
      </c>
      <c r="B595" t="s">
        <v>15</v>
      </c>
      <c r="C595" s="19">
        <v>25.5</v>
      </c>
      <c r="D595" s="19" t="s">
        <v>16</v>
      </c>
      <c r="E595" s="19">
        <v>4</v>
      </c>
      <c r="F595" s="19">
        <v>9</v>
      </c>
      <c r="G595" s="19">
        <v>6</v>
      </c>
      <c r="H595" s="20">
        <v>9.9999999999999995E-7</v>
      </c>
      <c r="I595">
        <f t="shared" si="28"/>
        <v>7.5</v>
      </c>
      <c r="J595">
        <v>10</v>
      </c>
      <c r="K595" s="16">
        <f t="shared" ref="K595:K658" si="29">I595/(H595*(J595/1000))</f>
        <v>750000000</v>
      </c>
    </row>
    <row r="596" spans="1:11">
      <c r="A596">
        <v>1</v>
      </c>
      <c r="B596" t="s">
        <v>15</v>
      </c>
      <c r="C596" s="19">
        <v>25.5</v>
      </c>
      <c r="D596" s="19" t="s">
        <v>16</v>
      </c>
      <c r="E596" s="19">
        <v>5</v>
      </c>
      <c r="F596" s="19">
        <v>3</v>
      </c>
      <c r="G596" s="19">
        <v>1</v>
      </c>
      <c r="H596" s="20">
        <v>1.0000000000000001E-5</v>
      </c>
      <c r="I596">
        <f t="shared" si="28"/>
        <v>2</v>
      </c>
      <c r="J596">
        <v>10</v>
      </c>
      <c r="K596" s="16">
        <f t="shared" si="29"/>
        <v>20000000</v>
      </c>
    </row>
    <row r="597" spans="1:11">
      <c r="A597">
        <v>1</v>
      </c>
      <c r="B597" t="s">
        <v>15</v>
      </c>
      <c r="C597" s="19">
        <v>25.5</v>
      </c>
      <c r="D597" s="19" t="s">
        <v>16</v>
      </c>
      <c r="E597" s="19">
        <v>6</v>
      </c>
      <c r="F597" s="19">
        <v>6</v>
      </c>
      <c r="G597" s="19">
        <v>8</v>
      </c>
      <c r="H597" s="20">
        <v>9.9999999999999995E-7</v>
      </c>
      <c r="I597">
        <f t="shared" si="28"/>
        <v>7</v>
      </c>
      <c r="J597">
        <v>10</v>
      </c>
      <c r="K597" s="16">
        <f t="shared" si="29"/>
        <v>700000000</v>
      </c>
    </row>
    <row r="598" spans="1:11">
      <c r="A598">
        <v>1</v>
      </c>
      <c r="B598" t="s">
        <v>15</v>
      </c>
      <c r="C598" s="19">
        <v>25.5</v>
      </c>
      <c r="D598" s="19" t="s">
        <v>16</v>
      </c>
      <c r="E598" s="19">
        <v>7</v>
      </c>
      <c r="F598" s="19">
        <v>10</v>
      </c>
      <c r="G598" s="19">
        <v>14</v>
      </c>
      <c r="H598" s="20">
        <v>9.9999999999999995E-7</v>
      </c>
      <c r="I598">
        <f t="shared" si="28"/>
        <v>12</v>
      </c>
      <c r="J598">
        <v>10</v>
      </c>
      <c r="K598" s="16">
        <f t="shared" si="29"/>
        <v>1200000000</v>
      </c>
    </row>
    <row r="599" spans="1:11">
      <c r="A599">
        <v>1</v>
      </c>
      <c r="B599" t="s">
        <v>15</v>
      </c>
      <c r="C599" s="19">
        <v>25.5</v>
      </c>
      <c r="D599" s="19" t="s">
        <v>16</v>
      </c>
      <c r="E599" s="19">
        <v>8</v>
      </c>
      <c r="F599" s="19">
        <v>5</v>
      </c>
      <c r="G599" s="19">
        <v>4</v>
      </c>
      <c r="H599" s="20">
        <v>9.9999999999999995E-7</v>
      </c>
      <c r="I599">
        <f t="shared" si="28"/>
        <v>4.5</v>
      </c>
      <c r="J599">
        <v>10</v>
      </c>
      <c r="K599" s="16">
        <f t="shared" si="29"/>
        <v>450000000</v>
      </c>
    </row>
    <row r="600" spans="1:11">
      <c r="A600">
        <v>1</v>
      </c>
      <c r="B600" t="s">
        <v>15</v>
      </c>
      <c r="C600" s="19">
        <v>25.5</v>
      </c>
      <c r="D600" s="19" t="s">
        <v>16</v>
      </c>
      <c r="E600" s="19">
        <v>9</v>
      </c>
      <c r="F600" s="19">
        <v>6</v>
      </c>
      <c r="G600" s="19">
        <v>6</v>
      </c>
      <c r="H600" s="20">
        <v>9.9999999999999995E-7</v>
      </c>
      <c r="I600">
        <f t="shared" si="28"/>
        <v>6</v>
      </c>
      <c r="J600">
        <v>10</v>
      </c>
      <c r="K600" s="16">
        <f t="shared" si="29"/>
        <v>600000000</v>
      </c>
    </row>
    <row r="601" spans="1:11">
      <c r="A601">
        <v>1</v>
      </c>
      <c r="B601" t="s">
        <v>15</v>
      </c>
      <c r="C601" s="19">
        <v>25.5</v>
      </c>
      <c r="D601" s="19" t="s">
        <v>16</v>
      </c>
      <c r="E601" s="19">
        <v>10</v>
      </c>
      <c r="F601" s="19">
        <v>7</v>
      </c>
      <c r="G601" s="19">
        <v>5</v>
      </c>
      <c r="H601" s="20">
        <v>9.9999999999999995E-7</v>
      </c>
      <c r="I601">
        <f t="shared" si="28"/>
        <v>6</v>
      </c>
      <c r="J601">
        <v>10</v>
      </c>
      <c r="K601" s="16">
        <f t="shared" si="29"/>
        <v>600000000</v>
      </c>
    </row>
    <row r="602" spans="1:11">
      <c r="A602">
        <v>1</v>
      </c>
      <c r="B602" t="s">
        <v>15</v>
      </c>
      <c r="C602" s="19">
        <v>26</v>
      </c>
      <c r="D602" s="19" t="s">
        <v>16</v>
      </c>
      <c r="E602" s="19" t="s">
        <v>19</v>
      </c>
      <c r="F602" s="19">
        <v>5</v>
      </c>
      <c r="G602" s="19">
        <v>2</v>
      </c>
      <c r="H602" s="20">
        <v>9.9999999999999995E-7</v>
      </c>
      <c r="I602">
        <f t="shared" si="28"/>
        <v>3.5</v>
      </c>
      <c r="J602">
        <v>10</v>
      </c>
      <c r="K602" s="16">
        <f t="shared" si="29"/>
        <v>350000000</v>
      </c>
    </row>
    <row r="603" spans="1:11">
      <c r="A603">
        <v>1</v>
      </c>
      <c r="B603" t="s">
        <v>15</v>
      </c>
      <c r="C603" s="19">
        <v>26</v>
      </c>
      <c r="D603" s="19" t="s">
        <v>16</v>
      </c>
      <c r="E603" s="19" t="s">
        <v>20</v>
      </c>
      <c r="F603" s="19">
        <v>12</v>
      </c>
      <c r="G603" s="19">
        <v>8</v>
      </c>
      <c r="H603" s="20">
        <v>9.9999999999999995E-7</v>
      </c>
      <c r="I603">
        <f t="shared" si="28"/>
        <v>10</v>
      </c>
      <c r="J603">
        <v>10</v>
      </c>
      <c r="K603" s="16">
        <f t="shared" si="29"/>
        <v>1000000000</v>
      </c>
    </row>
    <row r="604" spans="1:11">
      <c r="A604">
        <v>1</v>
      </c>
      <c r="B604" t="s">
        <v>15</v>
      </c>
      <c r="C604" s="19">
        <v>26</v>
      </c>
      <c r="D604" s="19" t="s">
        <v>16</v>
      </c>
      <c r="E604" s="19" t="s">
        <v>21</v>
      </c>
      <c r="F604" s="19">
        <v>8</v>
      </c>
      <c r="G604" s="19">
        <v>8</v>
      </c>
      <c r="H604" s="20">
        <v>9.9999999999999995E-7</v>
      </c>
      <c r="I604">
        <f t="shared" si="28"/>
        <v>8</v>
      </c>
      <c r="J604">
        <v>10</v>
      </c>
      <c r="K604" s="16">
        <f t="shared" si="29"/>
        <v>800000000</v>
      </c>
    </row>
    <row r="605" spans="1:11">
      <c r="A605">
        <v>1</v>
      </c>
      <c r="B605" t="s">
        <v>15</v>
      </c>
      <c r="C605" s="19">
        <v>26</v>
      </c>
      <c r="D605" s="19" t="s">
        <v>16</v>
      </c>
      <c r="E605" s="19" t="s">
        <v>22</v>
      </c>
      <c r="F605" s="19">
        <v>7</v>
      </c>
      <c r="G605" s="19">
        <v>5</v>
      </c>
      <c r="H605" s="20">
        <v>9.9999999999999995E-7</v>
      </c>
      <c r="I605">
        <f t="shared" si="28"/>
        <v>6</v>
      </c>
      <c r="J605">
        <v>10</v>
      </c>
      <c r="K605" s="16">
        <f t="shared" si="29"/>
        <v>600000000</v>
      </c>
    </row>
    <row r="606" spans="1:11">
      <c r="A606">
        <v>1</v>
      </c>
      <c r="B606" t="s">
        <v>15</v>
      </c>
      <c r="C606" s="19">
        <v>26</v>
      </c>
      <c r="D606" s="19" t="s">
        <v>16</v>
      </c>
      <c r="E606" s="19">
        <v>1</v>
      </c>
      <c r="F606" s="19">
        <v>4</v>
      </c>
      <c r="G606" s="19">
        <v>5</v>
      </c>
      <c r="H606" s="20">
        <v>9.9999999999999995E-7</v>
      </c>
      <c r="I606">
        <f t="shared" si="28"/>
        <v>4.5</v>
      </c>
      <c r="J606">
        <v>10</v>
      </c>
      <c r="K606" s="16">
        <f t="shared" si="29"/>
        <v>450000000</v>
      </c>
    </row>
    <row r="607" spans="1:11">
      <c r="A607">
        <v>1</v>
      </c>
      <c r="B607" t="s">
        <v>15</v>
      </c>
      <c r="C607" s="19">
        <v>26</v>
      </c>
      <c r="D607" s="19" t="s">
        <v>16</v>
      </c>
      <c r="E607" s="19">
        <v>2</v>
      </c>
      <c r="F607" s="19">
        <v>4</v>
      </c>
      <c r="G607" s="19">
        <v>7</v>
      </c>
      <c r="H607" s="20">
        <v>9.9999999999999995E-7</v>
      </c>
      <c r="I607">
        <f t="shared" si="28"/>
        <v>5.5</v>
      </c>
      <c r="J607">
        <v>10</v>
      </c>
      <c r="K607" s="16">
        <f t="shared" si="29"/>
        <v>550000000</v>
      </c>
    </row>
    <row r="608" spans="1:11">
      <c r="A608">
        <v>1</v>
      </c>
      <c r="B608" t="s">
        <v>15</v>
      </c>
      <c r="C608" s="19">
        <v>26</v>
      </c>
      <c r="D608" s="19" t="s">
        <v>16</v>
      </c>
      <c r="E608" s="19">
        <v>3</v>
      </c>
      <c r="F608" s="19">
        <v>5</v>
      </c>
      <c r="G608" s="19">
        <v>4</v>
      </c>
      <c r="H608" s="20">
        <v>9.9999999999999995E-7</v>
      </c>
      <c r="I608">
        <f t="shared" si="28"/>
        <v>4.5</v>
      </c>
      <c r="J608">
        <v>10</v>
      </c>
      <c r="K608" s="16">
        <f t="shared" si="29"/>
        <v>450000000</v>
      </c>
    </row>
    <row r="609" spans="1:11">
      <c r="A609">
        <v>1</v>
      </c>
      <c r="B609" t="s">
        <v>15</v>
      </c>
      <c r="C609" s="19">
        <v>26</v>
      </c>
      <c r="D609" s="19" t="s">
        <v>16</v>
      </c>
      <c r="E609" s="19">
        <v>4</v>
      </c>
      <c r="F609" s="19">
        <v>4</v>
      </c>
      <c r="G609" s="19">
        <v>7</v>
      </c>
      <c r="H609" s="20">
        <v>9.9999999999999995E-7</v>
      </c>
      <c r="I609">
        <f t="shared" si="28"/>
        <v>5.5</v>
      </c>
      <c r="J609">
        <v>10</v>
      </c>
      <c r="K609" s="16">
        <f t="shared" si="29"/>
        <v>550000000</v>
      </c>
    </row>
    <row r="610" spans="1:11">
      <c r="A610">
        <v>1</v>
      </c>
      <c r="B610" t="s">
        <v>15</v>
      </c>
      <c r="C610" s="19">
        <v>26</v>
      </c>
      <c r="D610" s="19" t="s">
        <v>16</v>
      </c>
      <c r="E610" s="19">
        <v>5</v>
      </c>
      <c r="F610" s="19">
        <v>9</v>
      </c>
      <c r="G610" s="19">
        <v>3</v>
      </c>
      <c r="H610" s="20">
        <v>9.9999999999999995E-7</v>
      </c>
      <c r="I610">
        <f t="shared" si="28"/>
        <v>6</v>
      </c>
      <c r="J610">
        <v>10</v>
      </c>
      <c r="K610" s="16">
        <f t="shared" si="29"/>
        <v>600000000</v>
      </c>
    </row>
    <row r="611" spans="1:11">
      <c r="A611">
        <v>1</v>
      </c>
      <c r="B611" t="s">
        <v>15</v>
      </c>
      <c r="C611" s="19">
        <v>26</v>
      </c>
      <c r="D611" s="19" t="s">
        <v>16</v>
      </c>
      <c r="E611" s="19">
        <v>6</v>
      </c>
      <c r="F611" s="19">
        <v>7</v>
      </c>
      <c r="G611" s="19">
        <v>4</v>
      </c>
      <c r="H611" s="20">
        <v>9.9999999999999995E-7</v>
      </c>
      <c r="I611">
        <f t="shared" si="28"/>
        <v>5.5</v>
      </c>
      <c r="J611">
        <v>10</v>
      </c>
      <c r="K611" s="16">
        <f t="shared" si="29"/>
        <v>550000000</v>
      </c>
    </row>
    <row r="612" spans="1:11">
      <c r="A612">
        <v>1</v>
      </c>
      <c r="B612" t="s">
        <v>15</v>
      </c>
      <c r="C612" s="19">
        <v>26</v>
      </c>
      <c r="D612" s="19" t="s">
        <v>16</v>
      </c>
      <c r="E612" s="19">
        <v>7</v>
      </c>
      <c r="F612" s="19">
        <v>5</v>
      </c>
      <c r="G612" s="19">
        <v>9</v>
      </c>
      <c r="H612" s="20">
        <v>9.9999999999999995E-7</v>
      </c>
      <c r="I612">
        <f t="shared" si="28"/>
        <v>7</v>
      </c>
      <c r="J612">
        <v>10</v>
      </c>
      <c r="K612" s="16">
        <f t="shared" si="29"/>
        <v>700000000</v>
      </c>
    </row>
    <row r="613" spans="1:11">
      <c r="A613">
        <v>1</v>
      </c>
      <c r="B613" t="s">
        <v>15</v>
      </c>
      <c r="C613" s="19">
        <v>26</v>
      </c>
      <c r="D613" s="19" t="s">
        <v>16</v>
      </c>
      <c r="E613" s="19">
        <v>8</v>
      </c>
      <c r="F613" s="19">
        <v>6</v>
      </c>
      <c r="G613" s="19">
        <v>7</v>
      </c>
      <c r="H613" s="20">
        <v>9.9999999999999995E-7</v>
      </c>
      <c r="I613">
        <f t="shared" si="28"/>
        <v>6.5</v>
      </c>
      <c r="J613">
        <v>10</v>
      </c>
      <c r="K613" s="16">
        <f t="shared" si="29"/>
        <v>650000000</v>
      </c>
    </row>
    <row r="614" spans="1:11">
      <c r="A614">
        <v>1</v>
      </c>
      <c r="B614" t="s">
        <v>15</v>
      </c>
      <c r="C614" s="19">
        <v>26</v>
      </c>
      <c r="D614" s="19" t="s">
        <v>16</v>
      </c>
      <c r="E614" s="19">
        <v>9</v>
      </c>
      <c r="F614" s="19">
        <v>8</v>
      </c>
      <c r="G614" s="19">
        <v>8</v>
      </c>
      <c r="H614" s="20">
        <v>9.9999999999999995E-7</v>
      </c>
      <c r="I614">
        <f t="shared" si="28"/>
        <v>8</v>
      </c>
      <c r="J614">
        <v>10</v>
      </c>
      <c r="K614" s="16">
        <f t="shared" si="29"/>
        <v>800000000</v>
      </c>
    </row>
    <row r="615" spans="1:11">
      <c r="A615">
        <v>1</v>
      </c>
      <c r="B615" t="s">
        <v>15</v>
      </c>
      <c r="C615" s="19">
        <v>26</v>
      </c>
      <c r="D615" s="19" t="s">
        <v>16</v>
      </c>
      <c r="E615" s="19">
        <v>10</v>
      </c>
      <c r="F615" s="19">
        <v>2</v>
      </c>
      <c r="G615" s="19">
        <v>7</v>
      </c>
      <c r="H615" s="20">
        <v>9.9999999999999995E-7</v>
      </c>
      <c r="I615">
        <f t="shared" si="28"/>
        <v>4.5</v>
      </c>
      <c r="J615">
        <v>10</v>
      </c>
      <c r="K615" s="16">
        <f t="shared" si="29"/>
        <v>450000000</v>
      </c>
    </row>
    <row r="616" spans="1:11">
      <c r="A616">
        <v>1</v>
      </c>
      <c r="B616" t="s">
        <v>15</v>
      </c>
      <c r="C616" s="19">
        <v>26.5</v>
      </c>
      <c r="D616" s="19" t="s">
        <v>16</v>
      </c>
      <c r="E616" s="19">
        <v>1</v>
      </c>
      <c r="F616" s="21">
        <v>10</v>
      </c>
      <c r="G616" s="21">
        <v>4</v>
      </c>
      <c r="H616" s="22">
        <v>9.9999999999999995E-7</v>
      </c>
      <c r="I616">
        <f t="shared" ref="I616:I644" si="30">AVERAGE(F616:G616)</f>
        <v>7</v>
      </c>
      <c r="J616">
        <v>10</v>
      </c>
      <c r="K616" s="16">
        <f t="shared" si="29"/>
        <v>700000000</v>
      </c>
    </row>
    <row r="617" spans="1:11">
      <c r="A617">
        <v>1</v>
      </c>
      <c r="B617" t="s">
        <v>15</v>
      </c>
      <c r="C617" s="19">
        <v>26.5</v>
      </c>
      <c r="D617" s="19" t="s">
        <v>16</v>
      </c>
      <c r="E617" s="19">
        <v>2</v>
      </c>
      <c r="F617" s="19">
        <v>13</v>
      </c>
      <c r="G617" s="19">
        <v>13</v>
      </c>
      <c r="H617" s="20">
        <v>9.9999999999999995E-7</v>
      </c>
      <c r="I617">
        <f t="shared" si="30"/>
        <v>13</v>
      </c>
      <c r="J617">
        <v>10</v>
      </c>
      <c r="K617" s="16">
        <f t="shared" si="29"/>
        <v>1300000000</v>
      </c>
    </row>
    <row r="618" spans="1:11">
      <c r="A618">
        <v>1</v>
      </c>
      <c r="B618" t="s">
        <v>15</v>
      </c>
      <c r="C618" s="19">
        <v>26.5</v>
      </c>
      <c r="D618" s="19" t="s">
        <v>16</v>
      </c>
      <c r="E618" s="19">
        <v>3</v>
      </c>
      <c r="F618" s="19">
        <v>5</v>
      </c>
      <c r="G618" s="19">
        <v>4</v>
      </c>
      <c r="H618" s="20">
        <v>9.9999999999999995E-7</v>
      </c>
      <c r="I618">
        <f t="shared" si="30"/>
        <v>4.5</v>
      </c>
      <c r="J618">
        <v>10</v>
      </c>
      <c r="K618" s="16">
        <f t="shared" si="29"/>
        <v>450000000</v>
      </c>
    </row>
    <row r="619" spans="1:11">
      <c r="A619">
        <v>1</v>
      </c>
      <c r="B619" t="s">
        <v>15</v>
      </c>
      <c r="C619" s="19">
        <v>26.5</v>
      </c>
      <c r="D619" s="19" t="s">
        <v>16</v>
      </c>
      <c r="E619" s="19">
        <v>4</v>
      </c>
      <c r="F619" s="19">
        <v>9</v>
      </c>
      <c r="G619" s="19">
        <v>4</v>
      </c>
      <c r="H619" s="20">
        <v>9.9999999999999995E-7</v>
      </c>
      <c r="I619">
        <f t="shared" si="30"/>
        <v>6.5</v>
      </c>
      <c r="J619">
        <v>10</v>
      </c>
      <c r="K619" s="16">
        <f t="shared" si="29"/>
        <v>650000000</v>
      </c>
    </row>
    <row r="620" spans="1:11">
      <c r="A620">
        <v>1</v>
      </c>
      <c r="B620" t="s">
        <v>15</v>
      </c>
      <c r="C620" s="19">
        <v>26.5</v>
      </c>
      <c r="D620" s="19" t="s">
        <v>16</v>
      </c>
      <c r="E620" s="19">
        <v>5</v>
      </c>
      <c r="F620" s="19">
        <v>8</v>
      </c>
      <c r="G620" s="19">
        <v>8</v>
      </c>
      <c r="H620" s="20">
        <v>1.0000000000000001E-5</v>
      </c>
      <c r="I620">
        <f t="shared" si="30"/>
        <v>8</v>
      </c>
      <c r="J620">
        <v>10</v>
      </c>
      <c r="K620" s="16">
        <f t="shared" si="29"/>
        <v>80000000</v>
      </c>
    </row>
    <row r="621" spans="1:11">
      <c r="A621">
        <v>1</v>
      </c>
      <c r="B621" t="s">
        <v>15</v>
      </c>
      <c r="C621" s="19">
        <v>26.5</v>
      </c>
      <c r="D621" s="19" t="s">
        <v>16</v>
      </c>
      <c r="E621" s="19">
        <v>6</v>
      </c>
      <c r="F621" s="19">
        <v>5</v>
      </c>
      <c r="G621" s="19">
        <v>5</v>
      </c>
      <c r="H621" s="20">
        <v>9.9999999999999995E-7</v>
      </c>
      <c r="I621">
        <f t="shared" si="30"/>
        <v>5</v>
      </c>
      <c r="J621">
        <v>10</v>
      </c>
      <c r="K621" s="16">
        <f t="shared" si="29"/>
        <v>500000000</v>
      </c>
    </row>
    <row r="622" spans="1:11">
      <c r="A622">
        <v>1</v>
      </c>
      <c r="B622" t="s">
        <v>15</v>
      </c>
      <c r="C622" s="19">
        <v>26.5</v>
      </c>
      <c r="D622" s="19" t="s">
        <v>16</v>
      </c>
      <c r="E622" s="19">
        <v>7</v>
      </c>
      <c r="F622" s="19">
        <v>17</v>
      </c>
      <c r="G622" s="19">
        <v>12</v>
      </c>
      <c r="H622" s="20">
        <v>9.9999999999999995E-7</v>
      </c>
      <c r="I622">
        <f t="shared" si="30"/>
        <v>14.5</v>
      </c>
      <c r="J622">
        <v>10</v>
      </c>
      <c r="K622" s="16">
        <f t="shared" si="29"/>
        <v>1450000000</v>
      </c>
    </row>
    <row r="623" spans="1:11">
      <c r="A623">
        <v>1</v>
      </c>
      <c r="B623" t="s">
        <v>15</v>
      </c>
      <c r="C623" s="19">
        <v>26.5</v>
      </c>
      <c r="D623" s="19" t="s">
        <v>16</v>
      </c>
      <c r="E623" s="19">
        <v>8</v>
      </c>
      <c r="F623" s="19">
        <v>6</v>
      </c>
      <c r="G623" s="19">
        <v>7</v>
      </c>
      <c r="H623" s="20">
        <v>9.9999999999999995E-7</v>
      </c>
      <c r="I623">
        <f t="shared" si="30"/>
        <v>6.5</v>
      </c>
      <c r="J623">
        <v>10</v>
      </c>
      <c r="K623" s="16">
        <f t="shared" si="29"/>
        <v>650000000</v>
      </c>
    </row>
    <row r="624" spans="1:11">
      <c r="A624">
        <v>1</v>
      </c>
      <c r="B624" t="s">
        <v>15</v>
      </c>
      <c r="C624" s="19">
        <v>26.5</v>
      </c>
      <c r="D624" s="19" t="s">
        <v>16</v>
      </c>
      <c r="E624" s="19">
        <v>9</v>
      </c>
      <c r="F624" s="19">
        <v>7</v>
      </c>
      <c r="G624" s="19">
        <v>5</v>
      </c>
      <c r="H624" s="20">
        <v>9.9999999999999995E-7</v>
      </c>
      <c r="I624">
        <f t="shared" si="30"/>
        <v>6</v>
      </c>
      <c r="J624">
        <v>10</v>
      </c>
      <c r="K624" s="16">
        <f t="shared" si="29"/>
        <v>600000000</v>
      </c>
    </row>
    <row r="625" spans="1:11">
      <c r="A625">
        <v>1</v>
      </c>
      <c r="B625" t="s">
        <v>15</v>
      </c>
      <c r="C625" s="19">
        <v>26.5</v>
      </c>
      <c r="D625" s="19" t="s">
        <v>16</v>
      </c>
      <c r="E625" s="19">
        <v>10</v>
      </c>
      <c r="F625" s="19">
        <v>4</v>
      </c>
      <c r="G625" s="19">
        <v>7</v>
      </c>
      <c r="H625" s="20">
        <v>9.9999999999999995E-7</v>
      </c>
      <c r="I625">
        <f t="shared" si="30"/>
        <v>5.5</v>
      </c>
      <c r="J625">
        <v>10</v>
      </c>
      <c r="K625" s="16">
        <f t="shared" si="29"/>
        <v>550000000</v>
      </c>
    </row>
    <row r="626" spans="1:11">
      <c r="A626">
        <v>1</v>
      </c>
      <c r="B626" t="s">
        <v>15</v>
      </c>
      <c r="C626" s="19">
        <v>27</v>
      </c>
      <c r="D626" s="19" t="s">
        <v>16</v>
      </c>
      <c r="E626" s="19" t="s">
        <v>19</v>
      </c>
      <c r="F626" s="19">
        <v>9</v>
      </c>
      <c r="G626" s="19">
        <v>7</v>
      </c>
      <c r="H626" s="20">
        <v>9.9999999999999995E-7</v>
      </c>
      <c r="I626">
        <f t="shared" si="30"/>
        <v>8</v>
      </c>
      <c r="J626">
        <v>10</v>
      </c>
      <c r="K626" s="16">
        <f t="shared" si="29"/>
        <v>800000000</v>
      </c>
    </row>
    <row r="627" spans="1:11">
      <c r="A627">
        <v>1</v>
      </c>
      <c r="B627" t="s">
        <v>15</v>
      </c>
      <c r="C627" s="19">
        <v>27</v>
      </c>
      <c r="D627" s="19" t="s">
        <v>16</v>
      </c>
      <c r="E627" s="19" t="s">
        <v>20</v>
      </c>
      <c r="F627" s="19">
        <v>20</v>
      </c>
      <c r="G627" s="19">
        <v>17</v>
      </c>
      <c r="H627" s="20">
        <v>9.9999999999999995E-7</v>
      </c>
      <c r="I627">
        <f t="shared" si="30"/>
        <v>18.5</v>
      </c>
      <c r="J627">
        <v>10</v>
      </c>
      <c r="K627" s="16">
        <f t="shared" si="29"/>
        <v>1850000000</v>
      </c>
    </row>
    <row r="628" spans="1:11">
      <c r="A628">
        <v>1</v>
      </c>
      <c r="B628" t="s">
        <v>15</v>
      </c>
      <c r="C628" s="19">
        <v>27</v>
      </c>
      <c r="D628" s="19" t="s">
        <v>16</v>
      </c>
      <c r="E628" s="19" t="s">
        <v>21</v>
      </c>
      <c r="F628" s="19">
        <v>17</v>
      </c>
      <c r="G628" s="19">
        <v>13</v>
      </c>
      <c r="H628" s="20">
        <v>9.9999999999999995E-7</v>
      </c>
      <c r="I628">
        <f t="shared" si="30"/>
        <v>15</v>
      </c>
      <c r="J628">
        <v>10</v>
      </c>
      <c r="K628" s="16">
        <f t="shared" si="29"/>
        <v>1500000000</v>
      </c>
    </row>
    <row r="629" spans="1:11">
      <c r="A629">
        <v>1</v>
      </c>
      <c r="B629" t="s">
        <v>15</v>
      </c>
      <c r="C629" s="19">
        <v>27</v>
      </c>
      <c r="D629" s="19" t="s">
        <v>16</v>
      </c>
      <c r="E629" s="19" t="s">
        <v>22</v>
      </c>
      <c r="F629" s="19">
        <v>17</v>
      </c>
      <c r="G629" s="19">
        <v>10</v>
      </c>
      <c r="H629" s="20">
        <v>9.9999999999999995E-7</v>
      </c>
      <c r="I629">
        <f t="shared" si="30"/>
        <v>13.5</v>
      </c>
      <c r="J629">
        <v>10</v>
      </c>
      <c r="K629" s="16">
        <f t="shared" si="29"/>
        <v>1350000000</v>
      </c>
    </row>
    <row r="630" spans="1:11">
      <c r="A630">
        <v>1</v>
      </c>
      <c r="B630" t="s">
        <v>15</v>
      </c>
      <c r="C630" s="19">
        <v>27</v>
      </c>
      <c r="D630" s="19" t="s">
        <v>16</v>
      </c>
      <c r="E630" s="19">
        <v>1</v>
      </c>
      <c r="F630" s="19">
        <v>12</v>
      </c>
      <c r="G630" s="19">
        <v>20</v>
      </c>
      <c r="H630" s="20">
        <v>9.9999999999999995E-7</v>
      </c>
      <c r="I630">
        <f t="shared" si="30"/>
        <v>16</v>
      </c>
      <c r="J630">
        <v>10</v>
      </c>
      <c r="K630" s="16">
        <f t="shared" si="29"/>
        <v>1600000000</v>
      </c>
    </row>
    <row r="631" spans="1:11">
      <c r="A631">
        <v>1</v>
      </c>
      <c r="B631" t="s">
        <v>15</v>
      </c>
      <c r="C631" s="19">
        <v>27</v>
      </c>
      <c r="D631" s="19" t="s">
        <v>16</v>
      </c>
      <c r="E631" s="19">
        <v>2</v>
      </c>
      <c r="F631" s="19">
        <v>19</v>
      </c>
      <c r="G631" s="19">
        <v>19</v>
      </c>
      <c r="H631" s="20">
        <v>9.9999999999999995E-7</v>
      </c>
      <c r="I631">
        <f t="shared" si="30"/>
        <v>19</v>
      </c>
      <c r="J631">
        <v>10</v>
      </c>
      <c r="K631" s="16">
        <f t="shared" si="29"/>
        <v>1900000000</v>
      </c>
    </row>
    <row r="632" spans="1:11">
      <c r="A632">
        <v>1</v>
      </c>
      <c r="B632" t="s">
        <v>15</v>
      </c>
      <c r="C632" s="19">
        <v>27</v>
      </c>
      <c r="D632" s="19" t="s">
        <v>16</v>
      </c>
      <c r="E632" s="19">
        <v>3</v>
      </c>
      <c r="F632" s="19">
        <v>13</v>
      </c>
      <c r="G632" s="19">
        <v>9</v>
      </c>
      <c r="H632" s="20">
        <v>9.9999999999999995E-7</v>
      </c>
      <c r="I632">
        <f t="shared" si="30"/>
        <v>11</v>
      </c>
      <c r="J632">
        <v>10</v>
      </c>
      <c r="K632" s="16">
        <f t="shared" si="29"/>
        <v>1100000000</v>
      </c>
    </row>
    <row r="633" spans="1:11">
      <c r="A633">
        <v>1</v>
      </c>
      <c r="B633" t="s">
        <v>15</v>
      </c>
      <c r="C633" s="19">
        <v>27</v>
      </c>
      <c r="D633" s="19" t="s">
        <v>16</v>
      </c>
      <c r="E633" s="19">
        <v>4</v>
      </c>
      <c r="F633" s="19">
        <v>14</v>
      </c>
      <c r="G633" s="19">
        <v>11</v>
      </c>
      <c r="H633" s="20">
        <v>9.9999999999999995E-7</v>
      </c>
      <c r="I633">
        <f t="shared" si="30"/>
        <v>12.5</v>
      </c>
      <c r="J633">
        <v>10</v>
      </c>
      <c r="K633" s="16">
        <f t="shared" si="29"/>
        <v>1250000000</v>
      </c>
    </row>
    <row r="634" spans="1:11">
      <c r="A634">
        <v>1</v>
      </c>
      <c r="B634" t="s">
        <v>15</v>
      </c>
      <c r="C634" s="19">
        <v>27</v>
      </c>
      <c r="D634" s="19" t="s">
        <v>16</v>
      </c>
      <c r="E634" s="19">
        <v>5</v>
      </c>
      <c r="F634" s="19">
        <v>10</v>
      </c>
      <c r="G634" s="19">
        <v>12</v>
      </c>
      <c r="H634" s="20">
        <v>9.9999999999999995E-7</v>
      </c>
      <c r="I634">
        <f t="shared" si="30"/>
        <v>11</v>
      </c>
      <c r="J634">
        <v>10</v>
      </c>
      <c r="K634" s="16">
        <f t="shared" si="29"/>
        <v>1100000000</v>
      </c>
    </row>
    <row r="635" spans="1:11">
      <c r="A635">
        <v>1</v>
      </c>
      <c r="B635" t="s">
        <v>15</v>
      </c>
      <c r="C635" s="19">
        <v>27</v>
      </c>
      <c r="D635" s="19" t="s">
        <v>16</v>
      </c>
      <c r="E635" s="19">
        <v>6</v>
      </c>
      <c r="F635" s="19">
        <v>5</v>
      </c>
      <c r="G635" s="19">
        <v>8</v>
      </c>
      <c r="H635" s="20">
        <v>9.9999999999999995E-7</v>
      </c>
      <c r="I635">
        <f t="shared" si="30"/>
        <v>6.5</v>
      </c>
      <c r="J635">
        <v>10</v>
      </c>
      <c r="K635" s="16">
        <f t="shared" si="29"/>
        <v>650000000</v>
      </c>
    </row>
    <row r="636" spans="1:11">
      <c r="A636">
        <v>1</v>
      </c>
      <c r="B636" t="s">
        <v>15</v>
      </c>
      <c r="C636" s="19">
        <v>27</v>
      </c>
      <c r="D636" s="19" t="s">
        <v>16</v>
      </c>
      <c r="E636" s="19">
        <v>7</v>
      </c>
      <c r="F636" s="19">
        <v>12</v>
      </c>
      <c r="G636" s="19">
        <v>5</v>
      </c>
      <c r="H636" s="20">
        <v>9.9999999999999995E-7</v>
      </c>
      <c r="I636">
        <f t="shared" si="30"/>
        <v>8.5</v>
      </c>
      <c r="J636">
        <v>10</v>
      </c>
      <c r="K636" s="16">
        <f t="shared" si="29"/>
        <v>850000000</v>
      </c>
    </row>
    <row r="637" spans="1:11">
      <c r="A637">
        <v>1</v>
      </c>
      <c r="B637" t="s">
        <v>15</v>
      </c>
      <c r="C637" s="19">
        <v>27</v>
      </c>
      <c r="D637" s="19" t="s">
        <v>16</v>
      </c>
      <c r="E637" s="19">
        <v>8</v>
      </c>
      <c r="F637" s="19">
        <v>14</v>
      </c>
      <c r="G637" s="19">
        <v>9</v>
      </c>
      <c r="H637" s="20">
        <v>9.9999999999999995E-7</v>
      </c>
      <c r="I637">
        <f t="shared" si="30"/>
        <v>11.5</v>
      </c>
      <c r="J637">
        <v>10</v>
      </c>
      <c r="K637" s="16">
        <f t="shared" si="29"/>
        <v>1150000000</v>
      </c>
    </row>
    <row r="638" spans="1:11">
      <c r="A638">
        <v>1</v>
      </c>
      <c r="B638" t="s">
        <v>15</v>
      </c>
      <c r="C638" s="19">
        <v>27</v>
      </c>
      <c r="D638" s="19" t="s">
        <v>16</v>
      </c>
      <c r="E638" s="19">
        <v>9</v>
      </c>
      <c r="F638" s="19">
        <v>3</v>
      </c>
      <c r="G638" s="19">
        <v>8</v>
      </c>
      <c r="H638" s="20">
        <v>9.9999999999999995E-7</v>
      </c>
      <c r="I638">
        <f t="shared" si="30"/>
        <v>5.5</v>
      </c>
      <c r="J638">
        <v>10</v>
      </c>
      <c r="K638" s="16">
        <f t="shared" si="29"/>
        <v>550000000</v>
      </c>
    </row>
    <row r="639" spans="1:11">
      <c r="A639">
        <v>1</v>
      </c>
      <c r="B639" t="s">
        <v>15</v>
      </c>
      <c r="C639" s="19">
        <v>27</v>
      </c>
      <c r="D639" s="19" t="s">
        <v>16</v>
      </c>
      <c r="E639" s="19">
        <v>10</v>
      </c>
      <c r="F639" s="19">
        <v>6</v>
      </c>
      <c r="G639" s="19">
        <v>4</v>
      </c>
      <c r="H639" s="20">
        <v>9.9999999999999995E-7</v>
      </c>
      <c r="I639">
        <f t="shared" si="30"/>
        <v>5</v>
      </c>
      <c r="J639">
        <v>10</v>
      </c>
      <c r="K639" s="16">
        <f t="shared" si="29"/>
        <v>500000000</v>
      </c>
    </row>
    <row r="640" spans="1:11">
      <c r="A640">
        <v>1</v>
      </c>
      <c r="B640" t="s">
        <v>15</v>
      </c>
      <c r="C640" s="19">
        <v>27.5</v>
      </c>
      <c r="D640" s="19" t="s">
        <v>16</v>
      </c>
      <c r="E640" s="19">
        <v>1</v>
      </c>
      <c r="F640" s="21">
        <v>5</v>
      </c>
      <c r="G640" s="21">
        <v>8</v>
      </c>
      <c r="H640" s="22">
        <v>9.9999999999999995E-7</v>
      </c>
      <c r="I640">
        <f t="shared" si="30"/>
        <v>6.5</v>
      </c>
      <c r="J640">
        <v>10</v>
      </c>
      <c r="K640" s="16">
        <f t="shared" si="29"/>
        <v>650000000</v>
      </c>
    </row>
    <row r="641" spans="1:11">
      <c r="A641">
        <v>1</v>
      </c>
      <c r="B641" t="s">
        <v>15</v>
      </c>
      <c r="C641" s="19">
        <v>27.5</v>
      </c>
      <c r="D641" s="19" t="s">
        <v>16</v>
      </c>
      <c r="E641" s="19">
        <v>2</v>
      </c>
      <c r="F641" s="19">
        <v>17</v>
      </c>
      <c r="G641" s="19">
        <v>15</v>
      </c>
      <c r="H641" s="20">
        <v>9.9999999999999995E-7</v>
      </c>
      <c r="I641">
        <f t="shared" si="30"/>
        <v>16</v>
      </c>
      <c r="J641">
        <v>10</v>
      </c>
      <c r="K641" s="16">
        <f t="shared" si="29"/>
        <v>1600000000</v>
      </c>
    </row>
    <row r="642" spans="1:11">
      <c r="A642">
        <v>1</v>
      </c>
      <c r="B642" t="s">
        <v>15</v>
      </c>
      <c r="C642" s="19">
        <v>27.5</v>
      </c>
      <c r="D642" s="19" t="s">
        <v>16</v>
      </c>
      <c r="E642" s="19">
        <v>3</v>
      </c>
      <c r="F642" s="19">
        <v>13</v>
      </c>
      <c r="G642" s="19">
        <v>8</v>
      </c>
      <c r="H642" s="20">
        <v>1.0000000000000001E-5</v>
      </c>
      <c r="I642">
        <f t="shared" si="30"/>
        <v>10.5</v>
      </c>
      <c r="J642">
        <v>10</v>
      </c>
      <c r="K642" s="16">
        <f t="shared" si="29"/>
        <v>104999999.99999999</v>
      </c>
    </row>
    <row r="643" spans="1:11">
      <c r="A643">
        <v>1</v>
      </c>
      <c r="B643" t="s">
        <v>15</v>
      </c>
      <c r="C643" s="19">
        <v>27.5</v>
      </c>
      <c r="D643" s="19" t="s">
        <v>16</v>
      </c>
      <c r="E643" s="19">
        <v>4</v>
      </c>
      <c r="F643" s="19">
        <v>11</v>
      </c>
      <c r="G643" s="19">
        <v>12</v>
      </c>
      <c r="H643" s="20">
        <v>9.9999999999999995E-7</v>
      </c>
      <c r="I643">
        <f t="shared" si="30"/>
        <v>11.5</v>
      </c>
      <c r="J643">
        <v>10</v>
      </c>
      <c r="K643" s="16">
        <f t="shared" si="29"/>
        <v>1150000000</v>
      </c>
    </row>
    <row r="644" spans="1:11">
      <c r="A644">
        <v>1</v>
      </c>
      <c r="B644" t="s">
        <v>15</v>
      </c>
      <c r="C644" s="19">
        <v>27.5</v>
      </c>
      <c r="D644" s="19" t="s">
        <v>16</v>
      </c>
      <c r="E644" s="19">
        <v>5</v>
      </c>
      <c r="F644" s="19">
        <v>12</v>
      </c>
      <c r="G644" s="19">
        <v>6</v>
      </c>
      <c r="H644" s="20">
        <v>1.0000000000000001E-5</v>
      </c>
      <c r="I644">
        <f t="shared" si="30"/>
        <v>9</v>
      </c>
      <c r="J644">
        <v>10</v>
      </c>
      <c r="K644" s="16">
        <f t="shared" si="29"/>
        <v>89999999.999999985</v>
      </c>
    </row>
    <row r="645" spans="1:11">
      <c r="A645">
        <v>1</v>
      </c>
      <c r="B645" t="s">
        <v>15</v>
      </c>
      <c r="C645" s="19">
        <v>27.5</v>
      </c>
      <c r="D645" s="19" t="s">
        <v>16</v>
      </c>
      <c r="E645" s="19">
        <v>6</v>
      </c>
      <c r="F645" s="19">
        <v>13</v>
      </c>
      <c r="G645" s="19">
        <v>13</v>
      </c>
      <c r="H645" s="20">
        <v>9.9999999999999995E-7</v>
      </c>
      <c r="I645">
        <f t="shared" ref="I645:I674" si="31">AVERAGE(F645:G645)</f>
        <v>13</v>
      </c>
      <c r="J645">
        <v>10</v>
      </c>
      <c r="K645" s="16">
        <f t="shared" si="29"/>
        <v>1300000000</v>
      </c>
    </row>
    <row r="646" spans="1:11">
      <c r="A646">
        <v>1</v>
      </c>
      <c r="B646" t="s">
        <v>15</v>
      </c>
      <c r="C646" s="19">
        <v>27.5</v>
      </c>
      <c r="D646" s="19" t="s">
        <v>16</v>
      </c>
      <c r="E646" s="19">
        <v>7</v>
      </c>
      <c r="F646" s="19">
        <v>8</v>
      </c>
      <c r="G646" s="19">
        <v>11</v>
      </c>
      <c r="H646" s="20">
        <v>9.9999999999999995E-7</v>
      </c>
      <c r="I646">
        <f t="shared" si="31"/>
        <v>9.5</v>
      </c>
      <c r="J646">
        <v>10</v>
      </c>
      <c r="K646" s="16">
        <f t="shared" si="29"/>
        <v>950000000</v>
      </c>
    </row>
    <row r="647" spans="1:11">
      <c r="A647">
        <v>1</v>
      </c>
      <c r="B647" t="s">
        <v>15</v>
      </c>
      <c r="C647" s="19">
        <v>27.5</v>
      </c>
      <c r="D647" s="19" t="s">
        <v>16</v>
      </c>
      <c r="E647" s="19">
        <v>8</v>
      </c>
      <c r="F647" s="19">
        <v>10</v>
      </c>
      <c r="G647" s="19">
        <v>11</v>
      </c>
      <c r="H647" s="20">
        <v>9.9999999999999995E-7</v>
      </c>
      <c r="I647">
        <f t="shared" si="31"/>
        <v>10.5</v>
      </c>
      <c r="J647">
        <v>10</v>
      </c>
      <c r="K647" s="16">
        <f t="shared" si="29"/>
        <v>1050000000</v>
      </c>
    </row>
    <row r="648" spans="1:11">
      <c r="A648">
        <v>1</v>
      </c>
      <c r="B648" t="s">
        <v>15</v>
      </c>
      <c r="C648" s="19">
        <v>27.5</v>
      </c>
      <c r="D648" s="19" t="s">
        <v>16</v>
      </c>
      <c r="E648" s="19">
        <v>9</v>
      </c>
      <c r="F648" s="19">
        <v>12</v>
      </c>
      <c r="G648" s="19">
        <v>12</v>
      </c>
      <c r="H648" s="20">
        <v>9.9999999999999995E-7</v>
      </c>
      <c r="I648">
        <f t="shared" si="31"/>
        <v>12</v>
      </c>
      <c r="J648">
        <v>10</v>
      </c>
      <c r="K648" s="16">
        <f t="shared" si="29"/>
        <v>1200000000</v>
      </c>
    </row>
    <row r="649" spans="1:11">
      <c r="A649">
        <v>1</v>
      </c>
      <c r="B649" t="s">
        <v>15</v>
      </c>
      <c r="C649" s="19">
        <v>27.5</v>
      </c>
      <c r="D649" s="19" t="s">
        <v>16</v>
      </c>
      <c r="E649" s="19">
        <v>10</v>
      </c>
      <c r="F649" s="19">
        <v>10</v>
      </c>
      <c r="G649" s="19">
        <v>8</v>
      </c>
      <c r="H649" s="20">
        <v>9.9999999999999995E-7</v>
      </c>
      <c r="I649">
        <f t="shared" si="31"/>
        <v>9</v>
      </c>
      <c r="J649">
        <v>10</v>
      </c>
      <c r="K649" s="16">
        <f t="shared" si="29"/>
        <v>900000000</v>
      </c>
    </row>
    <row r="650" spans="1:11">
      <c r="A650">
        <v>1</v>
      </c>
      <c r="B650" t="s">
        <v>15</v>
      </c>
      <c r="C650" s="19">
        <v>28</v>
      </c>
      <c r="D650" s="19" t="s">
        <v>16</v>
      </c>
      <c r="E650" s="19" t="s">
        <v>19</v>
      </c>
      <c r="F650" s="19">
        <v>9</v>
      </c>
      <c r="G650" s="19">
        <v>6</v>
      </c>
      <c r="H650" s="20">
        <v>9.9999999999999995E-7</v>
      </c>
      <c r="I650">
        <f t="shared" si="31"/>
        <v>7.5</v>
      </c>
      <c r="J650">
        <v>10</v>
      </c>
      <c r="K650" s="16">
        <f t="shared" si="29"/>
        <v>750000000</v>
      </c>
    </row>
    <row r="651" spans="1:11">
      <c r="A651">
        <v>1</v>
      </c>
      <c r="B651" t="s">
        <v>15</v>
      </c>
      <c r="C651" s="19">
        <v>28</v>
      </c>
      <c r="D651" s="19" t="s">
        <v>16</v>
      </c>
      <c r="E651" s="19" t="s">
        <v>20</v>
      </c>
      <c r="F651" s="19">
        <v>14</v>
      </c>
      <c r="G651" s="19">
        <v>9</v>
      </c>
      <c r="H651" s="20">
        <v>9.9999999999999995E-7</v>
      </c>
      <c r="I651">
        <f t="shared" si="31"/>
        <v>11.5</v>
      </c>
      <c r="J651">
        <v>10</v>
      </c>
      <c r="K651" s="16">
        <f t="shared" si="29"/>
        <v>1150000000</v>
      </c>
    </row>
    <row r="652" spans="1:11">
      <c r="A652">
        <v>1</v>
      </c>
      <c r="B652" t="s">
        <v>15</v>
      </c>
      <c r="C652" s="19">
        <v>28</v>
      </c>
      <c r="D652" s="19" t="s">
        <v>16</v>
      </c>
      <c r="E652" s="19" t="s">
        <v>21</v>
      </c>
      <c r="F652" s="19">
        <v>12</v>
      </c>
      <c r="G652" s="19">
        <v>8</v>
      </c>
      <c r="H652" s="20">
        <v>9.9999999999999995E-7</v>
      </c>
      <c r="I652">
        <f t="shared" si="31"/>
        <v>10</v>
      </c>
      <c r="J652">
        <v>10</v>
      </c>
      <c r="K652" s="16">
        <f t="shared" si="29"/>
        <v>1000000000</v>
      </c>
    </row>
    <row r="653" spans="1:11">
      <c r="A653">
        <v>1</v>
      </c>
      <c r="B653" t="s">
        <v>15</v>
      </c>
      <c r="C653" s="19">
        <v>28</v>
      </c>
      <c r="D653" s="19" t="s">
        <v>16</v>
      </c>
      <c r="E653" s="19" t="s">
        <v>22</v>
      </c>
      <c r="F653" s="19">
        <v>15</v>
      </c>
      <c r="G653" s="19">
        <v>6</v>
      </c>
      <c r="H653" s="20">
        <v>9.9999999999999995E-7</v>
      </c>
      <c r="I653">
        <f t="shared" si="31"/>
        <v>10.5</v>
      </c>
      <c r="J653">
        <v>10</v>
      </c>
      <c r="K653" s="16">
        <f t="shared" si="29"/>
        <v>1050000000</v>
      </c>
    </row>
    <row r="654" spans="1:11">
      <c r="A654">
        <v>1</v>
      </c>
      <c r="B654" t="s">
        <v>15</v>
      </c>
      <c r="C654" s="19">
        <v>28</v>
      </c>
      <c r="D654" s="19" t="s">
        <v>16</v>
      </c>
      <c r="E654" s="19">
        <v>1</v>
      </c>
      <c r="F654" s="19">
        <v>4</v>
      </c>
      <c r="G654" s="19">
        <v>8</v>
      </c>
      <c r="H654" s="20">
        <v>9.9999999999999995E-7</v>
      </c>
      <c r="I654">
        <f t="shared" si="31"/>
        <v>6</v>
      </c>
      <c r="J654">
        <v>10</v>
      </c>
      <c r="K654" s="16">
        <f t="shared" si="29"/>
        <v>600000000</v>
      </c>
    </row>
    <row r="655" spans="1:11">
      <c r="A655">
        <v>1</v>
      </c>
      <c r="B655" t="s">
        <v>15</v>
      </c>
      <c r="C655" s="19">
        <v>28</v>
      </c>
      <c r="D655" s="19" t="s">
        <v>16</v>
      </c>
      <c r="E655" s="19">
        <v>2</v>
      </c>
      <c r="F655" s="19">
        <v>9</v>
      </c>
      <c r="G655" s="19">
        <v>9</v>
      </c>
      <c r="H655" s="20">
        <v>9.9999999999999995E-7</v>
      </c>
      <c r="I655">
        <f t="shared" si="31"/>
        <v>9</v>
      </c>
      <c r="J655">
        <v>10</v>
      </c>
      <c r="K655" s="16">
        <f t="shared" si="29"/>
        <v>900000000</v>
      </c>
    </row>
    <row r="656" spans="1:11">
      <c r="A656">
        <v>1</v>
      </c>
      <c r="B656" t="s">
        <v>15</v>
      </c>
      <c r="C656" s="19">
        <v>28</v>
      </c>
      <c r="D656" s="19" t="s">
        <v>16</v>
      </c>
      <c r="E656" s="19">
        <v>3</v>
      </c>
      <c r="F656" s="19">
        <v>7</v>
      </c>
      <c r="G656" s="19">
        <v>8</v>
      </c>
      <c r="H656" s="20">
        <v>9.9999999999999995E-7</v>
      </c>
      <c r="I656">
        <f t="shared" si="31"/>
        <v>7.5</v>
      </c>
      <c r="J656">
        <v>10</v>
      </c>
      <c r="K656" s="16">
        <f t="shared" si="29"/>
        <v>750000000</v>
      </c>
    </row>
    <row r="657" spans="1:11">
      <c r="A657">
        <v>1</v>
      </c>
      <c r="B657" t="s">
        <v>15</v>
      </c>
      <c r="C657" s="19">
        <v>28</v>
      </c>
      <c r="D657" s="19" t="s">
        <v>16</v>
      </c>
      <c r="E657" s="19">
        <v>4</v>
      </c>
      <c r="F657" s="19">
        <v>4</v>
      </c>
      <c r="G657" s="19">
        <v>10</v>
      </c>
      <c r="H657" s="20">
        <v>9.9999999999999995E-7</v>
      </c>
      <c r="I657">
        <f t="shared" si="31"/>
        <v>7</v>
      </c>
      <c r="J657">
        <v>10</v>
      </c>
      <c r="K657" s="16">
        <f t="shared" si="29"/>
        <v>700000000</v>
      </c>
    </row>
    <row r="658" spans="1:11">
      <c r="A658">
        <v>1</v>
      </c>
      <c r="B658" t="s">
        <v>15</v>
      </c>
      <c r="C658" s="19">
        <v>28</v>
      </c>
      <c r="D658" s="19" t="s">
        <v>16</v>
      </c>
      <c r="E658" s="19">
        <v>5</v>
      </c>
      <c r="F658" s="19">
        <v>10</v>
      </c>
      <c r="G658" s="19">
        <v>8</v>
      </c>
      <c r="H658" s="20">
        <v>9.9999999999999995E-7</v>
      </c>
      <c r="I658">
        <f t="shared" si="31"/>
        <v>9</v>
      </c>
      <c r="J658">
        <v>10</v>
      </c>
      <c r="K658" s="16">
        <f t="shared" si="29"/>
        <v>900000000</v>
      </c>
    </row>
    <row r="659" spans="1:11">
      <c r="A659">
        <v>1</v>
      </c>
      <c r="B659" t="s">
        <v>15</v>
      </c>
      <c r="C659" s="19">
        <v>28</v>
      </c>
      <c r="D659" s="19" t="s">
        <v>16</v>
      </c>
      <c r="E659" s="19">
        <v>6</v>
      </c>
      <c r="F659" s="19">
        <v>8</v>
      </c>
      <c r="G659" s="19">
        <v>4</v>
      </c>
      <c r="H659" s="20">
        <v>9.9999999999999995E-7</v>
      </c>
      <c r="I659">
        <f t="shared" si="31"/>
        <v>6</v>
      </c>
      <c r="J659">
        <v>10</v>
      </c>
      <c r="K659" s="16">
        <f t="shared" ref="K659:K722" si="32">I659/(H659*(J659/1000))</f>
        <v>600000000</v>
      </c>
    </row>
    <row r="660" spans="1:11">
      <c r="A660">
        <v>1</v>
      </c>
      <c r="B660" t="s">
        <v>15</v>
      </c>
      <c r="C660" s="19">
        <v>28</v>
      </c>
      <c r="D660" s="19" t="s">
        <v>16</v>
      </c>
      <c r="E660" s="19">
        <v>7</v>
      </c>
      <c r="F660" s="19">
        <v>2</v>
      </c>
      <c r="G660" s="19">
        <v>6</v>
      </c>
      <c r="H660" s="20">
        <v>9.9999999999999995E-7</v>
      </c>
      <c r="I660">
        <f t="shared" si="31"/>
        <v>4</v>
      </c>
      <c r="J660">
        <v>10</v>
      </c>
      <c r="K660" s="16">
        <f t="shared" si="32"/>
        <v>400000000</v>
      </c>
    </row>
    <row r="661" spans="1:11">
      <c r="A661">
        <v>1</v>
      </c>
      <c r="B661" t="s">
        <v>15</v>
      </c>
      <c r="C661" s="19">
        <v>28</v>
      </c>
      <c r="D661" s="19" t="s">
        <v>16</v>
      </c>
      <c r="E661" s="19">
        <v>8</v>
      </c>
      <c r="F661" s="19">
        <v>4</v>
      </c>
      <c r="G661" s="19">
        <v>8</v>
      </c>
      <c r="H661" s="20">
        <v>9.9999999999999995E-7</v>
      </c>
      <c r="I661">
        <f t="shared" si="31"/>
        <v>6</v>
      </c>
      <c r="J661">
        <v>10</v>
      </c>
      <c r="K661" s="16">
        <f t="shared" si="32"/>
        <v>600000000</v>
      </c>
    </row>
    <row r="662" spans="1:11">
      <c r="A662">
        <v>1</v>
      </c>
      <c r="B662" t="s">
        <v>15</v>
      </c>
      <c r="C662" s="19">
        <v>28</v>
      </c>
      <c r="D662" s="19" t="s">
        <v>16</v>
      </c>
      <c r="E662" s="19">
        <v>9</v>
      </c>
      <c r="F662" s="19">
        <v>9</v>
      </c>
      <c r="G662" s="19">
        <v>4</v>
      </c>
      <c r="H662" s="20">
        <v>9.9999999999999995E-7</v>
      </c>
      <c r="I662">
        <f t="shared" si="31"/>
        <v>6.5</v>
      </c>
      <c r="J662">
        <v>10</v>
      </c>
      <c r="K662" s="16">
        <f t="shared" si="32"/>
        <v>650000000</v>
      </c>
    </row>
    <row r="663" spans="1:11">
      <c r="A663">
        <v>1</v>
      </c>
      <c r="B663" t="s">
        <v>15</v>
      </c>
      <c r="C663" s="19">
        <v>28</v>
      </c>
      <c r="D663" s="19" t="s">
        <v>16</v>
      </c>
      <c r="E663" s="19">
        <v>10</v>
      </c>
      <c r="F663" s="19">
        <v>9</v>
      </c>
      <c r="G663" s="19">
        <v>4</v>
      </c>
      <c r="H663" s="20">
        <v>9.9999999999999995E-7</v>
      </c>
      <c r="I663">
        <f t="shared" si="31"/>
        <v>6.5</v>
      </c>
      <c r="J663">
        <v>10</v>
      </c>
      <c r="K663" s="16">
        <f t="shared" si="32"/>
        <v>650000000</v>
      </c>
    </row>
    <row r="664" spans="1:11">
      <c r="A664">
        <v>1</v>
      </c>
      <c r="B664" t="s">
        <v>15</v>
      </c>
      <c r="C664" s="19">
        <v>28.5</v>
      </c>
      <c r="D664" s="19" t="s">
        <v>16</v>
      </c>
      <c r="E664" s="19">
        <v>1</v>
      </c>
      <c r="F664" s="21">
        <v>5</v>
      </c>
      <c r="G664" s="21">
        <v>6</v>
      </c>
      <c r="H664" s="22">
        <v>9.9999999999999995E-7</v>
      </c>
      <c r="I664">
        <f t="shared" si="31"/>
        <v>5.5</v>
      </c>
      <c r="J664">
        <v>10</v>
      </c>
      <c r="K664" s="16">
        <f t="shared" si="32"/>
        <v>550000000</v>
      </c>
    </row>
    <row r="665" spans="1:11">
      <c r="A665">
        <v>1</v>
      </c>
      <c r="B665" t="s">
        <v>15</v>
      </c>
      <c r="C665" s="19">
        <v>28.5</v>
      </c>
      <c r="D665" s="19" t="s">
        <v>16</v>
      </c>
      <c r="E665" s="19">
        <v>2</v>
      </c>
      <c r="F665" s="19">
        <v>21</v>
      </c>
      <c r="G665" s="19">
        <v>14</v>
      </c>
      <c r="H665" s="20">
        <v>1.0000000000000001E-5</v>
      </c>
      <c r="I665">
        <f t="shared" si="31"/>
        <v>17.5</v>
      </c>
      <c r="J665">
        <v>10</v>
      </c>
      <c r="K665" s="16">
        <f t="shared" si="32"/>
        <v>174999999.99999997</v>
      </c>
    </row>
    <row r="666" spans="1:11">
      <c r="A666">
        <v>1</v>
      </c>
      <c r="B666" t="s">
        <v>15</v>
      </c>
      <c r="C666" s="19">
        <v>28.5</v>
      </c>
      <c r="D666" s="19" t="s">
        <v>16</v>
      </c>
      <c r="E666" s="19">
        <v>3</v>
      </c>
      <c r="F666" s="19">
        <v>2</v>
      </c>
      <c r="G666" s="19">
        <v>3</v>
      </c>
      <c r="H666" s="20">
        <v>9.9999999999999995E-7</v>
      </c>
      <c r="I666">
        <f t="shared" si="31"/>
        <v>2.5</v>
      </c>
      <c r="J666">
        <v>10</v>
      </c>
      <c r="K666" s="16">
        <f t="shared" si="32"/>
        <v>250000000</v>
      </c>
    </row>
    <row r="667" spans="1:11">
      <c r="A667">
        <v>1</v>
      </c>
      <c r="B667" t="s">
        <v>15</v>
      </c>
      <c r="C667" s="19">
        <v>28.5</v>
      </c>
      <c r="D667" s="19" t="s">
        <v>16</v>
      </c>
      <c r="E667" s="19">
        <v>4</v>
      </c>
      <c r="F667" s="19">
        <v>8</v>
      </c>
      <c r="G667" s="19">
        <v>7</v>
      </c>
      <c r="H667" s="20">
        <v>1E-3</v>
      </c>
      <c r="I667">
        <f t="shared" si="31"/>
        <v>7.5</v>
      </c>
      <c r="J667">
        <v>10</v>
      </c>
      <c r="K667" s="16">
        <f t="shared" si="32"/>
        <v>749999.99999999988</v>
      </c>
    </row>
    <row r="668" spans="1:11">
      <c r="A668">
        <v>1</v>
      </c>
      <c r="B668" t="s">
        <v>15</v>
      </c>
      <c r="C668" s="19">
        <v>28.5</v>
      </c>
      <c r="D668" s="19" t="s">
        <v>16</v>
      </c>
      <c r="E668" s="19">
        <v>5</v>
      </c>
      <c r="F668" s="19">
        <v>6</v>
      </c>
      <c r="G668" s="19">
        <v>9</v>
      </c>
      <c r="H668" s="20">
        <v>1.0000000000000001E-5</v>
      </c>
      <c r="I668">
        <f t="shared" si="31"/>
        <v>7.5</v>
      </c>
      <c r="J668">
        <v>10</v>
      </c>
      <c r="K668" s="16">
        <f t="shared" si="32"/>
        <v>75000000</v>
      </c>
    </row>
    <row r="669" spans="1:11">
      <c r="A669">
        <v>1</v>
      </c>
      <c r="B669" t="s">
        <v>15</v>
      </c>
      <c r="C669" s="19">
        <v>28.5</v>
      </c>
      <c r="D669" s="19" t="s">
        <v>16</v>
      </c>
      <c r="E669" s="19">
        <v>6</v>
      </c>
      <c r="F669" s="19">
        <v>15</v>
      </c>
      <c r="G669" s="19">
        <v>13</v>
      </c>
      <c r="H669" s="20">
        <v>1E-4</v>
      </c>
      <c r="I669">
        <f t="shared" si="31"/>
        <v>14</v>
      </c>
      <c r="J669">
        <v>10</v>
      </c>
      <c r="K669" s="16">
        <f t="shared" si="32"/>
        <v>13999999.999999998</v>
      </c>
    </row>
    <row r="670" spans="1:11">
      <c r="A670">
        <v>1</v>
      </c>
      <c r="B670" t="s">
        <v>15</v>
      </c>
      <c r="C670" s="19">
        <v>28.5</v>
      </c>
      <c r="D670" s="19" t="s">
        <v>16</v>
      </c>
      <c r="E670" s="19">
        <v>7</v>
      </c>
      <c r="F670" s="19">
        <v>2</v>
      </c>
      <c r="G670" s="19">
        <v>7</v>
      </c>
      <c r="H670" s="20">
        <v>1.0000000000000001E-5</v>
      </c>
      <c r="I670">
        <f t="shared" si="31"/>
        <v>4.5</v>
      </c>
      <c r="J670">
        <v>10</v>
      </c>
      <c r="K670" s="16">
        <f t="shared" si="32"/>
        <v>44999999.999999993</v>
      </c>
    </row>
    <row r="671" spans="1:11">
      <c r="A671">
        <v>1</v>
      </c>
      <c r="B671" t="s">
        <v>15</v>
      </c>
      <c r="C671" s="19">
        <v>28.5</v>
      </c>
      <c r="D671" s="19" t="s">
        <v>16</v>
      </c>
      <c r="E671" s="19">
        <v>8</v>
      </c>
      <c r="F671" s="19">
        <v>1</v>
      </c>
      <c r="G671" s="19">
        <v>3</v>
      </c>
      <c r="H671" s="20">
        <v>1.0000000000000001E-5</v>
      </c>
      <c r="I671">
        <f t="shared" si="31"/>
        <v>2</v>
      </c>
      <c r="J671">
        <v>10</v>
      </c>
      <c r="K671" s="16">
        <f t="shared" si="32"/>
        <v>20000000</v>
      </c>
    </row>
    <row r="672" spans="1:11">
      <c r="A672">
        <v>1</v>
      </c>
      <c r="B672" t="s">
        <v>15</v>
      </c>
      <c r="C672" s="19">
        <v>28.5</v>
      </c>
      <c r="D672" s="19" t="s">
        <v>16</v>
      </c>
      <c r="E672" s="19">
        <v>9</v>
      </c>
      <c r="F672" s="19">
        <v>5</v>
      </c>
      <c r="G672" s="19">
        <v>1</v>
      </c>
      <c r="H672" s="20">
        <v>9.9999999999999995E-7</v>
      </c>
      <c r="I672">
        <f t="shared" si="31"/>
        <v>3</v>
      </c>
      <c r="J672">
        <v>10</v>
      </c>
      <c r="K672" s="16">
        <f t="shared" si="32"/>
        <v>300000000</v>
      </c>
    </row>
    <row r="673" spans="1:11">
      <c r="A673">
        <v>1</v>
      </c>
      <c r="B673" t="s">
        <v>15</v>
      </c>
      <c r="C673" s="19">
        <v>28.5</v>
      </c>
      <c r="D673" s="19" t="s">
        <v>16</v>
      </c>
      <c r="E673" s="19">
        <v>10</v>
      </c>
      <c r="F673" s="23">
        <v>20</v>
      </c>
      <c r="G673" s="19">
        <v>4</v>
      </c>
      <c r="H673" s="20">
        <v>1.0000000000000001E-5</v>
      </c>
      <c r="I673">
        <f t="shared" si="31"/>
        <v>12</v>
      </c>
      <c r="J673">
        <v>10</v>
      </c>
      <c r="K673" s="16">
        <f t="shared" si="32"/>
        <v>119999999.99999999</v>
      </c>
    </row>
    <row r="674" spans="1:11">
      <c r="A674">
        <v>1</v>
      </c>
      <c r="B674" t="s">
        <v>15</v>
      </c>
      <c r="C674" s="19">
        <v>29</v>
      </c>
      <c r="D674" s="19" t="s">
        <v>16</v>
      </c>
      <c r="E674" s="19" t="s">
        <v>19</v>
      </c>
      <c r="F674" s="19">
        <v>22</v>
      </c>
      <c r="G674" s="19">
        <v>17</v>
      </c>
      <c r="H674" s="20">
        <v>9.9999999999999995E-7</v>
      </c>
      <c r="I674">
        <f t="shared" si="31"/>
        <v>19.5</v>
      </c>
      <c r="J674">
        <v>10</v>
      </c>
      <c r="K674" s="16">
        <f t="shared" si="32"/>
        <v>1950000000</v>
      </c>
    </row>
    <row r="675" spans="1:11">
      <c r="A675">
        <v>1</v>
      </c>
      <c r="B675" t="s">
        <v>15</v>
      </c>
      <c r="C675" s="19">
        <v>29</v>
      </c>
      <c r="D675" s="19" t="s">
        <v>16</v>
      </c>
      <c r="E675" s="19" t="s">
        <v>20</v>
      </c>
      <c r="F675" s="19">
        <v>10</v>
      </c>
      <c r="G675" s="19">
        <v>9</v>
      </c>
      <c r="H675" s="20">
        <v>9.9999999999999995E-7</v>
      </c>
      <c r="I675">
        <f t="shared" ref="I675:I711" si="33">AVERAGE(F675:G675)</f>
        <v>9.5</v>
      </c>
      <c r="J675">
        <v>10</v>
      </c>
      <c r="K675" s="16">
        <f t="shared" si="32"/>
        <v>950000000</v>
      </c>
    </row>
    <row r="676" spans="1:11">
      <c r="A676">
        <v>1</v>
      </c>
      <c r="B676" t="s">
        <v>15</v>
      </c>
      <c r="C676" s="19">
        <v>29</v>
      </c>
      <c r="D676" s="19" t="s">
        <v>16</v>
      </c>
      <c r="E676" s="19" t="s">
        <v>21</v>
      </c>
      <c r="F676" s="19">
        <v>16</v>
      </c>
      <c r="G676" s="19">
        <v>18</v>
      </c>
      <c r="H676" s="20">
        <v>9.9999999999999995E-7</v>
      </c>
      <c r="I676">
        <f t="shared" si="33"/>
        <v>17</v>
      </c>
      <c r="J676">
        <v>10</v>
      </c>
      <c r="K676" s="16">
        <f t="shared" si="32"/>
        <v>1700000000</v>
      </c>
    </row>
    <row r="677" spans="1:11">
      <c r="A677">
        <v>1</v>
      </c>
      <c r="B677" t="s">
        <v>15</v>
      </c>
      <c r="C677" s="19">
        <v>29</v>
      </c>
      <c r="D677" s="19" t="s">
        <v>16</v>
      </c>
      <c r="E677" s="19" t="s">
        <v>22</v>
      </c>
      <c r="F677" s="19">
        <v>10</v>
      </c>
      <c r="G677" s="19">
        <v>13</v>
      </c>
      <c r="H677" s="20">
        <v>9.9999999999999995E-7</v>
      </c>
      <c r="I677">
        <f t="shared" si="33"/>
        <v>11.5</v>
      </c>
      <c r="J677">
        <v>10</v>
      </c>
      <c r="K677" s="16">
        <f t="shared" si="32"/>
        <v>1150000000</v>
      </c>
    </row>
    <row r="678" spans="1:11">
      <c r="A678">
        <v>1</v>
      </c>
      <c r="B678" t="s">
        <v>15</v>
      </c>
      <c r="C678" s="19">
        <v>29</v>
      </c>
      <c r="D678" s="19" t="s">
        <v>16</v>
      </c>
      <c r="E678" s="19">
        <v>1</v>
      </c>
      <c r="F678" s="19">
        <v>1</v>
      </c>
      <c r="G678" s="19">
        <v>6</v>
      </c>
      <c r="H678" s="20">
        <v>9.9999999999999995E-7</v>
      </c>
      <c r="I678">
        <f t="shared" si="33"/>
        <v>3.5</v>
      </c>
      <c r="J678">
        <v>10</v>
      </c>
      <c r="K678" s="16">
        <f t="shared" si="32"/>
        <v>350000000</v>
      </c>
    </row>
    <row r="679" spans="1:11">
      <c r="A679">
        <v>1</v>
      </c>
      <c r="B679" t="s">
        <v>15</v>
      </c>
      <c r="C679" s="19">
        <v>29</v>
      </c>
      <c r="D679" s="19" t="s">
        <v>16</v>
      </c>
      <c r="E679" s="19">
        <v>2</v>
      </c>
      <c r="F679" s="19">
        <v>9</v>
      </c>
      <c r="G679" s="19">
        <v>3</v>
      </c>
      <c r="H679" s="20">
        <v>9.9999999999999995E-7</v>
      </c>
      <c r="I679">
        <f t="shared" si="33"/>
        <v>6</v>
      </c>
      <c r="J679">
        <v>10</v>
      </c>
      <c r="K679" s="16">
        <f t="shared" si="32"/>
        <v>600000000</v>
      </c>
    </row>
    <row r="680" spans="1:11">
      <c r="A680">
        <v>1</v>
      </c>
      <c r="B680" t="s">
        <v>15</v>
      </c>
      <c r="C680" s="19">
        <v>29</v>
      </c>
      <c r="D680" s="19" t="s">
        <v>16</v>
      </c>
      <c r="E680" s="19">
        <v>3</v>
      </c>
      <c r="F680" s="19">
        <v>7</v>
      </c>
      <c r="G680" s="19">
        <v>8</v>
      </c>
      <c r="H680" s="20">
        <v>9.9999999999999995E-7</v>
      </c>
      <c r="I680">
        <f t="shared" si="33"/>
        <v>7.5</v>
      </c>
      <c r="J680">
        <v>10</v>
      </c>
      <c r="K680" s="16">
        <f t="shared" si="32"/>
        <v>750000000</v>
      </c>
    </row>
    <row r="681" spans="1:11">
      <c r="A681">
        <v>1</v>
      </c>
      <c r="B681" t="s">
        <v>15</v>
      </c>
      <c r="C681" s="19">
        <v>29</v>
      </c>
      <c r="D681" s="19" t="s">
        <v>16</v>
      </c>
      <c r="E681" s="19">
        <v>4</v>
      </c>
      <c r="F681" s="19">
        <v>5</v>
      </c>
      <c r="G681" s="19">
        <v>15</v>
      </c>
      <c r="H681" s="20">
        <v>9.9999999999999995E-7</v>
      </c>
      <c r="I681">
        <f t="shared" si="33"/>
        <v>10</v>
      </c>
      <c r="J681">
        <v>10</v>
      </c>
      <c r="K681" s="16">
        <f t="shared" si="32"/>
        <v>1000000000</v>
      </c>
    </row>
    <row r="682" spans="1:11">
      <c r="A682">
        <v>1</v>
      </c>
      <c r="B682" t="s">
        <v>15</v>
      </c>
      <c r="C682" s="19">
        <v>29</v>
      </c>
      <c r="D682" s="19" t="s">
        <v>16</v>
      </c>
      <c r="E682" s="19">
        <v>5</v>
      </c>
      <c r="F682" s="19">
        <v>7</v>
      </c>
      <c r="G682" s="19">
        <v>4</v>
      </c>
      <c r="H682" s="20">
        <v>9.9999999999999995E-7</v>
      </c>
      <c r="I682">
        <f t="shared" si="33"/>
        <v>5.5</v>
      </c>
      <c r="J682">
        <v>10</v>
      </c>
      <c r="K682" s="16">
        <f t="shared" si="32"/>
        <v>550000000</v>
      </c>
    </row>
    <row r="683" spans="1:11">
      <c r="A683">
        <v>1</v>
      </c>
      <c r="B683" t="s">
        <v>15</v>
      </c>
      <c r="C683" s="19">
        <v>29</v>
      </c>
      <c r="D683" s="19" t="s">
        <v>16</v>
      </c>
      <c r="E683" s="19">
        <v>6</v>
      </c>
      <c r="F683" s="19">
        <v>11</v>
      </c>
      <c r="G683" s="19">
        <v>5</v>
      </c>
      <c r="H683" s="20">
        <v>9.9999999999999995E-7</v>
      </c>
      <c r="I683">
        <f t="shared" si="33"/>
        <v>8</v>
      </c>
      <c r="J683">
        <v>10</v>
      </c>
      <c r="K683" s="16">
        <f t="shared" si="32"/>
        <v>800000000</v>
      </c>
    </row>
    <row r="684" spans="1:11">
      <c r="A684">
        <v>1</v>
      </c>
      <c r="B684" t="s">
        <v>15</v>
      </c>
      <c r="C684" s="19">
        <v>29</v>
      </c>
      <c r="D684" s="19" t="s">
        <v>16</v>
      </c>
      <c r="E684" s="19">
        <v>7</v>
      </c>
      <c r="F684" s="19">
        <v>10</v>
      </c>
      <c r="G684" s="19">
        <v>12</v>
      </c>
      <c r="H684" s="20">
        <v>9.9999999999999995E-7</v>
      </c>
      <c r="I684">
        <f t="shared" si="33"/>
        <v>11</v>
      </c>
      <c r="J684">
        <v>10</v>
      </c>
      <c r="K684" s="16">
        <f t="shared" si="32"/>
        <v>1100000000</v>
      </c>
    </row>
    <row r="685" spans="1:11">
      <c r="A685">
        <v>1</v>
      </c>
      <c r="B685" t="s">
        <v>15</v>
      </c>
      <c r="C685" s="19">
        <v>29</v>
      </c>
      <c r="D685" s="19" t="s">
        <v>16</v>
      </c>
      <c r="E685" s="19">
        <v>8</v>
      </c>
      <c r="F685" s="19">
        <v>4</v>
      </c>
      <c r="G685" s="19">
        <v>7</v>
      </c>
      <c r="H685" s="20">
        <v>9.9999999999999995E-7</v>
      </c>
      <c r="I685">
        <f t="shared" si="33"/>
        <v>5.5</v>
      </c>
      <c r="J685">
        <v>10</v>
      </c>
      <c r="K685" s="16">
        <f t="shared" si="32"/>
        <v>550000000</v>
      </c>
    </row>
    <row r="686" spans="1:11">
      <c r="A686">
        <v>1</v>
      </c>
      <c r="B686" t="s">
        <v>15</v>
      </c>
      <c r="C686" s="19">
        <v>29</v>
      </c>
      <c r="D686" s="19" t="s">
        <v>16</v>
      </c>
      <c r="E686" s="19">
        <v>9</v>
      </c>
      <c r="F686" s="19">
        <v>5</v>
      </c>
      <c r="G686" s="19">
        <v>5</v>
      </c>
      <c r="H686" s="20">
        <v>9.9999999999999995E-7</v>
      </c>
      <c r="I686">
        <f t="shared" si="33"/>
        <v>5</v>
      </c>
      <c r="J686">
        <v>10</v>
      </c>
      <c r="K686" s="16">
        <f t="shared" si="32"/>
        <v>500000000</v>
      </c>
    </row>
    <row r="687" spans="1:11">
      <c r="A687">
        <v>1</v>
      </c>
      <c r="B687" t="s">
        <v>15</v>
      </c>
      <c r="C687" s="19">
        <v>29</v>
      </c>
      <c r="D687" s="19" t="s">
        <v>16</v>
      </c>
      <c r="E687" s="19">
        <v>10</v>
      </c>
      <c r="F687" s="19">
        <v>6</v>
      </c>
      <c r="G687" s="19">
        <v>2</v>
      </c>
      <c r="H687" s="20">
        <v>9.9999999999999995E-7</v>
      </c>
      <c r="I687">
        <f t="shared" si="33"/>
        <v>4</v>
      </c>
      <c r="J687">
        <v>10</v>
      </c>
      <c r="K687" s="16">
        <f t="shared" si="32"/>
        <v>400000000</v>
      </c>
    </row>
    <row r="688" spans="1:11">
      <c r="A688">
        <v>1</v>
      </c>
      <c r="B688" t="s">
        <v>15</v>
      </c>
      <c r="C688" s="19">
        <v>29.5</v>
      </c>
      <c r="D688" s="19" t="s">
        <v>16</v>
      </c>
      <c r="E688" s="19">
        <v>1</v>
      </c>
      <c r="F688" s="21">
        <v>8</v>
      </c>
      <c r="G688" s="21">
        <v>6</v>
      </c>
      <c r="H688" s="22">
        <v>9.9999999999999995E-7</v>
      </c>
      <c r="I688">
        <f t="shared" si="33"/>
        <v>7</v>
      </c>
      <c r="J688">
        <v>10</v>
      </c>
      <c r="K688" s="16">
        <f t="shared" si="32"/>
        <v>700000000</v>
      </c>
    </row>
    <row r="689" spans="1:11">
      <c r="A689">
        <v>1</v>
      </c>
      <c r="B689" t="s">
        <v>15</v>
      </c>
      <c r="C689" s="19">
        <v>29.5</v>
      </c>
      <c r="D689" s="19" t="s">
        <v>16</v>
      </c>
      <c r="E689" s="19">
        <v>2</v>
      </c>
      <c r="F689" s="19">
        <v>10</v>
      </c>
      <c r="G689" s="19">
        <v>7</v>
      </c>
      <c r="H689" s="20">
        <v>9.9999999999999995E-7</v>
      </c>
      <c r="I689">
        <f t="shared" si="33"/>
        <v>8.5</v>
      </c>
      <c r="J689">
        <v>10</v>
      </c>
      <c r="K689" s="16">
        <f t="shared" si="32"/>
        <v>850000000</v>
      </c>
    </row>
    <row r="690" spans="1:11">
      <c r="A690">
        <v>1</v>
      </c>
      <c r="B690" t="s">
        <v>15</v>
      </c>
      <c r="C690" s="19">
        <v>29.5</v>
      </c>
      <c r="D690" s="19" t="s">
        <v>16</v>
      </c>
      <c r="E690" s="19">
        <v>3</v>
      </c>
      <c r="F690" s="19">
        <v>5</v>
      </c>
      <c r="G690" s="19">
        <v>6</v>
      </c>
      <c r="H690" s="20">
        <v>9.9999999999999995E-7</v>
      </c>
      <c r="I690">
        <f t="shared" si="33"/>
        <v>5.5</v>
      </c>
      <c r="J690">
        <v>10</v>
      </c>
      <c r="K690" s="16">
        <f t="shared" si="32"/>
        <v>550000000</v>
      </c>
    </row>
    <row r="691" spans="1:11">
      <c r="A691">
        <v>1</v>
      </c>
      <c r="B691" t="s">
        <v>15</v>
      </c>
      <c r="C691" s="19">
        <v>29.5</v>
      </c>
      <c r="D691" s="19" t="s">
        <v>16</v>
      </c>
      <c r="E691" s="19">
        <v>4</v>
      </c>
      <c r="F691" s="19">
        <v>5</v>
      </c>
      <c r="G691" s="19">
        <v>6</v>
      </c>
      <c r="H691" s="20">
        <v>1E-4</v>
      </c>
      <c r="I691">
        <f t="shared" si="33"/>
        <v>5.5</v>
      </c>
      <c r="J691">
        <v>10</v>
      </c>
      <c r="K691" s="16">
        <f t="shared" si="32"/>
        <v>5499999.9999999991</v>
      </c>
    </row>
    <row r="692" spans="1:11">
      <c r="A692">
        <v>1</v>
      </c>
      <c r="B692" t="s">
        <v>15</v>
      </c>
      <c r="C692" s="19">
        <v>29.5</v>
      </c>
      <c r="D692" s="19" t="s">
        <v>16</v>
      </c>
      <c r="E692" s="19">
        <v>5</v>
      </c>
      <c r="F692" s="19">
        <v>6</v>
      </c>
      <c r="G692" s="19">
        <v>7</v>
      </c>
      <c r="H692" s="20">
        <v>9.9999999999999995E-7</v>
      </c>
      <c r="I692">
        <f t="shared" si="33"/>
        <v>6.5</v>
      </c>
      <c r="J692">
        <v>10</v>
      </c>
      <c r="K692" s="16">
        <f t="shared" si="32"/>
        <v>650000000</v>
      </c>
    </row>
    <row r="693" spans="1:11">
      <c r="A693">
        <v>1</v>
      </c>
      <c r="B693" t="s">
        <v>15</v>
      </c>
      <c r="C693" s="19">
        <v>29.5</v>
      </c>
      <c r="D693" s="19" t="s">
        <v>16</v>
      </c>
      <c r="E693" s="19">
        <v>6</v>
      </c>
      <c r="F693" s="19">
        <v>9</v>
      </c>
      <c r="G693" s="19">
        <v>16</v>
      </c>
      <c r="H693" s="20">
        <v>9.9999999999999995E-7</v>
      </c>
      <c r="I693">
        <f t="shared" si="33"/>
        <v>12.5</v>
      </c>
      <c r="J693">
        <v>10</v>
      </c>
      <c r="K693" s="16">
        <f t="shared" si="32"/>
        <v>1250000000</v>
      </c>
    </row>
    <row r="694" spans="1:11">
      <c r="A694">
        <v>1</v>
      </c>
      <c r="B694" t="s">
        <v>15</v>
      </c>
      <c r="C694" s="19">
        <v>29.5</v>
      </c>
      <c r="D694" s="19" t="s">
        <v>16</v>
      </c>
      <c r="E694" s="19">
        <v>7</v>
      </c>
      <c r="F694" s="19">
        <v>15</v>
      </c>
      <c r="G694" s="19">
        <v>19</v>
      </c>
      <c r="H694" s="20">
        <v>9.9999999999999995E-7</v>
      </c>
      <c r="I694">
        <f t="shared" si="33"/>
        <v>17</v>
      </c>
      <c r="J694">
        <v>10</v>
      </c>
      <c r="K694" s="16">
        <f t="shared" si="32"/>
        <v>1700000000</v>
      </c>
    </row>
    <row r="695" spans="1:11">
      <c r="A695">
        <v>1</v>
      </c>
      <c r="B695" t="s">
        <v>15</v>
      </c>
      <c r="C695" s="19">
        <v>29.5</v>
      </c>
      <c r="D695" s="19" t="s">
        <v>16</v>
      </c>
      <c r="E695" s="19">
        <v>8</v>
      </c>
      <c r="F695" s="19">
        <v>6</v>
      </c>
      <c r="G695" s="19">
        <v>9</v>
      </c>
      <c r="H695" s="20">
        <v>9.9999999999999995E-7</v>
      </c>
      <c r="I695">
        <f t="shared" si="33"/>
        <v>7.5</v>
      </c>
      <c r="J695">
        <v>10</v>
      </c>
      <c r="K695" s="16">
        <f t="shared" si="32"/>
        <v>750000000</v>
      </c>
    </row>
    <row r="696" spans="1:11">
      <c r="A696">
        <v>1</v>
      </c>
      <c r="B696" t="s">
        <v>15</v>
      </c>
      <c r="C696" s="19">
        <v>29.5</v>
      </c>
      <c r="D696" s="19" t="s">
        <v>16</v>
      </c>
      <c r="E696" s="19">
        <v>9</v>
      </c>
      <c r="F696" s="19">
        <v>1</v>
      </c>
      <c r="G696" s="19">
        <v>2</v>
      </c>
      <c r="H696" s="20">
        <v>9.9999999999999995E-7</v>
      </c>
      <c r="I696">
        <f t="shared" si="33"/>
        <v>1.5</v>
      </c>
      <c r="J696">
        <v>10</v>
      </c>
      <c r="K696" s="16">
        <f t="shared" si="32"/>
        <v>150000000</v>
      </c>
    </row>
    <row r="697" spans="1:11">
      <c r="A697">
        <v>1</v>
      </c>
      <c r="B697" t="s">
        <v>15</v>
      </c>
      <c r="C697" s="19">
        <v>29.5</v>
      </c>
      <c r="D697" s="19" t="s">
        <v>16</v>
      </c>
      <c r="E697" s="19">
        <v>10</v>
      </c>
      <c r="F697" s="19">
        <v>14</v>
      </c>
      <c r="G697" s="19">
        <v>8</v>
      </c>
      <c r="H697" s="20">
        <v>9.9999999999999995E-7</v>
      </c>
      <c r="I697">
        <f t="shared" si="33"/>
        <v>11</v>
      </c>
      <c r="J697">
        <v>10</v>
      </c>
      <c r="K697" s="16">
        <f t="shared" si="32"/>
        <v>1100000000</v>
      </c>
    </row>
    <row r="698" spans="1:11">
      <c r="A698">
        <v>1</v>
      </c>
      <c r="B698" t="s">
        <v>15</v>
      </c>
      <c r="C698" s="19">
        <v>30</v>
      </c>
      <c r="D698" s="19" t="s">
        <v>16</v>
      </c>
      <c r="E698" s="19" t="s">
        <v>19</v>
      </c>
      <c r="F698" s="19">
        <v>11</v>
      </c>
      <c r="G698" s="19">
        <v>9</v>
      </c>
      <c r="H698" s="20">
        <v>9.9999999999999995E-7</v>
      </c>
      <c r="I698">
        <f t="shared" si="33"/>
        <v>10</v>
      </c>
      <c r="J698">
        <v>10</v>
      </c>
      <c r="K698" s="16">
        <f t="shared" si="32"/>
        <v>1000000000</v>
      </c>
    </row>
    <row r="699" spans="1:11">
      <c r="A699">
        <v>1</v>
      </c>
      <c r="B699" t="s">
        <v>15</v>
      </c>
      <c r="C699" s="19">
        <v>30</v>
      </c>
      <c r="D699" s="19" t="s">
        <v>16</v>
      </c>
      <c r="E699" s="19" t="s">
        <v>20</v>
      </c>
      <c r="F699" s="19">
        <v>5</v>
      </c>
      <c r="G699" s="19">
        <v>15</v>
      </c>
      <c r="H699" s="20">
        <v>9.9999999999999995E-7</v>
      </c>
      <c r="I699">
        <f t="shared" si="33"/>
        <v>10</v>
      </c>
      <c r="J699">
        <v>10</v>
      </c>
      <c r="K699" s="16">
        <f t="shared" si="32"/>
        <v>1000000000</v>
      </c>
    </row>
    <row r="700" spans="1:11">
      <c r="A700">
        <v>1</v>
      </c>
      <c r="B700" t="s">
        <v>15</v>
      </c>
      <c r="C700" s="19">
        <v>30</v>
      </c>
      <c r="D700" s="19" t="s">
        <v>16</v>
      </c>
      <c r="E700" s="19" t="s">
        <v>21</v>
      </c>
      <c r="F700" s="19">
        <v>8</v>
      </c>
      <c r="G700" s="19">
        <v>17</v>
      </c>
      <c r="H700" s="20">
        <v>9.9999999999999995E-7</v>
      </c>
      <c r="I700">
        <f t="shared" si="33"/>
        <v>12.5</v>
      </c>
      <c r="J700">
        <v>10</v>
      </c>
      <c r="K700" s="16">
        <f t="shared" si="32"/>
        <v>1250000000</v>
      </c>
    </row>
    <row r="701" spans="1:11">
      <c r="A701">
        <v>1</v>
      </c>
      <c r="B701" t="s">
        <v>15</v>
      </c>
      <c r="C701" s="19">
        <v>30</v>
      </c>
      <c r="D701" s="19" t="s">
        <v>16</v>
      </c>
      <c r="E701" s="19" t="s">
        <v>22</v>
      </c>
      <c r="F701" s="19">
        <v>4</v>
      </c>
      <c r="G701" s="19">
        <v>4</v>
      </c>
      <c r="H701" s="20">
        <v>9.9999999999999995E-7</v>
      </c>
      <c r="I701">
        <f t="shared" si="33"/>
        <v>4</v>
      </c>
      <c r="J701">
        <v>10</v>
      </c>
      <c r="K701" s="16">
        <f t="shared" si="32"/>
        <v>400000000</v>
      </c>
    </row>
    <row r="702" spans="1:11">
      <c r="A702">
        <v>1</v>
      </c>
      <c r="B702" t="s">
        <v>15</v>
      </c>
      <c r="C702" s="19">
        <v>30</v>
      </c>
      <c r="D702" s="19" t="s">
        <v>16</v>
      </c>
      <c r="E702" s="19">
        <v>1</v>
      </c>
      <c r="F702" s="19">
        <v>2</v>
      </c>
      <c r="G702" s="19">
        <v>1</v>
      </c>
      <c r="H702" s="20">
        <v>9.9999999999999995E-7</v>
      </c>
      <c r="I702">
        <f t="shared" si="33"/>
        <v>1.5</v>
      </c>
      <c r="J702">
        <v>10</v>
      </c>
      <c r="K702" s="16">
        <f t="shared" si="32"/>
        <v>150000000</v>
      </c>
    </row>
    <row r="703" spans="1:11">
      <c r="A703">
        <v>1</v>
      </c>
      <c r="B703" t="s">
        <v>15</v>
      </c>
      <c r="C703" s="19">
        <v>30</v>
      </c>
      <c r="D703" s="19" t="s">
        <v>16</v>
      </c>
      <c r="E703" s="19">
        <v>2</v>
      </c>
      <c r="F703" s="23">
        <v>60</v>
      </c>
      <c r="G703" s="19">
        <v>34</v>
      </c>
      <c r="H703" s="20">
        <v>1.0000000000000001E-5</v>
      </c>
      <c r="I703">
        <f t="shared" si="33"/>
        <v>47</v>
      </c>
      <c r="J703">
        <v>10</v>
      </c>
      <c r="K703" s="16">
        <f t="shared" si="32"/>
        <v>469999999.99999994</v>
      </c>
    </row>
    <row r="704" spans="1:11">
      <c r="A704">
        <v>1</v>
      </c>
      <c r="B704" t="s">
        <v>15</v>
      </c>
      <c r="C704" s="19">
        <v>30</v>
      </c>
      <c r="D704" s="19" t="s">
        <v>16</v>
      </c>
      <c r="E704" s="19">
        <v>3</v>
      </c>
      <c r="F704" s="19">
        <v>2</v>
      </c>
      <c r="G704" s="19">
        <v>2</v>
      </c>
      <c r="H704" s="20">
        <v>9.9999999999999995E-7</v>
      </c>
      <c r="I704">
        <f t="shared" si="33"/>
        <v>2</v>
      </c>
      <c r="J704">
        <v>10</v>
      </c>
      <c r="K704" s="16">
        <f t="shared" si="32"/>
        <v>200000000</v>
      </c>
    </row>
    <row r="705" spans="1:11">
      <c r="A705">
        <v>1</v>
      </c>
      <c r="B705" t="s">
        <v>15</v>
      </c>
      <c r="C705" s="19">
        <v>30</v>
      </c>
      <c r="D705" s="19" t="s">
        <v>16</v>
      </c>
      <c r="E705" s="19">
        <v>4</v>
      </c>
      <c r="F705" s="19">
        <v>4</v>
      </c>
      <c r="G705" s="19">
        <v>3</v>
      </c>
      <c r="H705" s="20">
        <v>9.9999999999999995E-7</v>
      </c>
      <c r="I705">
        <f t="shared" si="33"/>
        <v>3.5</v>
      </c>
      <c r="J705">
        <v>10</v>
      </c>
      <c r="K705" s="16">
        <f t="shared" si="32"/>
        <v>350000000</v>
      </c>
    </row>
    <row r="706" spans="1:11">
      <c r="A706">
        <v>1</v>
      </c>
      <c r="B706" t="s">
        <v>15</v>
      </c>
      <c r="C706" s="19">
        <v>30</v>
      </c>
      <c r="D706" s="19" t="s">
        <v>16</v>
      </c>
      <c r="E706" s="19">
        <v>5</v>
      </c>
      <c r="F706" s="19">
        <v>1</v>
      </c>
      <c r="G706" s="19">
        <v>2</v>
      </c>
      <c r="H706" s="20">
        <v>9.9999999999999995E-7</v>
      </c>
      <c r="I706">
        <f t="shared" si="33"/>
        <v>1.5</v>
      </c>
      <c r="J706">
        <v>10</v>
      </c>
      <c r="K706" s="16">
        <f t="shared" si="32"/>
        <v>150000000</v>
      </c>
    </row>
    <row r="707" spans="1:11">
      <c r="A707">
        <v>1</v>
      </c>
      <c r="B707" t="s">
        <v>15</v>
      </c>
      <c r="C707" s="19">
        <v>30</v>
      </c>
      <c r="D707" s="19" t="s">
        <v>16</v>
      </c>
      <c r="E707" s="19">
        <v>6</v>
      </c>
      <c r="F707" s="19">
        <v>4</v>
      </c>
      <c r="G707" s="19">
        <v>6</v>
      </c>
      <c r="H707" s="20">
        <v>9.9999999999999995E-7</v>
      </c>
      <c r="I707">
        <f t="shared" si="33"/>
        <v>5</v>
      </c>
      <c r="J707">
        <v>10</v>
      </c>
      <c r="K707" s="16">
        <f t="shared" si="32"/>
        <v>500000000</v>
      </c>
    </row>
    <row r="708" spans="1:11">
      <c r="A708">
        <v>1</v>
      </c>
      <c r="B708" t="s">
        <v>15</v>
      </c>
      <c r="C708" s="19">
        <v>30</v>
      </c>
      <c r="D708" s="19" t="s">
        <v>16</v>
      </c>
      <c r="E708" s="19">
        <v>7</v>
      </c>
      <c r="F708" s="19">
        <v>4</v>
      </c>
      <c r="G708" s="19">
        <v>4</v>
      </c>
      <c r="H708" s="20">
        <v>9.9999999999999995E-7</v>
      </c>
      <c r="I708">
        <f t="shared" si="33"/>
        <v>4</v>
      </c>
      <c r="J708">
        <v>10</v>
      </c>
      <c r="K708" s="16">
        <f t="shared" si="32"/>
        <v>400000000</v>
      </c>
    </row>
    <row r="709" spans="1:11">
      <c r="A709">
        <v>1</v>
      </c>
      <c r="B709" t="s">
        <v>15</v>
      </c>
      <c r="C709" s="19">
        <v>30</v>
      </c>
      <c r="D709" s="19" t="s">
        <v>16</v>
      </c>
      <c r="E709" s="19">
        <v>8</v>
      </c>
      <c r="F709" s="19">
        <v>4</v>
      </c>
      <c r="G709" s="19">
        <v>2</v>
      </c>
      <c r="H709" s="20">
        <v>9.9999999999999995E-7</v>
      </c>
      <c r="I709">
        <f t="shared" si="33"/>
        <v>3</v>
      </c>
      <c r="J709">
        <v>10</v>
      </c>
      <c r="K709" s="16">
        <f t="shared" si="32"/>
        <v>300000000</v>
      </c>
    </row>
    <row r="710" spans="1:11">
      <c r="A710">
        <v>1</v>
      </c>
      <c r="B710" t="s">
        <v>15</v>
      </c>
      <c r="C710" s="19">
        <v>30</v>
      </c>
      <c r="D710" s="19" t="s">
        <v>16</v>
      </c>
      <c r="E710" s="19">
        <v>9</v>
      </c>
      <c r="F710" s="19">
        <v>9</v>
      </c>
      <c r="G710" s="19">
        <v>4</v>
      </c>
      <c r="H710" s="20">
        <v>9.9999999999999995E-7</v>
      </c>
      <c r="I710">
        <f t="shared" si="33"/>
        <v>6.5</v>
      </c>
      <c r="J710">
        <v>10</v>
      </c>
      <c r="K710" s="16">
        <f t="shared" si="32"/>
        <v>650000000</v>
      </c>
    </row>
    <row r="711" spans="1:11">
      <c r="A711">
        <v>1</v>
      </c>
      <c r="B711" t="s">
        <v>15</v>
      </c>
      <c r="C711" s="19">
        <v>30</v>
      </c>
      <c r="D711" s="19" t="s">
        <v>16</v>
      </c>
      <c r="E711" s="19">
        <v>10</v>
      </c>
      <c r="F711" s="19">
        <v>18</v>
      </c>
      <c r="G711" s="23">
        <v>20</v>
      </c>
      <c r="H711" s="20">
        <v>1.0000000000000001E-5</v>
      </c>
      <c r="I711">
        <f t="shared" si="33"/>
        <v>19</v>
      </c>
      <c r="J711">
        <v>10</v>
      </c>
      <c r="K711" s="16">
        <f t="shared" si="32"/>
        <v>189999999.99999997</v>
      </c>
    </row>
    <row r="712" spans="1:11">
      <c r="A712">
        <v>1</v>
      </c>
      <c r="B712" t="s">
        <v>15</v>
      </c>
      <c r="C712" s="19">
        <v>30.5</v>
      </c>
      <c r="D712" s="19" t="s">
        <v>16</v>
      </c>
      <c r="E712" s="19">
        <v>1</v>
      </c>
      <c r="F712" s="21">
        <v>6</v>
      </c>
      <c r="G712" s="21">
        <v>7</v>
      </c>
      <c r="H712" s="20">
        <v>9.9999999999999995E-7</v>
      </c>
      <c r="I712">
        <f t="shared" ref="I712:I740" si="34">AVERAGE(F712:G712)</f>
        <v>6.5</v>
      </c>
      <c r="J712">
        <v>10</v>
      </c>
      <c r="K712" s="16">
        <f t="shared" si="32"/>
        <v>650000000</v>
      </c>
    </row>
    <row r="713" spans="1:11">
      <c r="A713">
        <v>1</v>
      </c>
      <c r="B713" t="s">
        <v>15</v>
      </c>
      <c r="C713" s="19">
        <v>30.5</v>
      </c>
      <c r="D713" s="19" t="s">
        <v>16</v>
      </c>
      <c r="E713" s="19">
        <v>2</v>
      </c>
      <c r="F713" s="19">
        <v>4</v>
      </c>
      <c r="G713" s="19">
        <v>11</v>
      </c>
      <c r="H713" s="20">
        <v>9.9999999999999995E-7</v>
      </c>
      <c r="I713">
        <f t="shared" si="34"/>
        <v>7.5</v>
      </c>
      <c r="J713">
        <v>10</v>
      </c>
      <c r="K713" s="16">
        <f t="shared" si="32"/>
        <v>750000000</v>
      </c>
    </row>
    <row r="714" spans="1:11">
      <c r="A714">
        <v>1</v>
      </c>
      <c r="B714" t="s">
        <v>15</v>
      </c>
      <c r="C714" s="19">
        <v>30.5</v>
      </c>
      <c r="D714" s="19" t="s">
        <v>16</v>
      </c>
      <c r="E714" s="19">
        <v>3</v>
      </c>
      <c r="F714" s="19">
        <v>10</v>
      </c>
      <c r="G714" s="19">
        <v>1</v>
      </c>
      <c r="H714" s="20">
        <v>9.9999999999999995E-7</v>
      </c>
      <c r="I714">
        <f t="shared" si="34"/>
        <v>5.5</v>
      </c>
      <c r="J714">
        <v>10</v>
      </c>
      <c r="K714" s="16">
        <f t="shared" si="32"/>
        <v>550000000</v>
      </c>
    </row>
    <row r="715" spans="1:11">
      <c r="A715">
        <v>1</v>
      </c>
      <c r="B715" t="s">
        <v>15</v>
      </c>
      <c r="C715" s="19">
        <v>30.5</v>
      </c>
      <c r="D715" s="19" t="s">
        <v>16</v>
      </c>
      <c r="E715" s="19">
        <v>4</v>
      </c>
      <c r="F715" s="19">
        <v>2</v>
      </c>
      <c r="G715" s="19">
        <v>1</v>
      </c>
      <c r="H715" s="20">
        <v>9.9999999999999995E-7</v>
      </c>
      <c r="I715">
        <f t="shared" si="34"/>
        <v>1.5</v>
      </c>
      <c r="J715">
        <v>10</v>
      </c>
      <c r="K715" s="16">
        <f t="shared" si="32"/>
        <v>150000000</v>
      </c>
    </row>
    <row r="716" spans="1:11">
      <c r="A716">
        <v>1</v>
      </c>
      <c r="B716" t="s">
        <v>15</v>
      </c>
      <c r="C716" s="19">
        <v>30.5</v>
      </c>
      <c r="D716" s="19" t="s">
        <v>16</v>
      </c>
      <c r="E716" s="19">
        <v>5</v>
      </c>
      <c r="F716" s="19">
        <v>17</v>
      </c>
      <c r="G716" s="19">
        <v>10</v>
      </c>
      <c r="H716" s="20">
        <v>1.0000000000000001E-5</v>
      </c>
      <c r="I716">
        <f t="shared" si="34"/>
        <v>13.5</v>
      </c>
      <c r="J716">
        <v>10</v>
      </c>
      <c r="K716" s="16">
        <f t="shared" si="32"/>
        <v>135000000</v>
      </c>
    </row>
    <row r="717" spans="1:11">
      <c r="A717">
        <v>1</v>
      </c>
      <c r="B717" t="s">
        <v>15</v>
      </c>
      <c r="C717" s="19">
        <v>30.5</v>
      </c>
      <c r="D717" s="19" t="s">
        <v>16</v>
      </c>
      <c r="E717" s="19">
        <v>6</v>
      </c>
      <c r="F717" s="19">
        <v>3</v>
      </c>
      <c r="G717" s="19">
        <v>3</v>
      </c>
      <c r="H717" s="20">
        <v>9.9999999999999995E-7</v>
      </c>
      <c r="I717">
        <f t="shared" si="34"/>
        <v>3</v>
      </c>
      <c r="J717">
        <v>10</v>
      </c>
      <c r="K717" s="16">
        <f t="shared" si="32"/>
        <v>300000000</v>
      </c>
    </row>
    <row r="718" spans="1:11">
      <c r="A718">
        <v>1</v>
      </c>
      <c r="B718" t="s">
        <v>15</v>
      </c>
      <c r="C718" s="19">
        <v>30.5</v>
      </c>
      <c r="D718" s="19" t="s">
        <v>16</v>
      </c>
      <c r="E718" s="19">
        <v>7</v>
      </c>
      <c r="F718" s="19">
        <v>5</v>
      </c>
      <c r="G718" s="19">
        <v>4</v>
      </c>
      <c r="H718" s="20">
        <v>9.9999999999999995E-7</v>
      </c>
      <c r="I718">
        <f t="shared" si="34"/>
        <v>4.5</v>
      </c>
      <c r="J718">
        <v>10</v>
      </c>
      <c r="K718" s="16">
        <f t="shared" si="32"/>
        <v>450000000</v>
      </c>
    </row>
    <row r="719" spans="1:11">
      <c r="A719">
        <v>1</v>
      </c>
      <c r="B719" t="s">
        <v>15</v>
      </c>
      <c r="C719" s="19">
        <v>30.5</v>
      </c>
      <c r="D719" s="19" t="s">
        <v>16</v>
      </c>
      <c r="E719" s="19">
        <v>8</v>
      </c>
      <c r="F719" s="19">
        <v>6</v>
      </c>
      <c r="G719" s="19">
        <v>7</v>
      </c>
      <c r="H719" s="20">
        <v>1.0000000000000001E-5</v>
      </c>
      <c r="I719">
        <f t="shared" si="34"/>
        <v>6.5</v>
      </c>
      <c r="J719">
        <v>10</v>
      </c>
      <c r="K719" s="16">
        <f t="shared" si="32"/>
        <v>64999999.999999993</v>
      </c>
    </row>
    <row r="720" spans="1:11">
      <c r="A720">
        <v>1</v>
      </c>
      <c r="B720" t="s">
        <v>15</v>
      </c>
      <c r="C720" s="19">
        <v>30.5</v>
      </c>
      <c r="D720" s="19" t="s">
        <v>16</v>
      </c>
      <c r="E720" s="19">
        <v>9</v>
      </c>
      <c r="F720" s="19">
        <v>6</v>
      </c>
      <c r="G720" s="19">
        <v>3</v>
      </c>
      <c r="H720" s="20">
        <v>1.0000000000000001E-5</v>
      </c>
      <c r="I720">
        <f t="shared" si="34"/>
        <v>4.5</v>
      </c>
      <c r="J720">
        <v>10</v>
      </c>
      <c r="K720" s="16">
        <f t="shared" si="32"/>
        <v>44999999.999999993</v>
      </c>
    </row>
    <row r="721" spans="1:11">
      <c r="A721">
        <v>1</v>
      </c>
      <c r="B721" t="s">
        <v>15</v>
      </c>
      <c r="C721" s="19">
        <v>30.5</v>
      </c>
      <c r="D721" s="19" t="s">
        <v>16</v>
      </c>
      <c r="E721" s="19">
        <v>10</v>
      </c>
      <c r="F721" s="19">
        <v>15</v>
      </c>
      <c r="G721" s="19">
        <v>16</v>
      </c>
      <c r="H721" s="20">
        <v>1.0000000000000001E-5</v>
      </c>
      <c r="I721">
        <f t="shared" si="34"/>
        <v>15.5</v>
      </c>
      <c r="J721">
        <v>10</v>
      </c>
      <c r="K721" s="16">
        <f t="shared" si="32"/>
        <v>155000000</v>
      </c>
    </row>
    <row r="722" spans="1:11">
      <c r="A722">
        <v>1</v>
      </c>
      <c r="B722" t="s">
        <v>15</v>
      </c>
      <c r="C722" s="19">
        <v>31</v>
      </c>
      <c r="D722" s="19" t="s">
        <v>16</v>
      </c>
      <c r="E722" s="19" t="s">
        <v>19</v>
      </c>
      <c r="F722" s="19">
        <v>11</v>
      </c>
      <c r="G722" s="19">
        <v>12</v>
      </c>
      <c r="H722" s="20">
        <v>9.9999999999999995E-7</v>
      </c>
      <c r="I722">
        <f t="shared" si="34"/>
        <v>11.5</v>
      </c>
      <c r="J722">
        <v>10</v>
      </c>
      <c r="K722" s="16">
        <f t="shared" si="32"/>
        <v>1150000000</v>
      </c>
    </row>
    <row r="723" spans="1:11">
      <c r="A723">
        <v>1</v>
      </c>
      <c r="B723" t="s">
        <v>15</v>
      </c>
      <c r="C723" s="19">
        <v>31</v>
      </c>
      <c r="D723" s="19" t="s">
        <v>16</v>
      </c>
      <c r="E723" s="19" t="s">
        <v>20</v>
      </c>
      <c r="F723" s="19">
        <v>11</v>
      </c>
      <c r="G723" s="19">
        <v>9</v>
      </c>
      <c r="H723" s="20">
        <v>9.9999999999999995E-7</v>
      </c>
      <c r="I723">
        <f t="shared" si="34"/>
        <v>10</v>
      </c>
      <c r="J723">
        <v>10</v>
      </c>
      <c r="K723" s="16">
        <f t="shared" ref="K723:K786" si="35">I723/(H723*(J723/1000))</f>
        <v>1000000000</v>
      </c>
    </row>
    <row r="724" spans="1:11">
      <c r="A724">
        <v>1</v>
      </c>
      <c r="B724" t="s">
        <v>15</v>
      </c>
      <c r="C724" s="19">
        <v>31</v>
      </c>
      <c r="D724" s="19" t="s">
        <v>16</v>
      </c>
      <c r="E724" s="19" t="s">
        <v>21</v>
      </c>
      <c r="F724" s="19">
        <v>19</v>
      </c>
      <c r="G724" s="19">
        <v>14</v>
      </c>
      <c r="H724" s="20">
        <v>9.9999999999999995E-7</v>
      </c>
      <c r="I724">
        <f t="shared" si="34"/>
        <v>16.5</v>
      </c>
      <c r="J724">
        <v>10</v>
      </c>
      <c r="K724" s="16">
        <f t="shared" si="35"/>
        <v>1650000000</v>
      </c>
    </row>
    <row r="725" spans="1:11">
      <c r="A725">
        <v>1</v>
      </c>
      <c r="B725" t="s">
        <v>15</v>
      </c>
      <c r="C725" s="19">
        <v>31</v>
      </c>
      <c r="D725" s="19" t="s">
        <v>16</v>
      </c>
      <c r="E725" s="19" t="s">
        <v>22</v>
      </c>
      <c r="F725" s="19">
        <v>9</v>
      </c>
      <c r="G725" s="19">
        <v>6</v>
      </c>
      <c r="H725" s="20">
        <v>9.9999999999999995E-7</v>
      </c>
      <c r="I725">
        <f t="shared" si="34"/>
        <v>7.5</v>
      </c>
      <c r="J725">
        <v>10</v>
      </c>
      <c r="K725" s="16">
        <f t="shared" si="35"/>
        <v>750000000</v>
      </c>
    </row>
    <row r="726" spans="1:11">
      <c r="A726">
        <v>1</v>
      </c>
      <c r="B726" t="s">
        <v>15</v>
      </c>
      <c r="C726" s="19">
        <v>31</v>
      </c>
      <c r="D726" s="19" t="s">
        <v>16</v>
      </c>
      <c r="E726" s="19">
        <v>1</v>
      </c>
      <c r="F726" s="19">
        <v>3</v>
      </c>
      <c r="G726" s="19">
        <v>3</v>
      </c>
      <c r="H726" s="20">
        <v>9.9999999999999995E-7</v>
      </c>
      <c r="I726">
        <f t="shared" si="34"/>
        <v>3</v>
      </c>
      <c r="J726">
        <v>10</v>
      </c>
      <c r="K726" s="16">
        <f t="shared" si="35"/>
        <v>300000000</v>
      </c>
    </row>
    <row r="727" spans="1:11">
      <c r="A727">
        <v>1</v>
      </c>
      <c r="B727" t="s">
        <v>15</v>
      </c>
      <c r="C727" s="19">
        <v>31</v>
      </c>
      <c r="D727" s="19" t="s">
        <v>16</v>
      </c>
      <c r="E727" s="19">
        <v>2</v>
      </c>
      <c r="F727" s="19">
        <v>2</v>
      </c>
      <c r="G727" s="19">
        <v>5</v>
      </c>
      <c r="H727" s="20">
        <v>9.9999999999999995E-7</v>
      </c>
      <c r="I727">
        <f t="shared" si="34"/>
        <v>3.5</v>
      </c>
      <c r="J727">
        <v>10</v>
      </c>
      <c r="K727" s="16">
        <f t="shared" si="35"/>
        <v>350000000</v>
      </c>
    </row>
    <row r="728" spans="1:11">
      <c r="A728">
        <v>1</v>
      </c>
      <c r="B728" t="s">
        <v>15</v>
      </c>
      <c r="C728" s="19">
        <v>31</v>
      </c>
      <c r="D728" s="19" t="s">
        <v>16</v>
      </c>
      <c r="E728" s="19">
        <v>3</v>
      </c>
      <c r="F728" s="19">
        <v>4</v>
      </c>
      <c r="G728" s="19">
        <v>5</v>
      </c>
      <c r="H728" s="20">
        <v>9.9999999999999995E-7</v>
      </c>
      <c r="I728">
        <f t="shared" si="34"/>
        <v>4.5</v>
      </c>
      <c r="J728">
        <v>10</v>
      </c>
      <c r="K728" s="16">
        <f t="shared" si="35"/>
        <v>450000000</v>
      </c>
    </row>
    <row r="729" spans="1:11">
      <c r="A729">
        <v>1</v>
      </c>
      <c r="B729" t="s">
        <v>15</v>
      </c>
      <c r="C729" s="19">
        <v>31</v>
      </c>
      <c r="D729" s="19" t="s">
        <v>16</v>
      </c>
      <c r="E729" s="19">
        <v>4</v>
      </c>
      <c r="F729" s="19">
        <v>7</v>
      </c>
      <c r="G729" s="19">
        <v>7</v>
      </c>
      <c r="H729" s="20">
        <v>9.9999999999999995E-7</v>
      </c>
      <c r="I729">
        <f t="shared" si="34"/>
        <v>7</v>
      </c>
      <c r="J729">
        <v>10</v>
      </c>
      <c r="K729" s="16">
        <f t="shared" si="35"/>
        <v>700000000</v>
      </c>
    </row>
    <row r="730" spans="1:11">
      <c r="A730">
        <v>1</v>
      </c>
      <c r="B730" t="s">
        <v>15</v>
      </c>
      <c r="C730" s="19">
        <v>31</v>
      </c>
      <c r="D730" s="19" t="s">
        <v>16</v>
      </c>
      <c r="E730" s="19">
        <v>5</v>
      </c>
      <c r="F730" s="19">
        <v>8</v>
      </c>
      <c r="G730" s="19">
        <v>7</v>
      </c>
      <c r="H730" s="20">
        <v>9.9999999999999995E-7</v>
      </c>
      <c r="I730">
        <f t="shared" si="34"/>
        <v>7.5</v>
      </c>
      <c r="J730">
        <v>10</v>
      </c>
      <c r="K730" s="16">
        <f t="shared" si="35"/>
        <v>750000000</v>
      </c>
    </row>
    <row r="731" spans="1:11">
      <c r="A731">
        <v>1</v>
      </c>
      <c r="B731" t="s">
        <v>15</v>
      </c>
      <c r="C731" s="19">
        <v>31</v>
      </c>
      <c r="D731" s="19" t="s">
        <v>16</v>
      </c>
      <c r="E731" s="19">
        <v>6</v>
      </c>
      <c r="F731" s="19">
        <v>3</v>
      </c>
      <c r="G731" s="19">
        <v>8</v>
      </c>
      <c r="H731" s="20">
        <v>9.9999999999999995E-7</v>
      </c>
      <c r="I731">
        <f t="shared" si="34"/>
        <v>5.5</v>
      </c>
      <c r="J731">
        <v>10</v>
      </c>
      <c r="K731" s="16">
        <f t="shared" si="35"/>
        <v>550000000</v>
      </c>
    </row>
    <row r="732" spans="1:11">
      <c r="A732">
        <v>1</v>
      </c>
      <c r="B732" t="s">
        <v>15</v>
      </c>
      <c r="C732" s="19">
        <v>31</v>
      </c>
      <c r="D732" s="19" t="s">
        <v>16</v>
      </c>
      <c r="E732" s="19">
        <v>7</v>
      </c>
      <c r="F732" s="19">
        <v>5</v>
      </c>
      <c r="G732" s="19">
        <v>4</v>
      </c>
      <c r="H732" s="20">
        <v>9.9999999999999995E-7</v>
      </c>
      <c r="I732">
        <f t="shared" si="34"/>
        <v>4.5</v>
      </c>
      <c r="J732">
        <v>10</v>
      </c>
      <c r="K732" s="16">
        <f t="shared" si="35"/>
        <v>450000000</v>
      </c>
    </row>
    <row r="733" spans="1:11">
      <c r="A733">
        <v>1</v>
      </c>
      <c r="B733" t="s">
        <v>15</v>
      </c>
      <c r="C733" s="19">
        <v>31</v>
      </c>
      <c r="D733" s="19" t="s">
        <v>16</v>
      </c>
      <c r="E733" s="19">
        <v>8</v>
      </c>
      <c r="F733" s="19">
        <v>10</v>
      </c>
      <c r="G733" s="19">
        <v>3</v>
      </c>
      <c r="H733" s="20">
        <v>9.9999999999999995E-7</v>
      </c>
      <c r="I733">
        <f t="shared" si="34"/>
        <v>6.5</v>
      </c>
      <c r="J733">
        <v>10</v>
      </c>
      <c r="K733" s="16">
        <f t="shared" si="35"/>
        <v>650000000</v>
      </c>
    </row>
    <row r="734" spans="1:11">
      <c r="A734">
        <v>1</v>
      </c>
      <c r="B734" t="s">
        <v>15</v>
      </c>
      <c r="C734" s="19">
        <v>31</v>
      </c>
      <c r="D734" s="19" t="s">
        <v>16</v>
      </c>
      <c r="E734" s="19">
        <v>9</v>
      </c>
      <c r="F734" s="19">
        <v>6</v>
      </c>
      <c r="G734" s="19">
        <v>2</v>
      </c>
      <c r="H734" s="20">
        <v>9.9999999999999995E-7</v>
      </c>
      <c r="I734">
        <f t="shared" si="34"/>
        <v>4</v>
      </c>
      <c r="J734">
        <v>10</v>
      </c>
      <c r="K734" s="16">
        <f t="shared" si="35"/>
        <v>400000000</v>
      </c>
    </row>
    <row r="735" spans="1:11">
      <c r="A735">
        <v>1</v>
      </c>
      <c r="B735" t="s">
        <v>15</v>
      </c>
      <c r="C735" s="19">
        <v>31</v>
      </c>
      <c r="D735" s="19" t="s">
        <v>16</v>
      </c>
      <c r="E735" s="19">
        <v>10</v>
      </c>
      <c r="F735" s="19">
        <v>3</v>
      </c>
      <c r="G735" s="19">
        <v>1</v>
      </c>
      <c r="H735" s="20">
        <v>9.9999999999999995E-7</v>
      </c>
      <c r="I735">
        <f t="shared" si="34"/>
        <v>2</v>
      </c>
      <c r="J735">
        <v>10</v>
      </c>
      <c r="K735" s="16">
        <f t="shared" si="35"/>
        <v>200000000</v>
      </c>
    </row>
    <row r="736" spans="1:11">
      <c r="A736">
        <v>1</v>
      </c>
      <c r="B736" t="s">
        <v>15</v>
      </c>
      <c r="C736" s="19">
        <v>31.5</v>
      </c>
      <c r="D736" s="19" t="s">
        <v>16</v>
      </c>
      <c r="E736" s="19">
        <v>1</v>
      </c>
      <c r="F736" s="21">
        <v>6</v>
      </c>
      <c r="G736" s="21">
        <v>7</v>
      </c>
      <c r="H736" s="20">
        <v>9.9999999999999995E-7</v>
      </c>
      <c r="I736">
        <f t="shared" si="34"/>
        <v>6.5</v>
      </c>
      <c r="J736">
        <v>10</v>
      </c>
      <c r="K736" s="16">
        <f t="shared" si="35"/>
        <v>650000000</v>
      </c>
    </row>
    <row r="737" spans="1:11">
      <c r="A737">
        <v>1</v>
      </c>
      <c r="B737" t="s">
        <v>15</v>
      </c>
      <c r="C737" s="19">
        <v>31.5</v>
      </c>
      <c r="D737" s="19" t="s">
        <v>16</v>
      </c>
      <c r="E737" s="19">
        <v>2</v>
      </c>
      <c r="F737" s="19">
        <v>10</v>
      </c>
      <c r="G737" s="19">
        <v>6</v>
      </c>
      <c r="H737" s="20">
        <v>1.0000000000000001E-5</v>
      </c>
      <c r="I737">
        <f t="shared" si="34"/>
        <v>8</v>
      </c>
      <c r="J737">
        <v>10</v>
      </c>
      <c r="K737" s="16">
        <f t="shared" si="35"/>
        <v>80000000</v>
      </c>
    </row>
    <row r="738" spans="1:11">
      <c r="A738">
        <v>1</v>
      </c>
      <c r="B738" t="s">
        <v>15</v>
      </c>
      <c r="C738" s="19">
        <v>31.5</v>
      </c>
      <c r="D738" s="19" t="s">
        <v>16</v>
      </c>
      <c r="E738" s="19">
        <v>3</v>
      </c>
      <c r="F738" s="19">
        <v>3</v>
      </c>
      <c r="G738" s="19">
        <v>9</v>
      </c>
      <c r="H738" s="20">
        <v>9.9999999999999995E-7</v>
      </c>
      <c r="I738">
        <f t="shared" si="34"/>
        <v>6</v>
      </c>
      <c r="J738">
        <v>10</v>
      </c>
      <c r="K738" s="16">
        <f t="shared" si="35"/>
        <v>600000000</v>
      </c>
    </row>
    <row r="739" spans="1:11">
      <c r="A739">
        <v>1</v>
      </c>
      <c r="B739" t="s">
        <v>15</v>
      </c>
      <c r="C739" s="19">
        <v>31.5</v>
      </c>
      <c r="D739" s="19" t="s">
        <v>16</v>
      </c>
      <c r="E739" s="19">
        <v>4</v>
      </c>
      <c r="F739" s="19">
        <v>5</v>
      </c>
      <c r="G739" s="19">
        <v>7</v>
      </c>
      <c r="H739" s="20">
        <v>9.9999999999999995E-7</v>
      </c>
      <c r="I739">
        <f t="shared" si="34"/>
        <v>6</v>
      </c>
      <c r="J739">
        <v>10</v>
      </c>
      <c r="K739" s="16">
        <f t="shared" si="35"/>
        <v>600000000</v>
      </c>
    </row>
    <row r="740" spans="1:11">
      <c r="A740">
        <v>1</v>
      </c>
      <c r="B740" t="s">
        <v>15</v>
      </c>
      <c r="C740" s="19">
        <v>31.5</v>
      </c>
      <c r="D740" s="19" t="s">
        <v>16</v>
      </c>
      <c r="E740" s="19">
        <v>5</v>
      </c>
      <c r="F740" s="19">
        <v>2</v>
      </c>
      <c r="G740" s="19">
        <v>2</v>
      </c>
      <c r="H740" s="20">
        <v>9.9999999999999995E-7</v>
      </c>
      <c r="I740">
        <f t="shared" si="34"/>
        <v>2</v>
      </c>
      <c r="J740">
        <v>10</v>
      </c>
      <c r="K740" s="16">
        <f t="shared" si="35"/>
        <v>200000000</v>
      </c>
    </row>
    <row r="741" spans="1:11">
      <c r="A741">
        <v>1</v>
      </c>
      <c r="B741" t="s">
        <v>15</v>
      </c>
      <c r="C741" s="19">
        <v>31.5</v>
      </c>
      <c r="D741" s="19" t="s">
        <v>16</v>
      </c>
      <c r="E741" s="19">
        <v>6</v>
      </c>
      <c r="F741" s="19">
        <v>6</v>
      </c>
      <c r="G741" s="19">
        <v>3</v>
      </c>
      <c r="H741" s="20">
        <v>9.9999999999999995E-7</v>
      </c>
      <c r="I741">
        <f t="shared" ref="I741:I770" si="36">AVERAGE(F741:G741)</f>
        <v>4.5</v>
      </c>
      <c r="J741">
        <v>10</v>
      </c>
      <c r="K741" s="16">
        <f t="shared" si="35"/>
        <v>450000000</v>
      </c>
    </row>
    <row r="742" spans="1:11">
      <c r="A742">
        <v>1</v>
      </c>
      <c r="B742" t="s">
        <v>15</v>
      </c>
      <c r="C742" s="19">
        <v>31.5</v>
      </c>
      <c r="D742" s="19" t="s">
        <v>16</v>
      </c>
      <c r="E742" s="19">
        <v>7</v>
      </c>
      <c r="F742" s="19">
        <v>6</v>
      </c>
      <c r="G742" s="19">
        <v>6</v>
      </c>
      <c r="H742" s="20">
        <v>9.9999999999999995E-7</v>
      </c>
      <c r="I742">
        <f t="shared" si="36"/>
        <v>6</v>
      </c>
      <c r="J742">
        <v>10</v>
      </c>
      <c r="K742" s="16">
        <f t="shared" si="35"/>
        <v>600000000</v>
      </c>
    </row>
    <row r="743" spans="1:11">
      <c r="A743">
        <v>1</v>
      </c>
      <c r="B743" t="s">
        <v>15</v>
      </c>
      <c r="C743" s="19">
        <v>31.5</v>
      </c>
      <c r="D743" s="19" t="s">
        <v>16</v>
      </c>
      <c r="E743" s="19">
        <v>8</v>
      </c>
      <c r="F743" s="19">
        <v>5</v>
      </c>
      <c r="G743" s="19">
        <v>6</v>
      </c>
      <c r="H743" s="20">
        <v>9.9999999999999995E-7</v>
      </c>
      <c r="I743">
        <f t="shared" si="36"/>
        <v>5.5</v>
      </c>
      <c r="J743">
        <v>10</v>
      </c>
      <c r="K743" s="16">
        <f t="shared" si="35"/>
        <v>550000000</v>
      </c>
    </row>
    <row r="744" spans="1:11">
      <c r="A744">
        <v>1</v>
      </c>
      <c r="B744" t="s">
        <v>15</v>
      </c>
      <c r="C744" s="19">
        <v>31.5</v>
      </c>
      <c r="D744" s="19" t="s">
        <v>16</v>
      </c>
      <c r="E744" s="19">
        <v>9</v>
      </c>
      <c r="F744" s="19">
        <v>3</v>
      </c>
      <c r="G744" s="19">
        <v>6</v>
      </c>
      <c r="H744" s="20">
        <v>9.9999999999999995E-7</v>
      </c>
      <c r="I744">
        <f t="shared" si="36"/>
        <v>4.5</v>
      </c>
      <c r="J744">
        <v>10</v>
      </c>
      <c r="K744" s="16">
        <f t="shared" si="35"/>
        <v>450000000</v>
      </c>
    </row>
    <row r="745" spans="1:11">
      <c r="A745">
        <v>1</v>
      </c>
      <c r="B745" t="s">
        <v>15</v>
      </c>
      <c r="C745" s="19">
        <v>31.5</v>
      </c>
      <c r="D745" s="19" t="s">
        <v>16</v>
      </c>
      <c r="E745" s="19">
        <v>10</v>
      </c>
      <c r="F745" s="19">
        <v>3</v>
      </c>
      <c r="G745" s="19">
        <v>2</v>
      </c>
      <c r="H745" s="20">
        <v>9.9999999999999995E-7</v>
      </c>
      <c r="I745">
        <f t="shared" si="36"/>
        <v>2.5</v>
      </c>
      <c r="J745">
        <v>10</v>
      </c>
      <c r="K745" s="16">
        <f t="shared" si="35"/>
        <v>250000000</v>
      </c>
    </row>
    <row r="746" spans="1:11">
      <c r="A746">
        <v>1</v>
      </c>
      <c r="B746" t="s">
        <v>8</v>
      </c>
      <c r="C746" s="1">
        <v>32</v>
      </c>
      <c r="D746" s="1" t="s">
        <v>16</v>
      </c>
      <c r="E746" s="1" t="s">
        <v>19</v>
      </c>
      <c r="F746" s="1">
        <v>5</v>
      </c>
      <c r="G746" s="1">
        <v>2</v>
      </c>
      <c r="H746" s="29">
        <v>9.9999999999999995E-7</v>
      </c>
      <c r="I746">
        <f t="shared" si="36"/>
        <v>3.5</v>
      </c>
      <c r="J746">
        <v>10</v>
      </c>
      <c r="K746" s="16">
        <f t="shared" si="35"/>
        <v>350000000</v>
      </c>
    </row>
    <row r="747" spans="1:11">
      <c r="A747">
        <v>1</v>
      </c>
      <c r="B747" t="s">
        <v>8</v>
      </c>
      <c r="C747" s="1">
        <v>32</v>
      </c>
      <c r="D747" s="1" t="s">
        <v>16</v>
      </c>
      <c r="E747" s="1" t="s">
        <v>20</v>
      </c>
      <c r="F747" s="1">
        <v>5</v>
      </c>
      <c r="G747" s="1">
        <v>1</v>
      </c>
      <c r="H747" s="29">
        <v>9.9999999999999995E-7</v>
      </c>
      <c r="I747">
        <f t="shared" si="36"/>
        <v>3</v>
      </c>
      <c r="J747">
        <v>10</v>
      </c>
      <c r="K747" s="16">
        <f t="shared" si="35"/>
        <v>300000000</v>
      </c>
    </row>
    <row r="748" spans="1:11">
      <c r="A748">
        <v>1</v>
      </c>
      <c r="B748" t="s">
        <v>8</v>
      </c>
      <c r="C748" s="1">
        <v>32</v>
      </c>
      <c r="D748" s="1" t="s">
        <v>16</v>
      </c>
      <c r="E748" s="1" t="s">
        <v>21</v>
      </c>
      <c r="F748" s="1">
        <v>10</v>
      </c>
      <c r="G748" s="1">
        <v>9</v>
      </c>
      <c r="H748" s="29">
        <v>9.9999999999999995E-7</v>
      </c>
      <c r="I748">
        <f t="shared" si="36"/>
        <v>9.5</v>
      </c>
      <c r="J748">
        <v>10</v>
      </c>
      <c r="K748" s="16">
        <f t="shared" si="35"/>
        <v>950000000</v>
      </c>
    </row>
    <row r="749" spans="1:11">
      <c r="A749">
        <v>1</v>
      </c>
      <c r="B749" t="s">
        <v>8</v>
      </c>
      <c r="C749" s="1">
        <v>32</v>
      </c>
      <c r="D749" s="1" t="s">
        <v>16</v>
      </c>
      <c r="E749" s="1" t="s">
        <v>22</v>
      </c>
      <c r="F749" s="1">
        <v>7</v>
      </c>
      <c r="G749" s="1">
        <v>6</v>
      </c>
      <c r="H749" s="29">
        <v>9.9999999999999995E-7</v>
      </c>
      <c r="I749">
        <f t="shared" si="36"/>
        <v>6.5</v>
      </c>
      <c r="J749">
        <v>10</v>
      </c>
      <c r="K749" s="16">
        <f t="shared" si="35"/>
        <v>650000000</v>
      </c>
    </row>
    <row r="750" spans="1:11">
      <c r="A750">
        <v>1</v>
      </c>
      <c r="B750" t="s">
        <v>8</v>
      </c>
      <c r="C750" s="1">
        <v>32</v>
      </c>
      <c r="D750" s="1" t="s">
        <v>16</v>
      </c>
      <c r="E750" s="1">
        <v>1</v>
      </c>
      <c r="F750" s="1">
        <v>2</v>
      </c>
      <c r="G750" s="1">
        <v>5</v>
      </c>
      <c r="H750" s="29">
        <v>9.9999999999999995E-7</v>
      </c>
      <c r="I750">
        <f t="shared" si="36"/>
        <v>3.5</v>
      </c>
      <c r="J750">
        <v>10</v>
      </c>
      <c r="K750" s="16">
        <f t="shared" si="35"/>
        <v>350000000</v>
      </c>
    </row>
    <row r="751" spans="1:11">
      <c r="A751">
        <v>1</v>
      </c>
      <c r="B751" t="s">
        <v>8</v>
      </c>
      <c r="C751" s="1">
        <v>32</v>
      </c>
      <c r="D751" s="1" t="s">
        <v>16</v>
      </c>
      <c r="E751" s="1">
        <v>2</v>
      </c>
      <c r="F751" s="1">
        <v>2</v>
      </c>
      <c r="G751" s="1">
        <v>3</v>
      </c>
      <c r="H751" s="29">
        <v>9.9999999999999995E-7</v>
      </c>
      <c r="I751">
        <f t="shared" si="36"/>
        <v>2.5</v>
      </c>
      <c r="J751">
        <v>10</v>
      </c>
      <c r="K751" s="16">
        <f t="shared" si="35"/>
        <v>250000000</v>
      </c>
    </row>
    <row r="752" spans="1:11">
      <c r="A752">
        <v>1</v>
      </c>
      <c r="B752" t="s">
        <v>8</v>
      </c>
      <c r="C752" s="1">
        <v>32</v>
      </c>
      <c r="D752" s="1" t="s">
        <v>16</v>
      </c>
      <c r="E752" s="1">
        <v>3</v>
      </c>
      <c r="F752" s="1">
        <v>7</v>
      </c>
      <c r="G752" s="1">
        <v>3</v>
      </c>
      <c r="H752" s="29">
        <v>9.9999999999999995E-7</v>
      </c>
      <c r="I752">
        <f t="shared" si="36"/>
        <v>5</v>
      </c>
      <c r="J752">
        <v>10</v>
      </c>
      <c r="K752" s="16">
        <f t="shared" si="35"/>
        <v>500000000</v>
      </c>
    </row>
    <row r="753" spans="1:11">
      <c r="A753">
        <v>1</v>
      </c>
      <c r="B753" t="s">
        <v>8</v>
      </c>
      <c r="C753" s="1">
        <v>32</v>
      </c>
      <c r="D753" s="1" t="s">
        <v>16</v>
      </c>
      <c r="E753" s="1">
        <v>4</v>
      </c>
      <c r="F753" s="1">
        <v>4</v>
      </c>
      <c r="G753" s="1">
        <v>7</v>
      </c>
      <c r="H753" s="29">
        <v>9.9999999999999995E-7</v>
      </c>
      <c r="I753">
        <f t="shared" si="36"/>
        <v>5.5</v>
      </c>
      <c r="J753">
        <v>10</v>
      </c>
      <c r="K753" s="16">
        <f t="shared" si="35"/>
        <v>550000000</v>
      </c>
    </row>
    <row r="754" spans="1:11">
      <c r="A754">
        <v>1</v>
      </c>
      <c r="B754" t="s">
        <v>8</v>
      </c>
      <c r="C754" s="1">
        <v>32</v>
      </c>
      <c r="D754" s="1" t="s">
        <v>16</v>
      </c>
      <c r="E754" s="1">
        <v>5</v>
      </c>
      <c r="F754" s="1">
        <v>2</v>
      </c>
      <c r="G754" s="1">
        <v>1</v>
      </c>
      <c r="H754" s="29">
        <v>9.9999999999999995E-7</v>
      </c>
      <c r="I754">
        <f t="shared" si="36"/>
        <v>1.5</v>
      </c>
      <c r="J754">
        <v>10</v>
      </c>
      <c r="K754" s="16">
        <f t="shared" si="35"/>
        <v>150000000</v>
      </c>
    </row>
    <row r="755" spans="1:11">
      <c r="A755">
        <v>1</v>
      </c>
      <c r="B755" t="s">
        <v>8</v>
      </c>
      <c r="C755" s="1">
        <v>32</v>
      </c>
      <c r="D755" s="1" t="s">
        <v>16</v>
      </c>
      <c r="E755" s="1">
        <v>6</v>
      </c>
      <c r="F755" s="1">
        <v>5</v>
      </c>
      <c r="G755" s="1">
        <v>8</v>
      </c>
      <c r="H755" s="29">
        <v>9.9999999999999995E-7</v>
      </c>
      <c r="I755">
        <f t="shared" si="36"/>
        <v>6.5</v>
      </c>
      <c r="J755">
        <v>10</v>
      </c>
      <c r="K755" s="16">
        <f t="shared" si="35"/>
        <v>650000000</v>
      </c>
    </row>
    <row r="756" spans="1:11">
      <c r="A756">
        <v>1</v>
      </c>
      <c r="B756" t="s">
        <v>8</v>
      </c>
      <c r="C756" s="1">
        <v>32</v>
      </c>
      <c r="D756" s="1" t="s">
        <v>16</v>
      </c>
      <c r="E756" s="1">
        <v>7</v>
      </c>
      <c r="F756" s="1">
        <v>6</v>
      </c>
      <c r="G756" s="1">
        <v>12</v>
      </c>
      <c r="H756" s="29">
        <v>9.9999999999999995E-7</v>
      </c>
      <c r="I756">
        <f t="shared" si="36"/>
        <v>9</v>
      </c>
      <c r="J756">
        <v>10</v>
      </c>
      <c r="K756" s="16">
        <f t="shared" si="35"/>
        <v>900000000</v>
      </c>
    </row>
    <row r="757" spans="1:11">
      <c r="A757">
        <v>1</v>
      </c>
      <c r="B757" t="s">
        <v>8</v>
      </c>
      <c r="C757" s="1">
        <v>32</v>
      </c>
      <c r="D757" s="1" t="s">
        <v>16</v>
      </c>
      <c r="E757" s="1">
        <v>8</v>
      </c>
      <c r="F757" s="1">
        <v>10</v>
      </c>
      <c r="G757" s="1">
        <v>3</v>
      </c>
      <c r="H757" s="29">
        <v>9.9999999999999995E-7</v>
      </c>
      <c r="I757">
        <f t="shared" si="36"/>
        <v>6.5</v>
      </c>
      <c r="J757">
        <v>10</v>
      </c>
      <c r="K757" s="16">
        <f t="shared" si="35"/>
        <v>650000000</v>
      </c>
    </row>
    <row r="758" spans="1:11">
      <c r="A758">
        <v>1</v>
      </c>
      <c r="B758" t="s">
        <v>8</v>
      </c>
      <c r="C758" s="1">
        <v>32</v>
      </c>
      <c r="D758" s="1" t="s">
        <v>16</v>
      </c>
      <c r="E758" s="1">
        <v>9</v>
      </c>
      <c r="F758" s="1">
        <v>6</v>
      </c>
      <c r="G758" s="1">
        <v>5</v>
      </c>
      <c r="H758" s="29">
        <v>9.9999999999999995E-7</v>
      </c>
      <c r="I758">
        <f t="shared" si="36"/>
        <v>5.5</v>
      </c>
      <c r="J758">
        <v>10</v>
      </c>
      <c r="K758" s="16">
        <f t="shared" si="35"/>
        <v>550000000</v>
      </c>
    </row>
    <row r="759" spans="1:11">
      <c r="A759">
        <v>1</v>
      </c>
      <c r="B759" t="s">
        <v>8</v>
      </c>
      <c r="C759" s="1">
        <v>32</v>
      </c>
      <c r="D759" s="1" t="s">
        <v>16</v>
      </c>
      <c r="E759" s="1">
        <v>10</v>
      </c>
      <c r="F759" s="1">
        <v>6</v>
      </c>
      <c r="G759" s="1">
        <v>2</v>
      </c>
      <c r="H759" s="29">
        <v>9.9999999999999995E-7</v>
      </c>
      <c r="I759">
        <f t="shared" si="36"/>
        <v>4</v>
      </c>
      <c r="J759">
        <v>10</v>
      </c>
      <c r="K759" s="16">
        <f t="shared" si="35"/>
        <v>400000000</v>
      </c>
    </row>
    <row r="760" spans="1:11">
      <c r="A760">
        <v>1</v>
      </c>
      <c r="B760" t="s">
        <v>8</v>
      </c>
      <c r="C760" s="1">
        <v>32.5</v>
      </c>
      <c r="D760" s="1" t="s">
        <v>16</v>
      </c>
      <c r="E760" s="1">
        <v>1</v>
      </c>
      <c r="F760" s="31">
        <v>9</v>
      </c>
      <c r="G760" s="31">
        <v>8</v>
      </c>
      <c r="H760" s="32">
        <v>0.01</v>
      </c>
      <c r="I760">
        <f t="shared" si="36"/>
        <v>8.5</v>
      </c>
      <c r="J760">
        <v>10</v>
      </c>
      <c r="K760" s="16">
        <f t="shared" si="35"/>
        <v>85000</v>
      </c>
    </row>
    <row r="761" spans="1:11">
      <c r="A761">
        <v>1</v>
      </c>
      <c r="B761" t="s">
        <v>8</v>
      </c>
      <c r="C761" s="1">
        <v>32.5</v>
      </c>
      <c r="D761" s="1" t="s">
        <v>16</v>
      </c>
      <c r="E761" s="1">
        <v>2</v>
      </c>
      <c r="F761" s="1">
        <v>18</v>
      </c>
      <c r="G761" s="1">
        <v>15</v>
      </c>
      <c r="H761" s="29">
        <v>1E-3</v>
      </c>
      <c r="I761">
        <f t="shared" si="36"/>
        <v>16.5</v>
      </c>
      <c r="J761">
        <v>10</v>
      </c>
      <c r="K761" s="16">
        <f t="shared" si="35"/>
        <v>1649999.9999999998</v>
      </c>
    </row>
    <row r="762" spans="1:11">
      <c r="A762">
        <v>1</v>
      </c>
      <c r="B762" t="s">
        <v>8</v>
      </c>
      <c r="C762" s="1">
        <v>32.5</v>
      </c>
      <c r="D762" s="1" t="s">
        <v>16</v>
      </c>
      <c r="E762" s="1">
        <v>3</v>
      </c>
      <c r="F762" s="1">
        <v>6</v>
      </c>
      <c r="G762" s="1">
        <v>5</v>
      </c>
      <c r="H762" s="29">
        <v>0.01</v>
      </c>
      <c r="I762">
        <f t="shared" si="36"/>
        <v>5.5</v>
      </c>
      <c r="J762">
        <v>10</v>
      </c>
      <c r="K762" s="16">
        <f t="shared" si="35"/>
        <v>55000</v>
      </c>
    </row>
    <row r="763" spans="1:11">
      <c r="A763">
        <v>1</v>
      </c>
      <c r="B763" t="s">
        <v>8</v>
      </c>
      <c r="C763" s="1">
        <v>32.5</v>
      </c>
      <c r="D763" s="1" t="s">
        <v>16</v>
      </c>
      <c r="E763" s="1">
        <v>4</v>
      </c>
      <c r="F763" s="1">
        <v>11</v>
      </c>
      <c r="G763" s="1">
        <v>5</v>
      </c>
      <c r="H763" s="29">
        <v>0.01</v>
      </c>
      <c r="I763">
        <f t="shared" si="36"/>
        <v>8</v>
      </c>
      <c r="J763">
        <v>10</v>
      </c>
      <c r="K763" s="16">
        <f t="shared" si="35"/>
        <v>80000</v>
      </c>
    </row>
    <row r="764" spans="1:11">
      <c r="A764">
        <v>1</v>
      </c>
      <c r="B764" t="s">
        <v>8</v>
      </c>
      <c r="C764" s="1">
        <v>32.5</v>
      </c>
      <c r="D764" s="1" t="s">
        <v>16</v>
      </c>
      <c r="E764" s="1">
        <v>5</v>
      </c>
      <c r="F764" s="1">
        <v>11</v>
      </c>
      <c r="G764" s="1">
        <v>7</v>
      </c>
      <c r="H764" s="29">
        <v>1E-3</v>
      </c>
      <c r="I764">
        <f t="shared" si="36"/>
        <v>9</v>
      </c>
      <c r="J764">
        <v>10</v>
      </c>
      <c r="K764" s="16">
        <f t="shared" si="35"/>
        <v>899999.99999999988</v>
      </c>
    </row>
    <row r="765" spans="1:11">
      <c r="A765">
        <v>1</v>
      </c>
      <c r="B765" t="s">
        <v>8</v>
      </c>
      <c r="C765" s="1">
        <v>32.5</v>
      </c>
      <c r="D765" s="1" t="s">
        <v>16</v>
      </c>
      <c r="E765" s="1">
        <v>6</v>
      </c>
      <c r="F765" s="1">
        <v>11</v>
      </c>
      <c r="G765" s="1">
        <v>16</v>
      </c>
      <c r="H765" s="29">
        <v>1E-3</v>
      </c>
      <c r="I765">
        <f t="shared" si="36"/>
        <v>13.5</v>
      </c>
      <c r="J765">
        <v>10</v>
      </c>
      <c r="K765" s="16">
        <f t="shared" si="35"/>
        <v>1350000</v>
      </c>
    </row>
    <row r="766" spans="1:11">
      <c r="A766">
        <v>1</v>
      </c>
      <c r="B766" t="s">
        <v>8</v>
      </c>
      <c r="C766" s="1">
        <v>32.5</v>
      </c>
      <c r="D766" s="1" t="s">
        <v>16</v>
      </c>
      <c r="E766" s="1">
        <v>7</v>
      </c>
      <c r="F766" s="1">
        <v>5</v>
      </c>
      <c r="G766" s="1">
        <v>6</v>
      </c>
      <c r="H766" s="29">
        <v>1E-4</v>
      </c>
      <c r="I766">
        <f t="shared" si="36"/>
        <v>5.5</v>
      </c>
      <c r="J766">
        <v>10</v>
      </c>
      <c r="K766" s="16">
        <f t="shared" si="35"/>
        <v>5499999.9999999991</v>
      </c>
    </row>
    <row r="767" spans="1:11">
      <c r="A767">
        <v>1</v>
      </c>
      <c r="B767" t="s">
        <v>8</v>
      </c>
      <c r="C767" s="1">
        <v>32.5</v>
      </c>
      <c r="D767" s="1" t="s">
        <v>16</v>
      </c>
      <c r="E767" s="1">
        <v>8</v>
      </c>
      <c r="F767" s="1">
        <v>4</v>
      </c>
      <c r="G767" s="1">
        <v>3</v>
      </c>
      <c r="H767" s="29">
        <v>1E-4</v>
      </c>
      <c r="I767">
        <f t="shared" si="36"/>
        <v>3.5</v>
      </c>
      <c r="J767">
        <v>10</v>
      </c>
      <c r="K767" s="16">
        <f t="shared" si="35"/>
        <v>3499999.9999999995</v>
      </c>
    </row>
    <row r="768" spans="1:11">
      <c r="A768">
        <v>1</v>
      </c>
      <c r="B768" t="s">
        <v>8</v>
      </c>
      <c r="C768" s="1">
        <v>32.5</v>
      </c>
      <c r="D768" s="1" t="s">
        <v>16</v>
      </c>
      <c r="E768" s="1">
        <v>9</v>
      </c>
      <c r="F768" s="1">
        <v>10</v>
      </c>
      <c r="G768" s="1">
        <v>13</v>
      </c>
      <c r="H768" s="29">
        <v>0.01</v>
      </c>
      <c r="I768">
        <f t="shared" si="36"/>
        <v>11.5</v>
      </c>
      <c r="J768">
        <v>10</v>
      </c>
      <c r="K768" s="16">
        <f t="shared" si="35"/>
        <v>115000</v>
      </c>
    </row>
    <row r="769" spans="1:11">
      <c r="A769">
        <v>1</v>
      </c>
      <c r="B769" t="s">
        <v>8</v>
      </c>
      <c r="C769" s="1">
        <v>32.5</v>
      </c>
      <c r="D769" s="1" t="s">
        <v>16</v>
      </c>
      <c r="E769" s="1">
        <v>10</v>
      </c>
      <c r="F769" s="1">
        <v>9</v>
      </c>
      <c r="G769" s="1">
        <v>8</v>
      </c>
      <c r="H769" s="29">
        <v>0.01</v>
      </c>
      <c r="I769">
        <f t="shared" si="36"/>
        <v>8.5</v>
      </c>
      <c r="J769">
        <v>10</v>
      </c>
      <c r="K769" s="16">
        <f t="shared" si="35"/>
        <v>85000</v>
      </c>
    </row>
    <row r="770" spans="1:11">
      <c r="A770">
        <v>1</v>
      </c>
      <c r="B770" t="s">
        <v>8</v>
      </c>
      <c r="C770" s="1">
        <v>33</v>
      </c>
      <c r="D770" s="1" t="s">
        <v>16</v>
      </c>
      <c r="E770" s="1" t="s">
        <v>19</v>
      </c>
      <c r="F770" s="1">
        <v>9</v>
      </c>
      <c r="G770" s="1">
        <v>11</v>
      </c>
      <c r="H770" s="29">
        <v>9.9999999999999995E-7</v>
      </c>
      <c r="I770">
        <f t="shared" si="36"/>
        <v>10</v>
      </c>
      <c r="J770">
        <v>10</v>
      </c>
      <c r="K770" s="16">
        <f t="shared" si="35"/>
        <v>1000000000</v>
      </c>
    </row>
    <row r="771" spans="1:11">
      <c r="A771">
        <v>1</v>
      </c>
      <c r="B771" t="s">
        <v>8</v>
      </c>
      <c r="C771" s="1">
        <v>33</v>
      </c>
      <c r="D771" s="1" t="s">
        <v>16</v>
      </c>
      <c r="E771" s="1" t="s">
        <v>20</v>
      </c>
      <c r="F771" s="1">
        <v>6</v>
      </c>
      <c r="G771" s="1">
        <v>9</v>
      </c>
      <c r="H771" s="29">
        <v>9.9999999999999995E-7</v>
      </c>
      <c r="I771">
        <f t="shared" ref="I771:I807" si="37">AVERAGE(F771:G771)</f>
        <v>7.5</v>
      </c>
      <c r="J771">
        <v>10</v>
      </c>
      <c r="K771" s="16">
        <f t="shared" si="35"/>
        <v>750000000</v>
      </c>
    </row>
    <row r="772" spans="1:11">
      <c r="A772">
        <v>1</v>
      </c>
      <c r="B772" t="s">
        <v>8</v>
      </c>
      <c r="C772" s="1">
        <v>33</v>
      </c>
      <c r="D772" s="1" t="s">
        <v>16</v>
      </c>
      <c r="E772" s="1" t="s">
        <v>21</v>
      </c>
      <c r="F772" s="1">
        <v>7</v>
      </c>
      <c r="G772" s="1">
        <v>7</v>
      </c>
      <c r="H772" s="29">
        <v>9.9999999999999995E-7</v>
      </c>
      <c r="I772">
        <f t="shared" si="37"/>
        <v>7</v>
      </c>
      <c r="J772">
        <v>10</v>
      </c>
      <c r="K772" s="16">
        <f t="shared" si="35"/>
        <v>700000000</v>
      </c>
    </row>
    <row r="773" spans="1:11">
      <c r="A773">
        <v>1</v>
      </c>
      <c r="B773" t="s">
        <v>8</v>
      </c>
      <c r="C773" s="1">
        <v>33</v>
      </c>
      <c r="D773" s="1" t="s">
        <v>16</v>
      </c>
      <c r="E773" s="1" t="s">
        <v>22</v>
      </c>
      <c r="F773" s="1">
        <v>17</v>
      </c>
      <c r="G773" s="1">
        <v>21</v>
      </c>
      <c r="H773" s="29">
        <v>9.9999999999999995E-7</v>
      </c>
      <c r="I773">
        <f t="shared" si="37"/>
        <v>19</v>
      </c>
      <c r="J773">
        <v>10</v>
      </c>
      <c r="K773" s="16">
        <f t="shared" si="35"/>
        <v>1900000000</v>
      </c>
    </row>
    <row r="774" spans="1:11">
      <c r="A774">
        <v>1</v>
      </c>
      <c r="B774" t="s">
        <v>8</v>
      </c>
      <c r="C774" s="1">
        <v>33</v>
      </c>
      <c r="D774" s="1" t="s">
        <v>16</v>
      </c>
      <c r="E774" s="1">
        <v>1</v>
      </c>
      <c r="F774" s="1">
        <v>3</v>
      </c>
      <c r="G774" s="1">
        <v>8</v>
      </c>
      <c r="H774" s="29">
        <v>9.9999999999999995E-7</v>
      </c>
      <c r="I774">
        <f t="shared" si="37"/>
        <v>5.5</v>
      </c>
      <c r="J774">
        <v>10</v>
      </c>
      <c r="K774" s="16">
        <f t="shared" si="35"/>
        <v>550000000</v>
      </c>
    </row>
    <row r="775" spans="1:11">
      <c r="A775">
        <v>1</v>
      </c>
      <c r="B775" t="s">
        <v>8</v>
      </c>
      <c r="C775" s="1">
        <v>33</v>
      </c>
      <c r="D775" s="1" t="s">
        <v>16</v>
      </c>
      <c r="E775" s="1">
        <v>2</v>
      </c>
      <c r="F775" s="1">
        <v>5</v>
      </c>
      <c r="G775" s="1">
        <v>3</v>
      </c>
      <c r="H775" s="29">
        <v>9.9999999999999995E-7</v>
      </c>
      <c r="I775">
        <f t="shared" si="37"/>
        <v>4</v>
      </c>
      <c r="J775">
        <v>10</v>
      </c>
      <c r="K775" s="16">
        <f t="shared" si="35"/>
        <v>400000000</v>
      </c>
    </row>
    <row r="776" spans="1:11">
      <c r="A776">
        <v>1</v>
      </c>
      <c r="B776" t="s">
        <v>8</v>
      </c>
      <c r="C776" s="1">
        <v>33</v>
      </c>
      <c r="D776" s="1" t="s">
        <v>16</v>
      </c>
      <c r="E776" s="1">
        <v>3</v>
      </c>
      <c r="F776" s="1">
        <v>7</v>
      </c>
      <c r="G776" s="1">
        <v>3</v>
      </c>
      <c r="H776" s="29">
        <v>9.9999999999999995E-7</v>
      </c>
      <c r="I776">
        <f t="shared" si="37"/>
        <v>5</v>
      </c>
      <c r="J776">
        <v>10</v>
      </c>
      <c r="K776" s="16">
        <f t="shared" si="35"/>
        <v>500000000</v>
      </c>
    </row>
    <row r="777" spans="1:11">
      <c r="A777">
        <v>1</v>
      </c>
      <c r="B777" t="s">
        <v>8</v>
      </c>
      <c r="C777" s="1">
        <v>33</v>
      </c>
      <c r="D777" s="1" t="s">
        <v>16</v>
      </c>
      <c r="E777" s="1">
        <v>4</v>
      </c>
      <c r="F777" s="1">
        <v>9</v>
      </c>
      <c r="G777" s="1">
        <v>10</v>
      </c>
      <c r="H777" s="29">
        <v>9.9999999999999995E-7</v>
      </c>
      <c r="I777">
        <f t="shared" si="37"/>
        <v>9.5</v>
      </c>
      <c r="J777">
        <v>10</v>
      </c>
      <c r="K777" s="16">
        <f t="shared" si="35"/>
        <v>950000000</v>
      </c>
    </row>
    <row r="778" spans="1:11">
      <c r="A778">
        <v>1</v>
      </c>
      <c r="B778" t="s">
        <v>8</v>
      </c>
      <c r="C778" s="1">
        <v>33</v>
      </c>
      <c r="D778" s="1" t="s">
        <v>16</v>
      </c>
      <c r="E778" s="1">
        <v>5</v>
      </c>
      <c r="F778" s="1">
        <v>13</v>
      </c>
      <c r="G778" s="1">
        <v>6</v>
      </c>
      <c r="H778" s="29">
        <v>9.9999999999999995E-7</v>
      </c>
      <c r="I778">
        <f t="shared" si="37"/>
        <v>9.5</v>
      </c>
      <c r="J778">
        <v>10</v>
      </c>
      <c r="K778" s="16">
        <f t="shared" si="35"/>
        <v>950000000</v>
      </c>
    </row>
    <row r="779" spans="1:11">
      <c r="A779">
        <v>1</v>
      </c>
      <c r="B779" t="s">
        <v>8</v>
      </c>
      <c r="C779" s="1">
        <v>33</v>
      </c>
      <c r="D779" s="1" t="s">
        <v>16</v>
      </c>
      <c r="E779" s="1">
        <v>6</v>
      </c>
      <c r="F779" s="1">
        <v>9</v>
      </c>
      <c r="G779" s="1">
        <v>7</v>
      </c>
      <c r="H779" s="29">
        <v>9.9999999999999995E-7</v>
      </c>
      <c r="I779">
        <f t="shared" si="37"/>
        <v>8</v>
      </c>
      <c r="J779">
        <v>10</v>
      </c>
      <c r="K779" s="16">
        <f t="shared" si="35"/>
        <v>800000000</v>
      </c>
    </row>
    <row r="780" spans="1:11">
      <c r="A780">
        <v>1</v>
      </c>
      <c r="B780" t="s">
        <v>8</v>
      </c>
      <c r="C780" s="1">
        <v>33</v>
      </c>
      <c r="D780" s="1" t="s">
        <v>16</v>
      </c>
      <c r="E780" s="1">
        <v>7</v>
      </c>
      <c r="F780" s="1">
        <v>8</v>
      </c>
      <c r="G780" s="1">
        <v>5</v>
      </c>
      <c r="H780" s="29">
        <v>9.9999999999999995E-7</v>
      </c>
      <c r="I780">
        <f t="shared" si="37"/>
        <v>6.5</v>
      </c>
      <c r="J780">
        <v>10</v>
      </c>
      <c r="K780" s="16">
        <f t="shared" si="35"/>
        <v>650000000</v>
      </c>
    </row>
    <row r="781" spans="1:11">
      <c r="A781">
        <v>1</v>
      </c>
      <c r="B781" t="s">
        <v>8</v>
      </c>
      <c r="C781" s="1">
        <v>33</v>
      </c>
      <c r="D781" s="1" t="s">
        <v>16</v>
      </c>
      <c r="E781" s="1">
        <v>8</v>
      </c>
      <c r="F781" s="1">
        <v>9</v>
      </c>
      <c r="G781" s="1">
        <v>3</v>
      </c>
      <c r="H781" s="29">
        <v>9.9999999999999995E-7</v>
      </c>
      <c r="I781">
        <f t="shared" si="37"/>
        <v>6</v>
      </c>
      <c r="J781">
        <v>10</v>
      </c>
      <c r="K781" s="16">
        <f t="shared" si="35"/>
        <v>600000000</v>
      </c>
    </row>
    <row r="782" spans="1:11">
      <c r="A782">
        <v>1</v>
      </c>
      <c r="B782" t="s">
        <v>8</v>
      </c>
      <c r="C782" s="1">
        <v>33</v>
      </c>
      <c r="D782" s="1" t="s">
        <v>16</v>
      </c>
      <c r="E782" s="1">
        <v>9</v>
      </c>
      <c r="F782" s="1">
        <v>8</v>
      </c>
      <c r="G782" s="1">
        <v>8</v>
      </c>
      <c r="H782" s="29">
        <v>9.9999999999999995E-7</v>
      </c>
      <c r="I782">
        <f t="shared" si="37"/>
        <v>8</v>
      </c>
      <c r="J782">
        <v>10</v>
      </c>
      <c r="K782" s="16">
        <f t="shared" si="35"/>
        <v>800000000</v>
      </c>
    </row>
    <row r="783" spans="1:11">
      <c r="A783">
        <v>1</v>
      </c>
      <c r="B783" t="s">
        <v>8</v>
      </c>
      <c r="C783" s="1">
        <v>33</v>
      </c>
      <c r="D783" s="1" t="s">
        <v>16</v>
      </c>
      <c r="E783" s="1">
        <v>10</v>
      </c>
      <c r="F783" s="1">
        <v>9</v>
      </c>
      <c r="G783" s="1">
        <v>5</v>
      </c>
      <c r="H783" s="29">
        <v>9.9999999999999995E-7</v>
      </c>
      <c r="I783">
        <f t="shared" si="37"/>
        <v>7</v>
      </c>
      <c r="J783">
        <v>10</v>
      </c>
      <c r="K783" s="16">
        <f t="shared" si="35"/>
        <v>700000000</v>
      </c>
    </row>
    <row r="784" spans="1:11">
      <c r="A784">
        <v>1</v>
      </c>
      <c r="B784" t="s">
        <v>8</v>
      </c>
      <c r="C784" s="1">
        <v>33.5</v>
      </c>
      <c r="D784" s="1" t="s">
        <v>16</v>
      </c>
      <c r="E784" s="1">
        <v>1</v>
      </c>
      <c r="F784" s="31">
        <v>15</v>
      </c>
      <c r="G784" s="31">
        <v>12</v>
      </c>
      <c r="H784" s="29">
        <v>0.01</v>
      </c>
      <c r="I784">
        <f t="shared" si="37"/>
        <v>13.5</v>
      </c>
      <c r="J784">
        <v>10</v>
      </c>
      <c r="K784" s="16">
        <f t="shared" si="35"/>
        <v>135000</v>
      </c>
    </row>
    <row r="785" spans="1:11">
      <c r="A785">
        <v>1</v>
      </c>
      <c r="B785" t="s">
        <v>8</v>
      </c>
      <c r="C785" s="1">
        <v>33.5</v>
      </c>
      <c r="D785" s="1" t="s">
        <v>16</v>
      </c>
      <c r="E785" s="1">
        <v>2</v>
      </c>
      <c r="F785" s="1">
        <v>32</v>
      </c>
      <c r="G785" s="1">
        <v>33</v>
      </c>
      <c r="H785" s="29">
        <v>1E-3</v>
      </c>
      <c r="I785">
        <f t="shared" si="37"/>
        <v>32.5</v>
      </c>
      <c r="J785">
        <v>10</v>
      </c>
      <c r="K785" s="16">
        <f t="shared" si="35"/>
        <v>3249999.9999999995</v>
      </c>
    </row>
    <row r="786" spans="1:11">
      <c r="A786">
        <v>1</v>
      </c>
      <c r="B786" t="s">
        <v>8</v>
      </c>
      <c r="C786" s="1">
        <v>33.5</v>
      </c>
      <c r="D786" s="1" t="s">
        <v>16</v>
      </c>
      <c r="E786" s="1">
        <v>3</v>
      </c>
      <c r="F786" s="1">
        <v>6</v>
      </c>
      <c r="G786" s="1">
        <v>5</v>
      </c>
      <c r="H786" s="29">
        <v>0.01</v>
      </c>
      <c r="I786">
        <f t="shared" si="37"/>
        <v>5.5</v>
      </c>
      <c r="J786">
        <v>10</v>
      </c>
      <c r="K786" s="16">
        <f t="shared" si="35"/>
        <v>55000</v>
      </c>
    </row>
    <row r="787" spans="1:11">
      <c r="A787">
        <v>1</v>
      </c>
      <c r="B787" t="s">
        <v>8</v>
      </c>
      <c r="C787" s="1">
        <v>33.5</v>
      </c>
      <c r="D787" s="1" t="s">
        <v>16</v>
      </c>
      <c r="E787" s="1">
        <v>4</v>
      </c>
      <c r="F787" s="1">
        <v>9</v>
      </c>
      <c r="G787" s="1">
        <v>12</v>
      </c>
      <c r="H787" s="29">
        <v>0.01</v>
      </c>
      <c r="I787">
        <f t="shared" si="37"/>
        <v>10.5</v>
      </c>
      <c r="J787">
        <v>10</v>
      </c>
      <c r="K787" s="16">
        <f t="shared" ref="K787:K850" si="38">I787/(H787*(J787/1000))</f>
        <v>105000</v>
      </c>
    </row>
    <row r="788" spans="1:11">
      <c r="A788">
        <v>1</v>
      </c>
      <c r="B788" t="s">
        <v>8</v>
      </c>
      <c r="C788" s="1">
        <v>33.5</v>
      </c>
      <c r="D788" s="1" t="s">
        <v>16</v>
      </c>
      <c r="E788" s="1">
        <v>5</v>
      </c>
      <c r="F788" s="1">
        <v>6</v>
      </c>
      <c r="G788" s="1">
        <v>3</v>
      </c>
      <c r="H788" s="29">
        <v>1E-3</v>
      </c>
      <c r="I788">
        <f t="shared" si="37"/>
        <v>4.5</v>
      </c>
      <c r="J788">
        <v>10</v>
      </c>
      <c r="K788" s="16">
        <f t="shared" si="38"/>
        <v>449999.99999999994</v>
      </c>
    </row>
    <row r="789" spans="1:11">
      <c r="A789">
        <v>1</v>
      </c>
      <c r="B789" t="s">
        <v>8</v>
      </c>
      <c r="C789" s="1">
        <v>33.5</v>
      </c>
      <c r="D789" s="1" t="s">
        <v>16</v>
      </c>
      <c r="E789" s="1">
        <v>6</v>
      </c>
      <c r="F789" s="1">
        <v>8</v>
      </c>
      <c r="G789" s="1">
        <v>11</v>
      </c>
      <c r="H789" s="29">
        <v>1E-3</v>
      </c>
      <c r="I789">
        <f t="shared" si="37"/>
        <v>9.5</v>
      </c>
      <c r="J789">
        <v>10</v>
      </c>
      <c r="K789" s="16">
        <f t="shared" si="38"/>
        <v>949999.99999999988</v>
      </c>
    </row>
    <row r="790" spans="1:11">
      <c r="A790">
        <v>1</v>
      </c>
      <c r="B790" t="s">
        <v>8</v>
      </c>
      <c r="C790" s="1">
        <v>33.5</v>
      </c>
      <c r="D790" s="1" t="s">
        <v>16</v>
      </c>
      <c r="E790" s="1">
        <v>7</v>
      </c>
      <c r="F790" s="1">
        <v>28</v>
      </c>
      <c r="G790" s="1">
        <v>24</v>
      </c>
      <c r="H790" s="29">
        <v>1E-3</v>
      </c>
      <c r="I790">
        <f t="shared" si="37"/>
        <v>26</v>
      </c>
      <c r="J790">
        <v>10</v>
      </c>
      <c r="K790" s="16">
        <f t="shared" si="38"/>
        <v>2600000</v>
      </c>
    </row>
    <row r="791" spans="1:11">
      <c r="A791">
        <v>1</v>
      </c>
      <c r="B791" t="s">
        <v>8</v>
      </c>
      <c r="C791" s="1">
        <v>33.5</v>
      </c>
      <c r="D791" s="1" t="s">
        <v>16</v>
      </c>
      <c r="E791" s="1">
        <v>8</v>
      </c>
      <c r="F791" s="1">
        <v>7</v>
      </c>
      <c r="G791" s="1">
        <v>4</v>
      </c>
      <c r="H791" s="29">
        <v>1E-3</v>
      </c>
      <c r="I791">
        <f t="shared" si="37"/>
        <v>5.5</v>
      </c>
      <c r="J791">
        <v>10</v>
      </c>
      <c r="K791" s="16">
        <f t="shared" si="38"/>
        <v>550000</v>
      </c>
    </row>
    <row r="792" spans="1:11">
      <c r="A792">
        <v>1</v>
      </c>
      <c r="B792" t="s">
        <v>8</v>
      </c>
      <c r="C792" s="1">
        <v>33.5</v>
      </c>
      <c r="D792" s="1" t="s">
        <v>16</v>
      </c>
      <c r="E792" s="1">
        <v>9</v>
      </c>
      <c r="F792" s="1">
        <v>16</v>
      </c>
      <c r="G792" s="1">
        <v>14</v>
      </c>
      <c r="H792" s="29">
        <v>0.01</v>
      </c>
      <c r="I792">
        <f t="shared" si="37"/>
        <v>15</v>
      </c>
      <c r="J792">
        <v>10</v>
      </c>
      <c r="K792" s="16">
        <f t="shared" si="38"/>
        <v>150000</v>
      </c>
    </row>
    <row r="793" spans="1:11">
      <c r="A793">
        <v>1</v>
      </c>
      <c r="B793" t="s">
        <v>8</v>
      </c>
      <c r="C793" s="1">
        <v>33.5</v>
      </c>
      <c r="D793" s="1" t="s">
        <v>16</v>
      </c>
      <c r="E793" s="1">
        <v>10</v>
      </c>
      <c r="F793" s="1">
        <v>24</v>
      </c>
      <c r="G793" s="1">
        <v>27</v>
      </c>
      <c r="H793" s="29">
        <v>1E-4</v>
      </c>
      <c r="I793">
        <f t="shared" si="37"/>
        <v>25.5</v>
      </c>
      <c r="J793">
        <v>10</v>
      </c>
      <c r="K793" s="16">
        <f t="shared" si="38"/>
        <v>25499999.999999996</v>
      </c>
    </row>
    <row r="794" spans="1:11">
      <c r="A794">
        <v>1</v>
      </c>
      <c r="B794" t="s">
        <v>8</v>
      </c>
      <c r="C794" s="1">
        <v>34</v>
      </c>
      <c r="D794" s="1" t="s">
        <v>16</v>
      </c>
      <c r="E794" s="1" t="s">
        <v>19</v>
      </c>
      <c r="F794" s="1">
        <v>6</v>
      </c>
      <c r="G794" s="1">
        <v>8</v>
      </c>
      <c r="H794" s="29">
        <v>9.9999999999999995E-7</v>
      </c>
      <c r="I794">
        <f t="shared" si="37"/>
        <v>7</v>
      </c>
      <c r="J794">
        <v>10</v>
      </c>
      <c r="K794" s="16">
        <f t="shared" si="38"/>
        <v>700000000</v>
      </c>
    </row>
    <row r="795" spans="1:11">
      <c r="A795">
        <v>1</v>
      </c>
      <c r="B795" t="s">
        <v>8</v>
      </c>
      <c r="C795" s="1">
        <v>34</v>
      </c>
      <c r="D795" s="1" t="s">
        <v>16</v>
      </c>
      <c r="E795" s="1" t="s">
        <v>20</v>
      </c>
      <c r="F795" s="1">
        <v>8</v>
      </c>
      <c r="G795" s="1">
        <v>11</v>
      </c>
      <c r="H795" s="29">
        <v>9.9999999999999995E-7</v>
      </c>
      <c r="I795">
        <f t="shared" si="37"/>
        <v>9.5</v>
      </c>
      <c r="J795">
        <v>10</v>
      </c>
      <c r="K795" s="16">
        <f t="shared" si="38"/>
        <v>950000000</v>
      </c>
    </row>
    <row r="796" spans="1:11">
      <c r="A796">
        <v>1</v>
      </c>
      <c r="B796" t="s">
        <v>8</v>
      </c>
      <c r="C796" s="1">
        <v>34</v>
      </c>
      <c r="D796" s="1" t="s">
        <v>16</v>
      </c>
      <c r="E796" s="1" t="s">
        <v>21</v>
      </c>
      <c r="F796" s="1">
        <v>9</v>
      </c>
      <c r="G796" s="1">
        <v>12</v>
      </c>
      <c r="H796" s="29">
        <v>9.9999999999999995E-7</v>
      </c>
      <c r="I796">
        <f t="shared" si="37"/>
        <v>10.5</v>
      </c>
      <c r="J796">
        <v>10</v>
      </c>
      <c r="K796" s="16">
        <f t="shared" si="38"/>
        <v>1050000000</v>
      </c>
    </row>
    <row r="797" spans="1:11">
      <c r="A797">
        <v>1</v>
      </c>
      <c r="B797" t="s">
        <v>8</v>
      </c>
      <c r="C797" s="1">
        <v>34</v>
      </c>
      <c r="D797" s="1" t="s">
        <v>16</v>
      </c>
      <c r="E797" s="1" t="s">
        <v>22</v>
      </c>
      <c r="F797" s="1">
        <v>8</v>
      </c>
      <c r="G797" s="1">
        <v>10</v>
      </c>
      <c r="H797" s="29">
        <v>9.9999999999999995E-7</v>
      </c>
      <c r="I797">
        <f t="shared" si="37"/>
        <v>9</v>
      </c>
      <c r="J797">
        <v>10</v>
      </c>
      <c r="K797" s="16">
        <f t="shared" si="38"/>
        <v>900000000</v>
      </c>
    </row>
    <row r="798" spans="1:11">
      <c r="A798">
        <v>1</v>
      </c>
      <c r="B798" t="s">
        <v>8</v>
      </c>
      <c r="C798" s="1">
        <v>34</v>
      </c>
      <c r="D798" s="1" t="s">
        <v>16</v>
      </c>
      <c r="E798" s="1">
        <v>1</v>
      </c>
      <c r="F798" s="1">
        <v>5</v>
      </c>
      <c r="G798" s="1">
        <v>7</v>
      </c>
      <c r="H798" s="29">
        <v>9.9999999999999995E-7</v>
      </c>
      <c r="I798">
        <f t="shared" si="37"/>
        <v>6</v>
      </c>
      <c r="J798">
        <v>10</v>
      </c>
      <c r="K798" s="16">
        <f t="shared" si="38"/>
        <v>600000000</v>
      </c>
    </row>
    <row r="799" spans="1:11">
      <c r="A799">
        <v>1</v>
      </c>
      <c r="B799" t="s">
        <v>8</v>
      </c>
      <c r="C799" s="1">
        <v>34</v>
      </c>
      <c r="D799" s="1" t="s">
        <v>16</v>
      </c>
      <c r="E799" s="1">
        <v>2</v>
      </c>
      <c r="F799" s="1">
        <v>6</v>
      </c>
      <c r="G799" s="1">
        <v>2</v>
      </c>
      <c r="H799" s="29">
        <v>9.9999999999999995E-7</v>
      </c>
      <c r="I799">
        <f t="shared" si="37"/>
        <v>4</v>
      </c>
      <c r="J799">
        <v>10</v>
      </c>
      <c r="K799" s="16">
        <f t="shared" si="38"/>
        <v>400000000</v>
      </c>
    </row>
    <row r="800" spans="1:11">
      <c r="A800">
        <v>1</v>
      </c>
      <c r="B800" t="s">
        <v>8</v>
      </c>
      <c r="C800" s="1">
        <v>34</v>
      </c>
      <c r="D800" s="1" t="s">
        <v>16</v>
      </c>
      <c r="E800" s="1">
        <v>3</v>
      </c>
      <c r="F800" s="1">
        <v>4</v>
      </c>
      <c r="G800" s="1">
        <v>5</v>
      </c>
      <c r="H800" s="29">
        <v>9.9999999999999995E-7</v>
      </c>
      <c r="I800">
        <f t="shared" si="37"/>
        <v>4.5</v>
      </c>
      <c r="J800">
        <v>10</v>
      </c>
      <c r="K800" s="16">
        <f t="shared" si="38"/>
        <v>450000000</v>
      </c>
    </row>
    <row r="801" spans="1:11">
      <c r="A801">
        <v>1</v>
      </c>
      <c r="B801" t="s">
        <v>8</v>
      </c>
      <c r="C801" s="1">
        <v>34</v>
      </c>
      <c r="D801" s="1" t="s">
        <v>16</v>
      </c>
      <c r="E801" s="1">
        <v>4</v>
      </c>
      <c r="F801" s="1">
        <v>5</v>
      </c>
      <c r="G801" s="1">
        <v>2</v>
      </c>
      <c r="H801" s="29">
        <v>9.9999999999999995E-7</v>
      </c>
      <c r="I801">
        <f t="shared" si="37"/>
        <v>3.5</v>
      </c>
      <c r="J801">
        <v>10</v>
      </c>
      <c r="K801" s="16">
        <f t="shared" si="38"/>
        <v>350000000</v>
      </c>
    </row>
    <row r="802" spans="1:11">
      <c r="A802">
        <v>1</v>
      </c>
      <c r="B802" t="s">
        <v>8</v>
      </c>
      <c r="C802" s="1">
        <v>34</v>
      </c>
      <c r="D802" s="1" t="s">
        <v>16</v>
      </c>
      <c r="E802" s="1">
        <v>5</v>
      </c>
      <c r="F802" s="1">
        <v>2</v>
      </c>
      <c r="G802" s="1">
        <v>5</v>
      </c>
      <c r="H802" s="29">
        <v>9.9999999999999995E-7</v>
      </c>
      <c r="I802">
        <f t="shared" si="37"/>
        <v>3.5</v>
      </c>
      <c r="J802">
        <v>10</v>
      </c>
      <c r="K802" s="16">
        <f t="shared" si="38"/>
        <v>350000000</v>
      </c>
    </row>
    <row r="803" spans="1:11">
      <c r="A803">
        <v>1</v>
      </c>
      <c r="B803" t="s">
        <v>8</v>
      </c>
      <c r="C803" s="1">
        <v>34</v>
      </c>
      <c r="D803" s="1" t="s">
        <v>16</v>
      </c>
      <c r="E803" s="1">
        <v>6</v>
      </c>
      <c r="F803" s="1">
        <v>4</v>
      </c>
      <c r="G803" s="1">
        <v>6</v>
      </c>
      <c r="H803" s="29">
        <v>9.9999999999999995E-7</v>
      </c>
      <c r="I803">
        <f t="shared" si="37"/>
        <v>5</v>
      </c>
      <c r="J803">
        <v>10</v>
      </c>
      <c r="K803" s="16">
        <f t="shared" si="38"/>
        <v>500000000</v>
      </c>
    </row>
    <row r="804" spans="1:11">
      <c r="A804">
        <v>1</v>
      </c>
      <c r="B804" t="s">
        <v>8</v>
      </c>
      <c r="C804" s="1">
        <v>34</v>
      </c>
      <c r="D804" s="1" t="s">
        <v>16</v>
      </c>
      <c r="E804" s="1">
        <v>7</v>
      </c>
      <c r="F804" s="1">
        <v>7</v>
      </c>
      <c r="G804" s="1">
        <v>9</v>
      </c>
      <c r="H804" s="29">
        <v>9.9999999999999995E-7</v>
      </c>
      <c r="I804">
        <f t="shared" si="37"/>
        <v>8</v>
      </c>
      <c r="J804">
        <v>10</v>
      </c>
      <c r="K804" s="16">
        <f t="shared" si="38"/>
        <v>800000000</v>
      </c>
    </row>
    <row r="805" spans="1:11">
      <c r="A805">
        <v>1</v>
      </c>
      <c r="B805" t="s">
        <v>8</v>
      </c>
      <c r="C805" s="1">
        <v>34</v>
      </c>
      <c r="D805" s="1" t="s">
        <v>16</v>
      </c>
      <c r="E805" s="1">
        <v>8</v>
      </c>
      <c r="F805" s="1">
        <v>6</v>
      </c>
      <c r="G805" s="1">
        <v>9</v>
      </c>
      <c r="H805" s="29">
        <v>9.9999999999999995E-7</v>
      </c>
      <c r="I805">
        <f t="shared" si="37"/>
        <v>7.5</v>
      </c>
      <c r="J805">
        <v>10</v>
      </c>
      <c r="K805" s="16">
        <f t="shared" si="38"/>
        <v>750000000</v>
      </c>
    </row>
    <row r="806" spans="1:11">
      <c r="A806">
        <v>1</v>
      </c>
      <c r="B806" t="s">
        <v>8</v>
      </c>
      <c r="C806" s="1">
        <v>34</v>
      </c>
      <c r="D806" s="1" t="s">
        <v>16</v>
      </c>
      <c r="E806" s="1">
        <v>9</v>
      </c>
      <c r="F806" s="30">
        <v>30</v>
      </c>
      <c r="G806" s="1">
        <v>17</v>
      </c>
      <c r="H806" s="29">
        <v>1.0000000000000001E-5</v>
      </c>
      <c r="I806">
        <f t="shared" si="37"/>
        <v>23.5</v>
      </c>
      <c r="J806">
        <v>10</v>
      </c>
      <c r="K806" s="16">
        <f t="shared" si="38"/>
        <v>234999999.99999997</v>
      </c>
    </row>
    <row r="807" spans="1:11">
      <c r="A807">
        <v>1</v>
      </c>
      <c r="B807" t="s">
        <v>8</v>
      </c>
      <c r="C807" s="1">
        <v>34</v>
      </c>
      <c r="D807" s="1" t="s">
        <v>16</v>
      </c>
      <c r="E807" s="1">
        <v>10</v>
      </c>
      <c r="F807" s="1">
        <v>7</v>
      </c>
      <c r="G807" s="1">
        <v>7</v>
      </c>
      <c r="H807" s="29">
        <v>9.9999999999999995E-7</v>
      </c>
      <c r="I807">
        <f t="shared" si="37"/>
        <v>7</v>
      </c>
      <c r="J807">
        <v>10</v>
      </c>
      <c r="K807" s="16">
        <f t="shared" si="38"/>
        <v>700000000</v>
      </c>
    </row>
    <row r="808" spans="1:11">
      <c r="A808">
        <v>1</v>
      </c>
      <c r="B808" t="s">
        <v>8</v>
      </c>
      <c r="C808" s="1">
        <v>34.5</v>
      </c>
      <c r="D808" s="1" t="s">
        <v>16</v>
      </c>
      <c r="E808" s="1">
        <v>1</v>
      </c>
      <c r="F808" s="31">
        <v>6</v>
      </c>
      <c r="G808" s="31">
        <v>4</v>
      </c>
      <c r="H808" s="32">
        <v>1E-3</v>
      </c>
      <c r="I808">
        <f t="shared" ref="I808:I836" si="39">AVERAGE(F808:G808)</f>
        <v>5</v>
      </c>
      <c r="J808">
        <v>10</v>
      </c>
      <c r="K808" s="16">
        <f t="shared" si="38"/>
        <v>499999.99999999994</v>
      </c>
    </row>
    <row r="809" spans="1:11" ht="17.100000000000001" thickBot="1">
      <c r="A809">
        <v>1</v>
      </c>
      <c r="B809" t="s">
        <v>8</v>
      </c>
      <c r="C809" s="1">
        <v>34.5</v>
      </c>
      <c r="D809" s="1" t="s">
        <v>16</v>
      </c>
      <c r="E809" s="1">
        <v>2</v>
      </c>
      <c r="F809" s="1">
        <v>9</v>
      </c>
      <c r="G809" s="1">
        <v>12</v>
      </c>
      <c r="H809" s="29">
        <v>1E-4</v>
      </c>
      <c r="I809">
        <f t="shared" si="39"/>
        <v>10.5</v>
      </c>
      <c r="J809">
        <v>10</v>
      </c>
      <c r="K809" s="16">
        <f t="shared" si="38"/>
        <v>10499999.999999998</v>
      </c>
    </row>
    <row r="810" spans="1:11" ht="17.100000000000001" thickBot="1">
      <c r="A810">
        <v>1</v>
      </c>
      <c r="B810" t="s">
        <v>8</v>
      </c>
      <c r="C810" s="1">
        <v>34.5</v>
      </c>
      <c r="D810" s="1" t="s">
        <v>16</v>
      </c>
      <c r="E810" s="1">
        <v>3</v>
      </c>
      <c r="F810" s="1">
        <v>30</v>
      </c>
      <c r="G810" s="1">
        <v>20</v>
      </c>
      <c r="H810" s="32">
        <v>1E-3</v>
      </c>
      <c r="I810">
        <f t="shared" si="39"/>
        <v>25</v>
      </c>
      <c r="J810">
        <v>10</v>
      </c>
      <c r="K810" s="16">
        <f t="shared" si="38"/>
        <v>2500000</v>
      </c>
    </row>
    <row r="811" spans="1:11">
      <c r="A811">
        <v>1</v>
      </c>
      <c r="B811" t="s">
        <v>8</v>
      </c>
      <c r="C811" s="1">
        <v>34.5</v>
      </c>
      <c r="D811" s="1" t="s">
        <v>16</v>
      </c>
      <c r="E811" s="1">
        <v>4</v>
      </c>
      <c r="F811" s="1">
        <v>2</v>
      </c>
      <c r="G811" s="1">
        <v>3</v>
      </c>
      <c r="H811" s="32">
        <v>1E-3</v>
      </c>
      <c r="I811">
        <f t="shared" si="39"/>
        <v>2.5</v>
      </c>
      <c r="J811">
        <v>10</v>
      </c>
      <c r="K811" s="16">
        <f t="shared" si="38"/>
        <v>249999.99999999997</v>
      </c>
    </row>
    <row r="812" spans="1:11">
      <c r="A812">
        <v>1</v>
      </c>
      <c r="B812" t="s">
        <v>8</v>
      </c>
      <c r="C812" s="1">
        <v>34.5</v>
      </c>
      <c r="D812" s="1" t="s">
        <v>16</v>
      </c>
      <c r="E812" s="1">
        <v>5</v>
      </c>
      <c r="F812" s="1">
        <v>11</v>
      </c>
      <c r="G812" s="1">
        <v>7</v>
      </c>
      <c r="H812" s="29">
        <v>1E-4</v>
      </c>
      <c r="I812">
        <f t="shared" si="39"/>
        <v>9</v>
      </c>
      <c r="J812">
        <v>10</v>
      </c>
      <c r="K812" s="16">
        <f t="shared" si="38"/>
        <v>8999999.9999999981</v>
      </c>
    </row>
    <row r="813" spans="1:11">
      <c r="A813">
        <v>1</v>
      </c>
      <c r="B813" t="s">
        <v>8</v>
      </c>
      <c r="C813" s="1">
        <v>34.5</v>
      </c>
      <c r="D813" s="1" t="s">
        <v>16</v>
      </c>
      <c r="E813" s="1">
        <v>6</v>
      </c>
      <c r="F813" s="1">
        <v>6</v>
      </c>
      <c r="G813" s="1">
        <v>7</v>
      </c>
      <c r="H813" s="29">
        <v>1E-3</v>
      </c>
      <c r="I813">
        <f t="shared" si="39"/>
        <v>6.5</v>
      </c>
      <c r="J813">
        <v>10</v>
      </c>
      <c r="K813" s="16">
        <f t="shared" si="38"/>
        <v>650000</v>
      </c>
    </row>
    <row r="814" spans="1:11">
      <c r="A814">
        <v>1</v>
      </c>
      <c r="B814" t="s">
        <v>8</v>
      </c>
      <c r="C814" s="1">
        <v>34.5</v>
      </c>
      <c r="D814" s="1" t="s">
        <v>16</v>
      </c>
      <c r="E814" s="1">
        <v>7</v>
      </c>
      <c r="F814" s="30">
        <v>70</v>
      </c>
      <c r="G814" s="1">
        <v>15</v>
      </c>
      <c r="H814" s="29">
        <v>0.01</v>
      </c>
      <c r="I814">
        <f t="shared" si="39"/>
        <v>42.5</v>
      </c>
      <c r="J814">
        <v>10</v>
      </c>
      <c r="K814" s="16">
        <f t="shared" si="38"/>
        <v>425000</v>
      </c>
    </row>
    <row r="815" spans="1:11">
      <c r="A815">
        <v>1</v>
      </c>
      <c r="B815" t="s">
        <v>8</v>
      </c>
      <c r="C815" s="1">
        <v>34.5</v>
      </c>
      <c r="D815" s="1" t="s">
        <v>16</v>
      </c>
      <c r="E815" s="1">
        <v>8</v>
      </c>
      <c r="F815" s="1">
        <v>7</v>
      </c>
      <c r="G815" s="1">
        <v>10</v>
      </c>
      <c r="H815" s="29">
        <v>0.01</v>
      </c>
      <c r="I815">
        <f t="shared" si="39"/>
        <v>8.5</v>
      </c>
      <c r="J815">
        <v>10</v>
      </c>
      <c r="K815" s="16">
        <f t="shared" si="38"/>
        <v>85000</v>
      </c>
    </row>
    <row r="816" spans="1:11">
      <c r="A816">
        <v>1</v>
      </c>
      <c r="B816" t="s">
        <v>8</v>
      </c>
      <c r="C816" s="1">
        <v>34.5</v>
      </c>
      <c r="D816" s="1" t="s">
        <v>16</v>
      </c>
      <c r="E816" s="1">
        <v>9</v>
      </c>
      <c r="F816" s="1">
        <v>26</v>
      </c>
      <c r="G816" s="1">
        <v>28</v>
      </c>
      <c r="H816" s="29">
        <v>1E-4</v>
      </c>
      <c r="I816">
        <f t="shared" si="39"/>
        <v>27</v>
      </c>
      <c r="J816">
        <v>10</v>
      </c>
      <c r="K816" s="16">
        <f t="shared" si="38"/>
        <v>26999999.999999996</v>
      </c>
    </row>
    <row r="817" spans="1:11">
      <c r="A817">
        <v>1</v>
      </c>
      <c r="B817" t="s">
        <v>8</v>
      </c>
      <c r="C817" s="1">
        <v>34.5</v>
      </c>
      <c r="D817" s="1" t="s">
        <v>16</v>
      </c>
      <c r="E817" s="1">
        <v>10</v>
      </c>
      <c r="F817" s="1">
        <v>10</v>
      </c>
      <c r="G817" s="1">
        <v>9</v>
      </c>
      <c r="H817" s="29">
        <v>1E-3</v>
      </c>
      <c r="I817">
        <f t="shared" si="39"/>
        <v>9.5</v>
      </c>
      <c r="J817">
        <v>10</v>
      </c>
      <c r="K817" s="16">
        <f t="shared" si="38"/>
        <v>949999.99999999988</v>
      </c>
    </row>
    <row r="818" spans="1:11">
      <c r="A818">
        <v>1</v>
      </c>
      <c r="B818" t="s">
        <v>8</v>
      </c>
      <c r="C818" s="1">
        <v>35</v>
      </c>
      <c r="D818" s="1" t="s">
        <v>16</v>
      </c>
      <c r="E818" s="1" t="s">
        <v>19</v>
      </c>
      <c r="F818" s="1">
        <v>7</v>
      </c>
      <c r="G818" s="1">
        <v>3</v>
      </c>
      <c r="H818" s="29">
        <v>9.9999999999999995E-7</v>
      </c>
      <c r="I818">
        <f t="shared" si="39"/>
        <v>5</v>
      </c>
      <c r="J818">
        <v>10</v>
      </c>
      <c r="K818" s="16">
        <f t="shared" si="38"/>
        <v>500000000</v>
      </c>
    </row>
    <row r="819" spans="1:11">
      <c r="A819">
        <v>1</v>
      </c>
      <c r="B819" t="s">
        <v>8</v>
      </c>
      <c r="C819" s="1">
        <v>35</v>
      </c>
      <c r="D819" s="1" t="s">
        <v>16</v>
      </c>
      <c r="E819" s="1" t="s">
        <v>20</v>
      </c>
      <c r="F819" s="1">
        <v>1</v>
      </c>
      <c r="G819" s="1">
        <v>6</v>
      </c>
      <c r="H819" s="29">
        <v>9.9999999999999995E-7</v>
      </c>
      <c r="I819">
        <f t="shared" si="39"/>
        <v>3.5</v>
      </c>
      <c r="J819">
        <v>10</v>
      </c>
      <c r="K819" s="16">
        <f t="shared" si="38"/>
        <v>350000000</v>
      </c>
    </row>
    <row r="820" spans="1:11">
      <c r="A820">
        <v>1</v>
      </c>
      <c r="B820" t="s">
        <v>8</v>
      </c>
      <c r="C820" s="1">
        <v>35</v>
      </c>
      <c r="D820" s="1" t="s">
        <v>16</v>
      </c>
      <c r="E820" s="1" t="s">
        <v>21</v>
      </c>
      <c r="F820" s="1">
        <v>5</v>
      </c>
      <c r="G820" s="1">
        <v>9</v>
      </c>
      <c r="H820" s="29">
        <v>9.9999999999999995E-7</v>
      </c>
      <c r="I820">
        <f t="shared" si="39"/>
        <v>7</v>
      </c>
      <c r="J820">
        <v>10</v>
      </c>
      <c r="K820" s="16">
        <f t="shared" si="38"/>
        <v>700000000</v>
      </c>
    </row>
    <row r="821" spans="1:11">
      <c r="A821">
        <v>1</v>
      </c>
      <c r="B821" t="s">
        <v>8</v>
      </c>
      <c r="C821" s="1">
        <v>35</v>
      </c>
      <c r="D821" s="1" t="s">
        <v>16</v>
      </c>
      <c r="E821" s="1" t="s">
        <v>22</v>
      </c>
      <c r="F821" s="1">
        <v>8</v>
      </c>
      <c r="G821" s="1">
        <v>7</v>
      </c>
      <c r="H821" s="29">
        <v>9.9999999999999995E-7</v>
      </c>
      <c r="I821">
        <f t="shared" si="39"/>
        <v>7.5</v>
      </c>
      <c r="J821">
        <v>10</v>
      </c>
      <c r="K821" s="16">
        <f t="shared" si="38"/>
        <v>750000000</v>
      </c>
    </row>
    <row r="822" spans="1:11">
      <c r="A822">
        <v>1</v>
      </c>
      <c r="B822" t="s">
        <v>8</v>
      </c>
      <c r="C822" s="1">
        <v>35</v>
      </c>
      <c r="D822" s="1" t="s">
        <v>16</v>
      </c>
      <c r="E822" s="1">
        <v>1</v>
      </c>
      <c r="F822" s="1">
        <v>7</v>
      </c>
      <c r="G822" s="1">
        <v>8</v>
      </c>
      <c r="H822" s="29">
        <v>9.9999999999999995E-7</v>
      </c>
      <c r="I822">
        <f t="shared" si="39"/>
        <v>7.5</v>
      </c>
      <c r="J822">
        <v>10</v>
      </c>
      <c r="K822" s="16">
        <f t="shared" si="38"/>
        <v>750000000</v>
      </c>
    </row>
    <row r="823" spans="1:11">
      <c r="A823">
        <v>1</v>
      </c>
      <c r="B823" t="s">
        <v>8</v>
      </c>
      <c r="C823" s="1">
        <v>35</v>
      </c>
      <c r="D823" s="1" t="s">
        <v>16</v>
      </c>
      <c r="E823" s="1">
        <v>2</v>
      </c>
      <c r="F823" s="1">
        <v>6</v>
      </c>
      <c r="G823" s="1">
        <v>2</v>
      </c>
      <c r="H823" s="29">
        <v>9.9999999999999995E-7</v>
      </c>
      <c r="I823">
        <f t="shared" si="39"/>
        <v>4</v>
      </c>
      <c r="J823">
        <v>10</v>
      </c>
      <c r="K823" s="16">
        <f t="shared" si="38"/>
        <v>400000000</v>
      </c>
    </row>
    <row r="824" spans="1:11">
      <c r="A824">
        <v>1</v>
      </c>
      <c r="B824" t="s">
        <v>8</v>
      </c>
      <c r="C824" s="1">
        <v>35</v>
      </c>
      <c r="D824" s="1" t="s">
        <v>16</v>
      </c>
      <c r="E824" s="1">
        <v>3</v>
      </c>
      <c r="F824" s="30">
        <v>30</v>
      </c>
      <c r="G824" s="1">
        <v>24</v>
      </c>
      <c r="H824" s="29">
        <v>1.0000000000000001E-5</v>
      </c>
      <c r="I824">
        <f t="shared" si="39"/>
        <v>27</v>
      </c>
      <c r="J824">
        <v>10</v>
      </c>
      <c r="K824" s="16">
        <f t="shared" si="38"/>
        <v>270000000</v>
      </c>
    </row>
    <row r="825" spans="1:11">
      <c r="A825">
        <v>1</v>
      </c>
      <c r="B825" t="s">
        <v>8</v>
      </c>
      <c r="C825" s="1">
        <v>35</v>
      </c>
      <c r="D825" s="1" t="s">
        <v>16</v>
      </c>
      <c r="E825" s="1">
        <v>4</v>
      </c>
      <c r="F825" s="1">
        <v>6</v>
      </c>
      <c r="G825" s="1">
        <v>3</v>
      </c>
      <c r="H825" s="29">
        <v>9.9999999999999995E-7</v>
      </c>
      <c r="I825">
        <f t="shared" si="39"/>
        <v>4.5</v>
      </c>
      <c r="J825">
        <v>10</v>
      </c>
      <c r="K825" s="16">
        <f t="shared" si="38"/>
        <v>450000000</v>
      </c>
    </row>
    <row r="826" spans="1:11">
      <c r="A826">
        <v>1</v>
      </c>
      <c r="B826" t="s">
        <v>8</v>
      </c>
      <c r="C826" s="1">
        <v>35</v>
      </c>
      <c r="D826" s="1" t="s">
        <v>16</v>
      </c>
      <c r="E826" s="1">
        <v>5</v>
      </c>
      <c r="F826" s="1">
        <v>2</v>
      </c>
      <c r="G826" s="1">
        <v>2</v>
      </c>
      <c r="H826" s="29">
        <v>9.9999999999999995E-7</v>
      </c>
      <c r="I826">
        <f t="shared" si="39"/>
        <v>2</v>
      </c>
      <c r="J826">
        <v>10</v>
      </c>
      <c r="K826" s="16">
        <f t="shared" si="38"/>
        <v>200000000</v>
      </c>
    </row>
    <row r="827" spans="1:11">
      <c r="A827">
        <v>1</v>
      </c>
      <c r="B827" t="s">
        <v>8</v>
      </c>
      <c r="C827" s="1">
        <v>35</v>
      </c>
      <c r="D827" s="1" t="s">
        <v>16</v>
      </c>
      <c r="E827" s="1">
        <v>6</v>
      </c>
      <c r="F827" s="1">
        <v>4</v>
      </c>
      <c r="G827" s="1">
        <v>8</v>
      </c>
      <c r="H827" s="29">
        <v>9.9999999999999995E-7</v>
      </c>
      <c r="I827">
        <f t="shared" si="39"/>
        <v>6</v>
      </c>
      <c r="J827">
        <v>10</v>
      </c>
      <c r="K827" s="16">
        <f t="shared" si="38"/>
        <v>600000000</v>
      </c>
    </row>
    <row r="828" spans="1:11">
      <c r="A828">
        <v>1</v>
      </c>
      <c r="B828" t="s">
        <v>8</v>
      </c>
      <c r="C828" s="1">
        <v>35</v>
      </c>
      <c r="D828" s="1" t="s">
        <v>16</v>
      </c>
      <c r="E828" s="1">
        <v>7</v>
      </c>
      <c r="F828" s="1">
        <v>11</v>
      </c>
      <c r="G828" s="1">
        <v>3</v>
      </c>
      <c r="H828" s="29">
        <v>9.9999999999999995E-7</v>
      </c>
      <c r="I828">
        <f t="shared" si="39"/>
        <v>7</v>
      </c>
      <c r="J828">
        <v>10</v>
      </c>
      <c r="K828" s="16">
        <f t="shared" si="38"/>
        <v>700000000</v>
      </c>
    </row>
    <row r="829" spans="1:11">
      <c r="A829">
        <v>1</v>
      </c>
      <c r="B829" t="s">
        <v>8</v>
      </c>
      <c r="C829" s="1">
        <v>35</v>
      </c>
      <c r="D829" s="1" t="s">
        <v>16</v>
      </c>
      <c r="E829" s="1">
        <v>8</v>
      </c>
      <c r="F829" s="1">
        <v>7</v>
      </c>
      <c r="G829" s="1">
        <v>5</v>
      </c>
      <c r="H829" s="29">
        <v>9.9999999999999995E-7</v>
      </c>
      <c r="I829">
        <f t="shared" si="39"/>
        <v>6</v>
      </c>
      <c r="J829">
        <v>10</v>
      </c>
      <c r="K829" s="16">
        <f t="shared" si="38"/>
        <v>600000000</v>
      </c>
    </row>
    <row r="830" spans="1:11">
      <c r="A830">
        <v>1</v>
      </c>
      <c r="B830" t="s">
        <v>8</v>
      </c>
      <c r="C830" s="1">
        <v>35</v>
      </c>
      <c r="D830" s="1" t="s">
        <v>16</v>
      </c>
      <c r="E830" s="1">
        <v>9</v>
      </c>
      <c r="F830" s="1">
        <v>2</v>
      </c>
      <c r="G830" s="1">
        <v>1</v>
      </c>
      <c r="H830" s="29">
        <v>9.9999999999999995E-7</v>
      </c>
      <c r="I830">
        <f t="shared" si="39"/>
        <v>1.5</v>
      </c>
      <c r="J830">
        <v>10</v>
      </c>
      <c r="K830" s="16">
        <f t="shared" si="38"/>
        <v>150000000</v>
      </c>
    </row>
    <row r="831" spans="1:11">
      <c r="A831">
        <v>1</v>
      </c>
      <c r="B831" t="s">
        <v>8</v>
      </c>
      <c r="C831" s="1">
        <v>35</v>
      </c>
      <c r="D831" s="1" t="s">
        <v>16</v>
      </c>
      <c r="E831" s="1">
        <v>10</v>
      </c>
      <c r="F831" s="1">
        <v>2</v>
      </c>
      <c r="G831" s="1">
        <v>1</v>
      </c>
      <c r="H831" s="29">
        <v>9.9999999999999995E-7</v>
      </c>
      <c r="I831">
        <f t="shared" si="39"/>
        <v>1.5</v>
      </c>
      <c r="J831">
        <v>10</v>
      </c>
      <c r="K831" s="16">
        <f t="shared" si="38"/>
        <v>150000000</v>
      </c>
    </row>
    <row r="832" spans="1:11">
      <c r="A832">
        <v>1</v>
      </c>
      <c r="B832" t="s">
        <v>8</v>
      </c>
      <c r="C832" s="1">
        <v>35.5</v>
      </c>
      <c r="D832" s="1" t="s">
        <v>16</v>
      </c>
      <c r="E832" s="1">
        <v>1</v>
      </c>
      <c r="F832" s="31">
        <v>10</v>
      </c>
      <c r="G832" s="31">
        <v>9</v>
      </c>
      <c r="H832" s="32">
        <v>1E-3</v>
      </c>
      <c r="I832">
        <f t="shared" si="39"/>
        <v>9.5</v>
      </c>
      <c r="J832">
        <v>10</v>
      </c>
      <c r="K832" s="16">
        <f t="shared" si="38"/>
        <v>949999.99999999988</v>
      </c>
    </row>
    <row r="833" spans="1:11">
      <c r="A833">
        <v>1</v>
      </c>
      <c r="B833" t="s">
        <v>8</v>
      </c>
      <c r="C833" s="1">
        <v>35.5</v>
      </c>
      <c r="D833" s="1" t="s">
        <v>16</v>
      </c>
      <c r="E833" s="1">
        <v>2</v>
      </c>
      <c r="F833" s="1">
        <v>7</v>
      </c>
      <c r="G833" s="1">
        <v>5</v>
      </c>
      <c r="H833" s="29">
        <v>1E-4</v>
      </c>
      <c r="I833">
        <f t="shared" si="39"/>
        <v>6</v>
      </c>
      <c r="J833">
        <v>10</v>
      </c>
      <c r="K833" s="16">
        <f t="shared" si="38"/>
        <v>5999999.9999999991</v>
      </c>
    </row>
    <row r="834" spans="1:11">
      <c r="A834">
        <v>1</v>
      </c>
      <c r="B834" t="s">
        <v>8</v>
      </c>
      <c r="C834" s="1">
        <v>35.5</v>
      </c>
      <c r="D834" s="1" t="s">
        <v>16</v>
      </c>
      <c r="E834" s="1">
        <v>3</v>
      </c>
      <c r="F834" s="1">
        <v>5</v>
      </c>
      <c r="G834" s="1">
        <v>6</v>
      </c>
      <c r="H834" s="29">
        <v>1.0000000000000001E-5</v>
      </c>
      <c r="I834">
        <f t="shared" si="39"/>
        <v>5.5</v>
      </c>
      <c r="J834">
        <v>10</v>
      </c>
      <c r="K834" s="16">
        <f t="shared" si="38"/>
        <v>54999999.999999993</v>
      </c>
    </row>
    <row r="835" spans="1:11">
      <c r="A835">
        <v>1</v>
      </c>
      <c r="B835" t="s">
        <v>8</v>
      </c>
      <c r="C835" s="1">
        <v>35.5</v>
      </c>
      <c r="D835" s="1" t="s">
        <v>16</v>
      </c>
      <c r="E835" s="1">
        <v>4</v>
      </c>
      <c r="F835" s="1">
        <v>9</v>
      </c>
      <c r="G835" s="1">
        <v>7</v>
      </c>
      <c r="H835" s="29">
        <v>1E-3</v>
      </c>
      <c r="I835">
        <f t="shared" si="39"/>
        <v>8</v>
      </c>
      <c r="J835">
        <v>10</v>
      </c>
      <c r="K835" s="16">
        <f t="shared" si="38"/>
        <v>799999.99999999988</v>
      </c>
    </row>
    <row r="836" spans="1:11">
      <c r="A836">
        <v>1</v>
      </c>
      <c r="B836" t="s">
        <v>8</v>
      </c>
      <c r="C836" s="1">
        <v>35.5</v>
      </c>
      <c r="D836" s="1" t="s">
        <v>16</v>
      </c>
      <c r="E836" s="1">
        <v>5</v>
      </c>
      <c r="F836" s="1">
        <v>11</v>
      </c>
      <c r="G836" s="1">
        <v>3</v>
      </c>
      <c r="H836" s="29">
        <v>1.0000000000000001E-5</v>
      </c>
      <c r="I836">
        <f t="shared" si="39"/>
        <v>7</v>
      </c>
      <c r="J836">
        <v>10</v>
      </c>
      <c r="K836" s="16">
        <f t="shared" si="38"/>
        <v>70000000</v>
      </c>
    </row>
    <row r="837" spans="1:11">
      <c r="A837">
        <v>1</v>
      </c>
      <c r="B837" t="s">
        <v>8</v>
      </c>
      <c r="C837" s="1">
        <v>35.5</v>
      </c>
      <c r="D837" s="1" t="s">
        <v>16</v>
      </c>
      <c r="E837" s="1">
        <v>6</v>
      </c>
      <c r="F837" s="1">
        <v>5</v>
      </c>
      <c r="G837" s="1">
        <v>8</v>
      </c>
      <c r="H837" s="29">
        <v>1.0000000000000001E-5</v>
      </c>
      <c r="I837">
        <f t="shared" ref="I837:I866" si="40">AVERAGE(F837:G837)</f>
        <v>6.5</v>
      </c>
      <c r="J837">
        <v>10</v>
      </c>
      <c r="K837" s="16">
        <f t="shared" si="38"/>
        <v>64999999.999999993</v>
      </c>
    </row>
    <row r="838" spans="1:11">
      <c r="A838">
        <v>1</v>
      </c>
      <c r="B838" t="s">
        <v>8</v>
      </c>
      <c r="C838" s="1">
        <v>35.5</v>
      </c>
      <c r="D838" s="1" t="s">
        <v>16</v>
      </c>
      <c r="E838" s="1">
        <v>7</v>
      </c>
      <c r="F838" s="1">
        <v>19</v>
      </c>
      <c r="G838" s="1">
        <v>10</v>
      </c>
      <c r="H838" s="29">
        <v>1E-3</v>
      </c>
      <c r="I838">
        <f t="shared" si="40"/>
        <v>14.5</v>
      </c>
      <c r="J838">
        <v>10</v>
      </c>
      <c r="K838" s="16">
        <f t="shared" si="38"/>
        <v>1449999.9999999998</v>
      </c>
    </row>
    <row r="839" spans="1:11">
      <c r="A839">
        <v>1</v>
      </c>
      <c r="B839" t="s">
        <v>8</v>
      </c>
      <c r="C839" s="1">
        <v>35.5</v>
      </c>
      <c r="D839" s="1" t="s">
        <v>16</v>
      </c>
      <c r="E839" s="1">
        <v>8</v>
      </c>
      <c r="F839" s="1">
        <v>3</v>
      </c>
      <c r="G839" s="1">
        <v>5</v>
      </c>
      <c r="H839" s="29">
        <v>1E-3</v>
      </c>
      <c r="I839">
        <f t="shared" si="40"/>
        <v>4</v>
      </c>
      <c r="J839">
        <v>10</v>
      </c>
      <c r="K839" s="16">
        <f t="shared" si="38"/>
        <v>399999.99999999994</v>
      </c>
    </row>
    <row r="840" spans="1:11">
      <c r="A840">
        <v>1</v>
      </c>
      <c r="B840" t="s">
        <v>8</v>
      </c>
      <c r="C840" s="1">
        <v>35.5</v>
      </c>
      <c r="D840" s="1" t="s">
        <v>16</v>
      </c>
      <c r="E840" s="1">
        <v>9</v>
      </c>
      <c r="F840" s="1">
        <v>6</v>
      </c>
      <c r="G840" s="1">
        <v>6</v>
      </c>
      <c r="H840" s="29">
        <v>1.0000000000000001E-5</v>
      </c>
      <c r="I840">
        <f t="shared" si="40"/>
        <v>6</v>
      </c>
      <c r="J840">
        <v>10</v>
      </c>
      <c r="K840" s="16">
        <f t="shared" si="38"/>
        <v>59999999.999999993</v>
      </c>
    </row>
    <row r="841" spans="1:11">
      <c r="A841">
        <v>1</v>
      </c>
      <c r="B841" t="s">
        <v>8</v>
      </c>
      <c r="C841" s="1">
        <v>35.5</v>
      </c>
      <c r="D841" s="1" t="s">
        <v>16</v>
      </c>
      <c r="E841" s="1">
        <v>10</v>
      </c>
      <c r="F841" s="1">
        <v>17</v>
      </c>
      <c r="G841" s="1">
        <v>12</v>
      </c>
      <c r="H841" s="29">
        <v>1.0000000000000001E-5</v>
      </c>
      <c r="I841">
        <f t="shared" si="40"/>
        <v>14.5</v>
      </c>
      <c r="J841">
        <v>10</v>
      </c>
      <c r="K841" s="16">
        <f t="shared" si="38"/>
        <v>145000000</v>
      </c>
    </row>
    <row r="842" spans="1:11">
      <c r="A842">
        <v>1</v>
      </c>
      <c r="B842" t="s">
        <v>8</v>
      </c>
      <c r="C842" s="1">
        <v>36</v>
      </c>
      <c r="D842" s="1" t="s">
        <v>16</v>
      </c>
      <c r="E842" s="1" t="s">
        <v>19</v>
      </c>
      <c r="F842" s="1">
        <v>6</v>
      </c>
      <c r="G842" s="1">
        <v>3</v>
      </c>
      <c r="H842" s="29">
        <v>9.9999999999999995E-7</v>
      </c>
      <c r="I842">
        <f t="shared" si="40"/>
        <v>4.5</v>
      </c>
      <c r="J842">
        <v>10</v>
      </c>
      <c r="K842" s="16">
        <f t="shared" si="38"/>
        <v>450000000</v>
      </c>
    </row>
    <row r="843" spans="1:11">
      <c r="A843">
        <v>1</v>
      </c>
      <c r="B843" t="s">
        <v>8</v>
      </c>
      <c r="C843" s="1">
        <v>36</v>
      </c>
      <c r="D843" s="1" t="s">
        <v>16</v>
      </c>
      <c r="E843" s="1" t="s">
        <v>20</v>
      </c>
      <c r="F843" s="1">
        <v>6</v>
      </c>
      <c r="G843" s="1">
        <v>6</v>
      </c>
      <c r="H843" s="29">
        <v>9.9999999999999995E-7</v>
      </c>
      <c r="I843">
        <f t="shared" si="40"/>
        <v>6</v>
      </c>
      <c r="J843">
        <v>10</v>
      </c>
      <c r="K843" s="16">
        <f t="shared" si="38"/>
        <v>600000000</v>
      </c>
    </row>
    <row r="844" spans="1:11">
      <c r="A844">
        <v>1</v>
      </c>
      <c r="B844" t="s">
        <v>8</v>
      </c>
      <c r="C844" s="1">
        <v>36</v>
      </c>
      <c r="D844" s="1" t="s">
        <v>16</v>
      </c>
      <c r="E844" s="1" t="s">
        <v>21</v>
      </c>
      <c r="F844" s="1">
        <v>12</v>
      </c>
      <c r="G844" s="1">
        <v>7</v>
      </c>
      <c r="H844" s="29">
        <v>9.9999999999999995E-7</v>
      </c>
      <c r="I844">
        <f t="shared" si="40"/>
        <v>9.5</v>
      </c>
      <c r="J844">
        <v>10</v>
      </c>
      <c r="K844" s="16">
        <f t="shared" si="38"/>
        <v>950000000</v>
      </c>
    </row>
    <row r="845" spans="1:11">
      <c r="A845">
        <v>1</v>
      </c>
      <c r="B845" t="s">
        <v>8</v>
      </c>
      <c r="C845" s="1">
        <v>36</v>
      </c>
      <c r="D845" s="1" t="s">
        <v>16</v>
      </c>
      <c r="E845" s="1" t="s">
        <v>22</v>
      </c>
      <c r="F845" s="1">
        <v>1</v>
      </c>
      <c r="G845" s="1">
        <v>4</v>
      </c>
      <c r="H845" s="29">
        <v>9.9999999999999995E-7</v>
      </c>
      <c r="I845">
        <f t="shared" si="40"/>
        <v>2.5</v>
      </c>
      <c r="J845">
        <v>10</v>
      </c>
      <c r="K845" s="16">
        <f t="shared" si="38"/>
        <v>250000000</v>
      </c>
    </row>
    <row r="846" spans="1:11">
      <c r="A846">
        <v>1</v>
      </c>
      <c r="B846" t="s">
        <v>8</v>
      </c>
      <c r="C846" s="1">
        <v>36</v>
      </c>
      <c r="D846" s="1" t="s">
        <v>16</v>
      </c>
      <c r="E846" s="1">
        <v>1</v>
      </c>
      <c r="F846" s="1">
        <v>1</v>
      </c>
      <c r="G846" s="1">
        <v>7</v>
      </c>
      <c r="H846" s="29">
        <v>9.9999999999999995E-7</v>
      </c>
      <c r="I846">
        <f t="shared" si="40"/>
        <v>4</v>
      </c>
      <c r="J846">
        <v>10</v>
      </c>
      <c r="K846" s="16">
        <f t="shared" si="38"/>
        <v>400000000</v>
      </c>
    </row>
    <row r="847" spans="1:11">
      <c r="A847">
        <v>1</v>
      </c>
      <c r="B847" t="s">
        <v>8</v>
      </c>
      <c r="C847" s="1">
        <v>36</v>
      </c>
      <c r="D847" s="1" t="s">
        <v>16</v>
      </c>
      <c r="E847" s="1">
        <v>2</v>
      </c>
      <c r="F847" s="1">
        <v>12</v>
      </c>
      <c r="G847" s="1">
        <v>9</v>
      </c>
      <c r="H847" s="29">
        <v>9.9999999999999995E-7</v>
      </c>
      <c r="I847">
        <f t="shared" si="40"/>
        <v>10.5</v>
      </c>
      <c r="J847">
        <v>10</v>
      </c>
      <c r="K847" s="16">
        <f t="shared" si="38"/>
        <v>1050000000</v>
      </c>
    </row>
    <row r="848" spans="1:11">
      <c r="A848">
        <v>1</v>
      </c>
      <c r="B848" t="s">
        <v>8</v>
      </c>
      <c r="C848" s="1">
        <v>36</v>
      </c>
      <c r="D848" s="1" t="s">
        <v>16</v>
      </c>
      <c r="E848" s="1">
        <v>3</v>
      </c>
      <c r="F848" s="1">
        <v>2</v>
      </c>
      <c r="G848" s="1">
        <v>1</v>
      </c>
      <c r="H848" s="29">
        <v>9.9999999999999995E-7</v>
      </c>
      <c r="I848">
        <f t="shared" si="40"/>
        <v>1.5</v>
      </c>
      <c r="J848">
        <v>10</v>
      </c>
      <c r="K848" s="16">
        <f t="shared" si="38"/>
        <v>150000000</v>
      </c>
    </row>
    <row r="849" spans="1:11">
      <c r="A849">
        <v>1</v>
      </c>
      <c r="B849" t="s">
        <v>8</v>
      </c>
      <c r="C849" s="1">
        <v>36</v>
      </c>
      <c r="D849" s="1" t="s">
        <v>16</v>
      </c>
      <c r="E849" s="1">
        <v>4</v>
      </c>
      <c r="F849" s="1">
        <v>2</v>
      </c>
      <c r="G849" s="1">
        <v>3</v>
      </c>
      <c r="H849" s="29">
        <v>9.9999999999999995E-7</v>
      </c>
      <c r="I849">
        <f t="shared" si="40"/>
        <v>2.5</v>
      </c>
      <c r="J849">
        <v>10</v>
      </c>
      <c r="K849" s="16">
        <f t="shared" si="38"/>
        <v>250000000</v>
      </c>
    </row>
    <row r="850" spans="1:11">
      <c r="A850">
        <v>1</v>
      </c>
      <c r="B850" t="s">
        <v>8</v>
      </c>
      <c r="C850" s="1">
        <v>36</v>
      </c>
      <c r="D850" s="1" t="s">
        <v>16</v>
      </c>
      <c r="E850" s="1">
        <v>5</v>
      </c>
      <c r="F850" s="1">
        <v>3</v>
      </c>
      <c r="G850" s="1">
        <v>2</v>
      </c>
      <c r="H850" s="29">
        <v>9.9999999999999995E-7</v>
      </c>
      <c r="I850">
        <f t="shared" si="40"/>
        <v>2.5</v>
      </c>
      <c r="J850">
        <v>10</v>
      </c>
      <c r="K850" s="16">
        <f t="shared" si="38"/>
        <v>250000000</v>
      </c>
    </row>
    <row r="851" spans="1:11">
      <c r="A851">
        <v>1</v>
      </c>
      <c r="B851" t="s">
        <v>8</v>
      </c>
      <c r="C851" s="1">
        <v>36</v>
      </c>
      <c r="D851" s="1" t="s">
        <v>16</v>
      </c>
      <c r="E851" s="1">
        <v>6</v>
      </c>
      <c r="F851" s="1">
        <v>5</v>
      </c>
      <c r="G851" s="1">
        <v>3</v>
      </c>
      <c r="H851" s="29">
        <v>9.9999999999999995E-7</v>
      </c>
      <c r="I851">
        <f t="shared" si="40"/>
        <v>4</v>
      </c>
      <c r="J851">
        <v>10</v>
      </c>
      <c r="K851" s="16">
        <f t="shared" ref="K851:K914" si="41">I851/(H851*(J851/1000))</f>
        <v>400000000</v>
      </c>
    </row>
    <row r="852" spans="1:11">
      <c r="A852">
        <v>1</v>
      </c>
      <c r="B852" t="s">
        <v>8</v>
      </c>
      <c r="C852" s="1">
        <v>36</v>
      </c>
      <c r="D852" s="1" t="s">
        <v>16</v>
      </c>
      <c r="E852" s="1">
        <v>7</v>
      </c>
      <c r="F852" s="1">
        <v>1</v>
      </c>
      <c r="G852" s="1">
        <v>3</v>
      </c>
      <c r="H852" s="29">
        <v>9.9999999999999995E-7</v>
      </c>
      <c r="I852">
        <f t="shared" si="40"/>
        <v>2</v>
      </c>
      <c r="J852">
        <v>10</v>
      </c>
      <c r="K852" s="16">
        <f t="shared" si="41"/>
        <v>200000000</v>
      </c>
    </row>
    <row r="853" spans="1:11">
      <c r="A853">
        <v>1</v>
      </c>
      <c r="B853" t="s">
        <v>8</v>
      </c>
      <c r="C853" s="1">
        <v>36</v>
      </c>
      <c r="D853" s="1" t="s">
        <v>16</v>
      </c>
      <c r="E853" s="1">
        <v>8</v>
      </c>
      <c r="F853" s="1">
        <v>2</v>
      </c>
      <c r="G853" s="1">
        <v>3</v>
      </c>
      <c r="H853" s="29">
        <v>9.9999999999999995E-7</v>
      </c>
      <c r="I853">
        <f t="shared" si="40"/>
        <v>2.5</v>
      </c>
      <c r="J853">
        <v>10</v>
      </c>
      <c r="K853" s="16">
        <f t="shared" si="41"/>
        <v>250000000</v>
      </c>
    </row>
    <row r="854" spans="1:11">
      <c r="A854">
        <v>1</v>
      </c>
      <c r="B854" t="s">
        <v>8</v>
      </c>
      <c r="C854" s="1">
        <v>36</v>
      </c>
      <c r="D854" s="1" t="s">
        <v>16</v>
      </c>
      <c r="E854" s="1">
        <v>9</v>
      </c>
      <c r="F854" s="1">
        <v>3</v>
      </c>
      <c r="G854" s="1">
        <v>2</v>
      </c>
      <c r="H854" s="29">
        <v>9.9999999999999995E-7</v>
      </c>
      <c r="I854">
        <f t="shared" si="40"/>
        <v>2.5</v>
      </c>
      <c r="J854">
        <v>10</v>
      </c>
      <c r="K854" s="16">
        <f t="shared" si="41"/>
        <v>250000000</v>
      </c>
    </row>
    <row r="855" spans="1:11">
      <c r="A855">
        <v>1</v>
      </c>
      <c r="B855" t="s">
        <v>8</v>
      </c>
      <c r="C855" s="1">
        <v>36</v>
      </c>
      <c r="D855" s="1" t="s">
        <v>16</v>
      </c>
      <c r="E855" s="1">
        <v>10</v>
      </c>
      <c r="F855" s="1">
        <v>12</v>
      </c>
      <c r="G855" s="1">
        <v>9</v>
      </c>
      <c r="H855" s="29">
        <v>1.0000000000000001E-5</v>
      </c>
      <c r="I855">
        <f t="shared" si="40"/>
        <v>10.5</v>
      </c>
      <c r="J855">
        <v>10</v>
      </c>
      <c r="K855" s="16">
        <f t="shared" si="41"/>
        <v>104999999.99999999</v>
      </c>
    </row>
    <row r="856" spans="1:11">
      <c r="A856">
        <v>1</v>
      </c>
      <c r="B856" t="s">
        <v>8</v>
      </c>
      <c r="C856" s="1">
        <v>36.5</v>
      </c>
      <c r="D856" s="1" t="s">
        <v>16</v>
      </c>
      <c r="E856" s="1">
        <v>1</v>
      </c>
      <c r="F856" s="31">
        <v>5</v>
      </c>
      <c r="G856" s="31">
        <v>6</v>
      </c>
      <c r="H856" s="29">
        <v>1E-3</v>
      </c>
      <c r="I856">
        <f t="shared" si="40"/>
        <v>5.5</v>
      </c>
      <c r="J856">
        <v>10</v>
      </c>
      <c r="K856" s="16">
        <f t="shared" si="41"/>
        <v>550000</v>
      </c>
    </row>
    <row r="857" spans="1:11">
      <c r="A857">
        <v>1</v>
      </c>
      <c r="B857" t="s">
        <v>8</v>
      </c>
      <c r="C857" s="1">
        <v>36.5</v>
      </c>
      <c r="D857" s="1" t="s">
        <v>16</v>
      </c>
      <c r="E857" s="1">
        <v>2</v>
      </c>
      <c r="F857" s="1">
        <v>30</v>
      </c>
      <c r="G857" s="1">
        <v>21</v>
      </c>
      <c r="H857" s="29">
        <v>1E-4</v>
      </c>
      <c r="I857">
        <f t="shared" si="40"/>
        <v>25.5</v>
      </c>
      <c r="J857">
        <v>10</v>
      </c>
      <c r="K857" s="16">
        <f t="shared" si="41"/>
        <v>25499999.999999996</v>
      </c>
    </row>
    <row r="858" spans="1:11">
      <c r="A858">
        <v>1</v>
      </c>
      <c r="B858" t="s">
        <v>8</v>
      </c>
      <c r="C858" s="1">
        <v>36.5</v>
      </c>
      <c r="D858" s="1" t="s">
        <v>16</v>
      </c>
      <c r="E858" s="1">
        <v>3</v>
      </c>
      <c r="F858" s="1">
        <v>7</v>
      </c>
      <c r="G858" s="1">
        <v>4</v>
      </c>
      <c r="H858" s="29">
        <v>1.0000000000000001E-5</v>
      </c>
      <c r="I858">
        <f t="shared" si="40"/>
        <v>5.5</v>
      </c>
      <c r="J858">
        <v>10</v>
      </c>
      <c r="K858" s="16">
        <f t="shared" si="41"/>
        <v>54999999.999999993</v>
      </c>
    </row>
    <row r="859" spans="1:11">
      <c r="A859">
        <v>1</v>
      </c>
      <c r="B859" t="s">
        <v>8</v>
      </c>
      <c r="C859" s="1">
        <v>36.5</v>
      </c>
      <c r="D859" s="1" t="s">
        <v>16</v>
      </c>
      <c r="E859" s="1">
        <v>4</v>
      </c>
      <c r="F859" s="1">
        <v>5</v>
      </c>
      <c r="G859" s="1">
        <v>3</v>
      </c>
      <c r="H859" s="29">
        <v>1E-4</v>
      </c>
      <c r="I859">
        <f t="shared" si="40"/>
        <v>4</v>
      </c>
      <c r="J859">
        <v>10</v>
      </c>
      <c r="K859" s="16">
        <f t="shared" si="41"/>
        <v>3999999.9999999995</v>
      </c>
    </row>
    <row r="860" spans="1:11">
      <c r="A860">
        <v>1</v>
      </c>
      <c r="B860" t="s">
        <v>8</v>
      </c>
      <c r="C860" s="1">
        <v>36.5</v>
      </c>
      <c r="D860" s="1" t="s">
        <v>16</v>
      </c>
      <c r="E860" s="1">
        <v>5</v>
      </c>
      <c r="F860" s="1">
        <v>7</v>
      </c>
      <c r="G860" s="1">
        <v>7</v>
      </c>
      <c r="H860" s="29">
        <v>1.0000000000000001E-5</v>
      </c>
      <c r="I860">
        <f t="shared" si="40"/>
        <v>7</v>
      </c>
      <c r="J860">
        <v>10</v>
      </c>
      <c r="K860" s="16">
        <f t="shared" si="41"/>
        <v>70000000</v>
      </c>
    </row>
    <row r="861" spans="1:11">
      <c r="A861">
        <v>1</v>
      </c>
      <c r="B861" t="s">
        <v>8</v>
      </c>
      <c r="C861" s="1">
        <v>36.5</v>
      </c>
      <c r="D861" s="1" t="s">
        <v>16</v>
      </c>
      <c r="E861" s="1">
        <v>6</v>
      </c>
      <c r="F861" s="1">
        <v>3</v>
      </c>
      <c r="G861" s="1">
        <v>4</v>
      </c>
      <c r="H861" s="29">
        <v>1.0000000000000001E-5</v>
      </c>
      <c r="I861">
        <f t="shared" si="40"/>
        <v>3.5</v>
      </c>
      <c r="J861">
        <v>10</v>
      </c>
      <c r="K861" s="16">
        <f t="shared" si="41"/>
        <v>35000000</v>
      </c>
    </row>
    <row r="862" spans="1:11">
      <c r="A862">
        <v>1</v>
      </c>
      <c r="B862" t="s">
        <v>8</v>
      </c>
      <c r="C862" s="1">
        <v>36.5</v>
      </c>
      <c r="D862" s="1" t="s">
        <v>16</v>
      </c>
      <c r="E862" s="1">
        <v>7</v>
      </c>
      <c r="F862" s="1">
        <v>2</v>
      </c>
      <c r="G862" s="1">
        <v>8</v>
      </c>
      <c r="H862" s="29">
        <v>1E-3</v>
      </c>
      <c r="I862">
        <f t="shared" si="40"/>
        <v>5</v>
      </c>
      <c r="J862">
        <v>10</v>
      </c>
      <c r="K862" s="16">
        <f t="shared" si="41"/>
        <v>499999.99999999994</v>
      </c>
    </row>
    <row r="863" spans="1:11">
      <c r="A863">
        <v>1</v>
      </c>
      <c r="B863" t="s">
        <v>8</v>
      </c>
      <c r="C863" s="1">
        <v>36.5</v>
      </c>
      <c r="D863" s="1" t="s">
        <v>16</v>
      </c>
      <c r="E863" s="1">
        <v>8</v>
      </c>
      <c r="F863" s="1">
        <v>9</v>
      </c>
      <c r="G863" s="1">
        <v>7</v>
      </c>
      <c r="H863" s="29">
        <v>0.01</v>
      </c>
      <c r="I863">
        <f t="shared" si="40"/>
        <v>8</v>
      </c>
      <c r="J863">
        <v>10</v>
      </c>
      <c r="K863" s="16">
        <f t="shared" si="41"/>
        <v>80000</v>
      </c>
    </row>
    <row r="864" spans="1:11">
      <c r="A864">
        <v>1</v>
      </c>
      <c r="B864" t="s">
        <v>8</v>
      </c>
      <c r="C864" s="1">
        <v>36.5</v>
      </c>
      <c r="D864" s="1" t="s">
        <v>16</v>
      </c>
      <c r="E864" s="1">
        <v>9</v>
      </c>
      <c r="F864" s="1">
        <v>3</v>
      </c>
      <c r="G864" s="1">
        <v>3</v>
      </c>
      <c r="H864" s="29">
        <v>1.0000000000000001E-5</v>
      </c>
      <c r="I864">
        <f t="shared" si="40"/>
        <v>3</v>
      </c>
      <c r="J864">
        <v>10</v>
      </c>
      <c r="K864" s="16">
        <f t="shared" si="41"/>
        <v>29999999.999999996</v>
      </c>
    </row>
    <row r="865" spans="1:11">
      <c r="A865">
        <v>1</v>
      </c>
      <c r="B865" t="s">
        <v>8</v>
      </c>
      <c r="C865" s="1">
        <v>36.5</v>
      </c>
      <c r="D865" s="1" t="s">
        <v>16</v>
      </c>
      <c r="E865" s="1">
        <v>10</v>
      </c>
      <c r="F865" s="1">
        <v>7</v>
      </c>
      <c r="G865" s="1">
        <v>4</v>
      </c>
      <c r="H865" s="29">
        <v>1.0000000000000001E-5</v>
      </c>
      <c r="I865">
        <f t="shared" si="40"/>
        <v>5.5</v>
      </c>
      <c r="J865">
        <v>10</v>
      </c>
      <c r="K865" s="16">
        <f t="shared" si="41"/>
        <v>54999999.999999993</v>
      </c>
    </row>
    <row r="866" spans="1:11">
      <c r="A866">
        <v>1</v>
      </c>
      <c r="B866" t="s">
        <v>8</v>
      </c>
      <c r="C866" s="1">
        <v>37</v>
      </c>
      <c r="D866" s="1" t="s">
        <v>16</v>
      </c>
      <c r="E866" s="1" t="s">
        <v>19</v>
      </c>
      <c r="F866" s="1">
        <v>16</v>
      </c>
      <c r="G866" s="1">
        <v>12</v>
      </c>
      <c r="H866" s="29">
        <v>9.9999999999999995E-7</v>
      </c>
      <c r="I866">
        <f t="shared" si="40"/>
        <v>14</v>
      </c>
      <c r="J866">
        <v>10</v>
      </c>
      <c r="K866" s="16">
        <f t="shared" si="41"/>
        <v>1400000000</v>
      </c>
    </row>
    <row r="867" spans="1:11">
      <c r="A867">
        <v>1</v>
      </c>
      <c r="B867" t="s">
        <v>8</v>
      </c>
      <c r="C867" s="1">
        <v>37</v>
      </c>
      <c r="D867" s="1" t="s">
        <v>16</v>
      </c>
      <c r="E867" s="1" t="s">
        <v>20</v>
      </c>
      <c r="F867" s="1">
        <v>16</v>
      </c>
      <c r="G867" s="1">
        <v>20</v>
      </c>
      <c r="H867" s="29">
        <v>9.9999999999999995E-7</v>
      </c>
      <c r="I867">
        <f t="shared" ref="I867:I903" si="42">AVERAGE(F867:G867)</f>
        <v>18</v>
      </c>
      <c r="J867">
        <v>10</v>
      </c>
      <c r="K867" s="16">
        <f t="shared" si="41"/>
        <v>1800000000</v>
      </c>
    </row>
    <row r="868" spans="1:11">
      <c r="A868">
        <v>1</v>
      </c>
      <c r="B868" t="s">
        <v>8</v>
      </c>
      <c r="C868" s="1">
        <v>37</v>
      </c>
      <c r="D868" s="1" t="s">
        <v>16</v>
      </c>
      <c r="E868" s="1" t="s">
        <v>21</v>
      </c>
      <c r="F868" s="1">
        <v>10</v>
      </c>
      <c r="G868" s="1">
        <v>16</v>
      </c>
      <c r="H868" s="29">
        <v>9.9999999999999995E-7</v>
      </c>
      <c r="I868">
        <f t="shared" si="42"/>
        <v>13</v>
      </c>
      <c r="J868">
        <v>10</v>
      </c>
      <c r="K868" s="16">
        <f t="shared" si="41"/>
        <v>1300000000</v>
      </c>
    </row>
    <row r="869" spans="1:11">
      <c r="A869">
        <v>1</v>
      </c>
      <c r="B869" t="s">
        <v>8</v>
      </c>
      <c r="C869" s="1">
        <v>37</v>
      </c>
      <c r="D869" s="1" t="s">
        <v>16</v>
      </c>
      <c r="E869" s="1" t="s">
        <v>22</v>
      </c>
      <c r="F869" s="1">
        <v>11</v>
      </c>
      <c r="G869" s="1">
        <v>12</v>
      </c>
      <c r="H869" s="29">
        <v>9.9999999999999995E-7</v>
      </c>
      <c r="I869">
        <f t="shared" si="42"/>
        <v>11.5</v>
      </c>
      <c r="J869">
        <v>10</v>
      </c>
      <c r="K869" s="16">
        <f t="shared" si="41"/>
        <v>1150000000</v>
      </c>
    </row>
    <row r="870" spans="1:11">
      <c r="A870">
        <v>1</v>
      </c>
      <c r="B870" t="s">
        <v>8</v>
      </c>
      <c r="C870" s="1">
        <v>37</v>
      </c>
      <c r="D870" s="1" t="s">
        <v>16</v>
      </c>
      <c r="E870" s="1">
        <v>1</v>
      </c>
      <c r="F870" s="1">
        <v>12</v>
      </c>
      <c r="G870" s="1">
        <v>10</v>
      </c>
      <c r="H870" s="29">
        <v>9.9999999999999995E-7</v>
      </c>
      <c r="I870">
        <f t="shared" si="42"/>
        <v>11</v>
      </c>
      <c r="J870">
        <v>10</v>
      </c>
      <c r="K870" s="16">
        <f t="shared" si="41"/>
        <v>1100000000</v>
      </c>
    </row>
    <row r="871" spans="1:11">
      <c r="A871">
        <v>1</v>
      </c>
      <c r="B871" t="s">
        <v>8</v>
      </c>
      <c r="C871" s="1">
        <v>37</v>
      </c>
      <c r="D871" s="1" t="s">
        <v>16</v>
      </c>
      <c r="E871" s="1">
        <v>2</v>
      </c>
      <c r="F871" s="1">
        <v>20</v>
      </c>
      <c r="G871" s="1">
        <v>18</v>
      </c>
      <c r="H871" s="29">
        <v>9.9999999999999995E-7</v>
      </c>
      <c r="I871">
        <f t="shared" si="42"/>
        <v>19</v>
      </c>
      <c r="J871">
        <v>10</v>
      </c>
      <c r="K871" s="16">
        <f t="shared" si="41"/>
        <v>1900000000</v>
      </c>
    </row>
    <row r="872" spans="1:11">
      <c r="A872">
        <v>1</v>
      </c>
      <c r="B872" t="s">
        <v>8</v>
      </c>
      <c r="C872" s="1">
        <v>37</v>
      </c>
      <c r="D872" s="1" t="s">
        <v>16</v>
      </c>
      <c r="E872" s="1">
        <v>3</v>
      </c>
      <c r="F872" s="1">
        <v>1</v>
      </c>
      <c r="G872" s="1">
        <v>2</v>
      </c>
      <c r="H872" s="29">
        <v>9.9999999999999995E-7</v>
      </c>
      <c r="I872">
        <f t="shared" si="42"/>
        <v>1.5</v>
      </c>
      <c r="J872">
        <v>10</v>
      </c>
      <c r="K872" s="16">
        <f t="shared" si="41"/>
        <v>150000000</v>
      </c>
    </row>
    <row r="873" spans="1:11">
      <c r="A873">
        <v>1</v>
      </c>
      <c r="B873" t="s">
        <v>8</v>
      </c>
      <c r="C873" s="1">
        <v>37</v>
      </c>
      <c r="D873" s="1" t="s">
        <v>16</v>
      </c>
      <c r="E873" s="1">
        <v>4</v>
      </c>
      <c r="F873" s="1">
        <v>6</v>
      </c>
      <c r="G873" s="1">
        <v>14</v>
      </c>
      <c r="H873" s="29">
        <v>9.9999999999999995E-7</v>
      </c>
      <c r="I873">
        <f t="shared" si="42"/>
        <v>10</v>
      </c>
      <c r="J873">
        <v>10</v>
      </c>
      <c r="K873" s="16">
        <f t="shared" si="41"/>
        <v>1000000000</v>
      </c>
    </row>
    <row r="874" spans="1:11">
      <c r="A874">
        <v>1</v>
      </c>
      <c r="B874" t="s">
        <v>8</v>
      </c>
      <c r="C874" s="1">
        <v>37</v>
      </c>
      <c r="D874" s="1" t="s">
        <v>16</v>
      </c>
      <c r="E874" s="1">
        <v>5</v>
      </c>
      <c r="F874" s="1">
        <v>5</v>
      </c>
      <c r="G874" s="1">
        <v>2</v>
      </c>
      <c r="H874" s="29">
        <v>9.9999999999999995E-7</v>
      </c>
      <c r="I874">
        <f t="shared" si="42"/>
        <v>3.5</v>
      </c>
      <c r="J874">
        <v>10</v>
      </c>
      <c r="K874" s="16">
        <f t="shared" si="41"/>
        <v>350000000</v>
      </c>
    </row>
    <row r="875" spans="1:11">
      <c r="A875">
        <v>1</v>
      </c>
      <c r="B875" t="s">
        <v>8</v>
      </c>
      <c r="C875" s="1">
        <v>37</v>
      </c>
      <c r="D875" s="1" t="s">
        <v>16</v>
      </c>
      <c r="E875" s="1">
        <v>6</v>
      </c>
      <c r="F875" s="1">
        <v>10</v>
      </c>
      <c r="G875" s="1">
        <v>11</v>
      </c>
      <c r="H875" s="29">
        <v>9.9999999999999995E-7</v>
      </c>
      <c r="I875">
        <f t="shared" si="42"/>
        <v>10.5</v>
      </c>
      <c r="J875">
        <v>10</v>
      </c>
      <c r="K875" s="16">
        <f t="shared" si="41"/>
        <v>1050000000</v>
      </c>
    </row>
    <row r="876" spans="1:11">
      <c r="A876">
        <v>1</v>
      </c>
      <c r="B876" t="s">
        <v>8</v>
      </c>
      <c r="C876" s="1">
        <v>37</v>
      </c>
      <c r="D876" s="1" t="s">
        <v>16</v>
      </c>
      <c r="E876" s="1">
        <v>7</v>
      </c>
      <c r="F876" s="1">
        <v>9</v>
      </c>
      <c r="G876" s="1">
        <v>9</v>
      </c>
      <c r="H876" s="29">
        <v>9.9999999999999995E-7</v>
      </c>
      <c r="I876">
        <f t="shared" si="42"/>
        <v>9</v>
      </c>
      <c r="J876">
        <v>10</v>
      </c>
      <c r="K876" s="16">
        <f t="shared" si="41"/>
        <v>900000000</v>
      </c>
    </row>
    <row r="877" spans="1:11">
      <c r="A877">
        <v>1</v>
      </c>
      <c r="B877" t="s">
        <v>8</v>
      </c>
      <c r="C877" s="1">
        <v>37</v>
      </c>
      <c r="D877" s="1" t="s">
        <v>16</v>
      </c>
      <c r="E877" s="1">
        <v>8</v>
      </c>
      <c r="F877" s="1">
        <v>10</v>
      </c>
      <c r="G877" s="1">
        <v>5</v>
      </c>
      <c r="H877" s="29">
        <v>9.9999999999999995E-7</v>
      </c>
      <c r="I877">
        <f t="shared" si="42"/>
        <v>7.5</v>
      </c>
      <c r="J877">
        <v>10</v>
      </c>
      <c r="K877" s="16">
        <f t="shared" si="41"/>
        <v>750000000</v>
      </c>
    </row>
    <row r="878" spans="1:11">
      <c r="A878">
        <v>1</v>
      </c>
      <c r="B878" t="s">
        <v>8</v>
      </c>
      <c r="C878" s="1">
        <v>37</v>
      </c>
      <c r="D878" s="1" t="s">
        <v>16</v>
      </c>
      <c r="E878" s="1">
        <v>9</v>
      </c>
      <c r="F878" s="1">
        <v>2</v>
      </c>
      <c r="G878" s="1">
        <v>3</v>
      </c>
      <c r="H878" s="29">
        <v>9.9999999999999995E-7</v>
      </c>
      <c r="I878">
        <f t="shared" si="42"/>
        <v>2.5</v>
      </c>
      <c r="J878">
        <v>10</v>
      </c>
      <c r="K878" s="16">
        <f t="shared" si="41"/>
        <v>250000000</v>
      </c>
    </row>
    <row r="879" spans="1:11">
      <c r="A879">
        <v>1</v>
      </c>
      <c r="B879" t="s">
        <v>8</v>
      </c>
      <c r="C879" s="1">
        <v>37</v>
      </c>
      <c r="D879" s="1" t="s">
        <v>16</v>
      </c>
      <c r="E879" s="1">
        <v>10</v>
      </c>
      <c r="F879" s="1">
        <v>3</v>
      </c>
      <c r="G879" s="1">
        <v>3</v>
      </c>
      <c r="H879" s="29">
        <v>9.9999999999999995E-7</v>
      </c>
      <c r="I879">
        <f t="shared" si="42"/>
        <v>3</v>
      </c>
      <c r="J879">
        <v>10</v>
      </c>
      <c r="K879" s="16">
        <f t="shared" si="41"/>
        <v>300000000</v>
      </c>
    </row>
    <row r="880" spans="1:11">
      <c r="A880">
        <v>1</v>
      </c>
      <c r="B880" t="s">
        <v>8</v>
      </c>
      <c r="C880" s="1">
        <v>37.5</v>
      </c>
      <c r="D880" s="1" t="s">
        <v>16</v>
      </c>
      <c r="E880" s="1">
        <v>1</v>
      </c>
      <c r="F880" s="31">
        <v>18</v>
      </c>
      <c r="G880" s="31">
        <v>23</v>
      </c>
      <c r="H880" s="32">
        <v>0.01</v>
      </c>
      <c r="I880">
        <f t="shared" si="42"/>
        <v>20.5</v>
      </c>
      <c r="J880">
        <v>10</v>
      </c>
      <c r="K880" s="16">
        <f t="shared" si="41"/>
        <v>205000</v>
      </c>
    </row>
    <row r="881" spans="1:11">
      <c r="A881">
        <v>1</v>
      </c>
      <c r="B881" t="s">
        <v>8</v>
      </c>
      <c r="C881" s="1">
        <v>37.5</v>
      </c>
      <c r="D881" s="1" t="s">
        <v>16</v>
      </c>
      <c r="E881" s="1">
        <v>2</v>
      </c>
      <c r="F881" s="1">
        <v>16</v>
      </c>
      <c r="G881" s="1">
        <v>32</v>
      </c>
      <c r="H881" s="29">
        <v>1.0000000000000001E-5</v>
      </c>
      <c r="I881">
        <f t="shared" si="42"/>
        <v>24</v>
      </c>
      <c r="J881">
        <v>10</v>
      </c>
      <c r="K881" s="16">
        <f t="shared" si="41"/>
        <v>239999999.99999997</v>
      </c>
    </row>
    <row r="882" spans="1:11">
      <c r="A882">
        <v>1</v>
      </c>
      <c r="B882" t="s">
        <v>8</v>
      </c>
      <c r="C882" s="1">
        <v>37.5</v>
      </c>
      <c r="D882" s="1" t="s">
        <v>16</v>
      </c>
      <c r="E882" s="1">
        <v>3</v>
      </c>
      <c r="F882" s="1">
        <v>8</v>
      </c>
      <c r="G882" s="1">
        <v>12</v>
      </c>
      <c r="H882" s="29">
        <v>1.0000000000000001E-5</v>
      </c>
      <c r="I882">
        <f t="shared" si="42"/>
        <v>10</v>
      </c>
      <c r="J882">
        <v>10</v>
      </c>
      <c r="K882" s="16">
        <f t="shared" si="41"/>
        <v>99999999.999999985</v>
      </c>
    </row>
    <row r="883" spans="1:11">
      <c r="A883">
        <v>1</v>
      </c>
      <c r="B883" t="s">
        <v>8</v>
      </c>
      <c r="C883" s="1">
        <v>37.5</v>
      </c>
      <c r="D883" s="1" t="s">
        <v>16</v>
      </c>
      <c r="E883" s="1">
        <v>4</v>
      </c>
      <c r="F883" s="1">
        <v>2</v>
      </c>
      <c r="G883" s="1">
        <v>3</v>
      </c>
      <c r="H883" s="29">
        <v>1.0000000000000001E-5</v>
      </c>
      <c r="I883">
        <f t="shared" si="42"/>
        <v>2.5</v>
      </c>
      <c r="J883">
        <v>10</v>
      </c>
      <c r="K883" s="16">
        <f t="shared" si="41"/>
        <v>24999999.999999996</v>
      </c>
    </row>
    <row r="884" spans="1:11">
      <c r="A884">
        <v>1</v>
      </c>
      <c r="B884" t="s">
        <v>8</v>
      </c>
      <c r="C884" s="1">
        <v>37.5</v>
      </c>
      <c r="D884" s="1" t="s">
        <v>16</v>
      </c>
      <c r="E884" s="1">
        <v>5</v>
      </c>
      <c r="F884" s="1">
        <v>5</v>
      </c>
      <c r="G884" s="1">
        <v>4</v>
      </c>
      <c r="H884" s="29">
        <v>1.0000000000000001E-5</v>
      </c>
      <c r="I884">
        <f t="shared" si="42"/>
        <v>4.5</v>
      </c>
      <c r="J884">
        <v>10</v>
      </c>
      <c r="K884" s="16">
        <f t="shared" si="41"/>
        <v>44999999.999999993</v>
      </c>
    </row>
    <row r="885" spans="1:11">
      <c r="A885">
        <v>1</v>
      </c>
      <c r="B885" t="s">
        <v>8</v>
      </c>
      <c r="C885" s="1">
        <v>37.5</v>
      </c>
      <c r="D885" s="1" t="s">
        <v>16</v>
      </c>
      <c r="E885" s="1">
        <v>6</v>
      </c>
      <c r="F885" s="1">
        <v>7</v>
      </c>
      <c r="G885" s="1">
        <v>2</v>
      </c>
      <c r="H885" s="29">
        <v>9.9999999999999995E-7</v>
      </c>
      <c r="I885">
        <f t="shared" si="42"/>
        <v>4.5</v>
      </c>
      <c r="J885">
        <v>10</v>
      </c>
      <c r="K885" s="16">
        <f t="shared" si="41"/>
        <v>450000000</v>
      </c>
    </row>
    <row r="886" spans="1:11">
      <c r="A886">
        <v>1</v>
      </c>
      <c r="B886" t="s">
        <v>8</v>
      </c>
      <c r="C886" s="1">
        <v>37.5</v>
      </c>
      <c r="D886" s="1" t="s">
        <v>16</v>
      </c>
      <c r="E886" s="1">
        <v>7</v>
      </c>
      <c r="F886" s="1">
        <v>19</v>
      </c>
      <c r="G886" s="1">
        <v>20</v>
      </c>
      <c r="H886" s="29">
        <v>1E-4</v>
      </c>
      <c r="I886">
        <f t="shared" si="42"/>
        <v>19.5</v>
      </c>
      <c r="J886">
        <v>10</v>
      </c>
      <c r="K886" s="16">
        <f t="shared" si="41"/>
        <v>19499999.999999996</v>
      </c>
    </row>
    <row r="887" spans="1:11">
      <c r="A887">
        <v>1</v>
      </c>
      <c r="B887" t="s">
        <v>8</v>
      </c>
      <c r="C887" s="1">
        <v>37.5</v>
      </c>
      <c r="D887" s="1" t="s">
        <v>16</v>
      </c>
      <c r="E887" s="1">
        <v>8</v>
      </c>
      <c r="F887" s="1">
        <v>5</v>
      </c>
      <c r="G887" s="1">
        <v>6</v>
      </c>
      <c r="H887" s="29">
        <v>0.01</v>
      </c>
      <c r="I887">
        <f t="shared" si="42"/>
        <v>5.5</v>
      </c>
      <c r="J887">
        <v>10</v>
      </c>
      <c r="K887" s="16">
        <f t="shared" si="41"/>
        <v>55000</v>
      </c>
    </row>
    <row r="888" spans="1:11">
      <c r="A888">
        <v>1</v>
      </c>
      <c r="B888" t="s">
        <v>8</v>
      </c>
      <c r="C888" s="1">
        <v>37.5</v>
      </c>
      <c r="D888" s="1" t="s">
        <v>16</v>
      </c>
      <c r="E888" s="1">
        <v>9</v>
      </c>
      <c r="F888" s="1">
        <v>7</v>
      </c>
      <c r="G888" s="1">
        <v>2</v>
      </c>
      <c r="H888" s="29">
        <v>1.0000000000000001E-5</v>
      </c>
      <c r="I888">
        <f t="shared" si="42"/>
        <v>4.5</v>
      </c>
      <c r="J888">
        <v>10</v>
      </c>
      <c r="K888" s="16">
        <f t="shared" si="41"/>
        <v>44999999.999999993</v>
      </c>
    </row>
    <row r="889" spans="1:11">
      <c r="A889">
        <v>1</v>
      </c>
      <c r="B889" t="s">
        <v>8</v>
      </c>
      <c r="C889" s="1">
        <v>37.5</v>
      </c>
      <c r="D889" s="1" t="s">
        <v>16</v>
      </c>
      <c r="E889" s="1">
        <v>10</v>
      </c>
      <c r="F889" s="1">
        <v>11</v>
      </c>
      <c r="G889" s="1">
        <v>8</v>
      </c>
      <c r="H889" s="29">
        <v>1.0000000000000001E-5</v>
      </c>
      <c r="I889">
        <f t="shared" si="42"/>
        <v>9.5</v>
      </c>
      <c r="J889">
        <v>10</v>
      </c>
      <c r="K889" s="16">
        <f t="shared" si="41"/>
        <v>94999999.999999985</v>
      </c>
    </row>
    <row r="890" spans="1:11">
      <c r="A890">
        <v>1</v>
      </c>
      <c r="B890" t="s">
        <v>8</v>
      </c>
      <c r="C890" s="1">
        <v>38</v>
      </c>
      <c r="D890" s="1" t="s">
        <v>16</v>
      </c>
      <c r="E890" s="1" t="s">
        <v>19</v>
      </c>
      <c r="F890" s="1">
        <v>9</v>
      </c>
      <c r="G890" s="1">
        <v>11</v>
      </c>
      <c r="H890" s="29">
        <v>9.9999999999999995E-7</v>
      </c>
      <c r="I890">
        <f t="shared" si="42"/>
        <v>10</v>
      </c>
      <c r="J890">
        <v>10</v>
      </c>
      <c r="K890" s="16">
        <f t="shared" si="41"/>
        <v>1000000000</v>
      </c>
    </row>
    <row r="891" spans="1:11">
      <c r="A891">
        <v>1</v>
      </c>
      <c r="B891" t="s">
        <v>8</v>
      </c>
      <c r="C891" s="1">
        <v>38</v>
      </c>
      <c r="D891" s="1" t="s">
        <v>16</v>
      </c>
      <c r="E891" s="1" t="s">
        <v>20</v>
      </c>
      <c r="F891" s="1">
        <v>10</v>
      </c>
      <c r="G891" s="1">
        <v>13</v>
      </c>
      <c r="H891" s="29">
        <v>9.9999999999999995E-7</v>
      </c>
      <c r="I891">
        <f t="shared" si="42"/>
        <v>11.5</v>
      </c>
      <c r="J891">
        <v>10</v>
      </c>
      <c r="K891" s="16">
        <f t="shared" si="41"/>
        <v>1150000000</v>
      </c>
    </row>
    <row r="892" spans="1:11">
      <c r="A892">
        <v>1</v>
      </c>
      <c r="B892" t="s">
        <v>8</v>
      </c>
      <c r="C892" s="1">
        <v>38</v>
      </c>
      <c r="D892" s="1" t="s">
        <v>16</v>
      </c>
      <c r="E892" s="1" t="s">
        <v>21</v>
      </c>
      <c r="F892" s="1">
        <v>13</v>
      </c>
      <c r="G892" s="1">
        <v>12</v>
      </c>
      <c r="H892" s="29">
        <v>9.9999999999999995E-7</v>
      </c>
      <c r="I892">
        <f t="shared" si="42"/>
        <v>12.5</v>
      </c>
      <c r="J892">
        <v>10</v>
      </c>
      <c r="K892" s="16">
        <f t="shared" si="41"/>
        <v>1250000000</v>
      </c>
    </row>
    <row r="893" spans="1:11">
      <c r="A893">
        <v>1</v>
      </c>
      <c r="B893" t="s">
        <v>8</v>
      </c>
      <c r="C893" s="1">
        <v>38</v>
      </c>
      <c r="D893" s="1" t="s">
        <v>16</v>
      </c>
      <c r="E893" s="1" t="s">
        <v>22</v>
      </c>
      <c r="F893" s="1">
        <v>4</v>
      </c>
      <c r="G893" s="1">
        <v>4</v>
      </c>
      <c r="H893" s="29">
        <v>9.9999999999999995E-7</v>
      </c>
      <c r="I893">
        <f t="shared" si="42"/>
        <v>4</v>
      </c>
      <c r="J893">
        <v>10</v>
      </c>
      <c r="K893" s="16">
        <f t="shared" si="41"/>
        <v>400000000</v>
      </c>
    </row>
    <row r="894" spans="1:11">
      <c r="A894">
        <v>1</v>
      </c>
      <c r="B894" t="s">
        <v>8</v>
      </c>
      <c r="C894" s="1">
        <v>38</v>
      </c>
      <c r="D894" s="1" t="s">
        <v>16</v>
      </c>
      <c r="E894" s="1">
        <v>1</v>
      </c>
      <c r="F894" s="1">
        <v>10</v>
      </c>
      <c r="G894" s="1">
        <v>8</v>
      </c>
      <c r="H894" s="29">
        <v>9.9999999999999995E-7</v>
      </c>
      <c r="I894">
        <f t="shared" si="42"/>
        <v>9</v>
      </c>
      <c r="J894">
        <v>10</v>
      </c>
      <c r="K894" s="16">
        <f t="shared" si="41"/>
        <v>900000000</v>
      </c>
    </row>
    <row r="895" spans="1:11">
      <c r="A895">
        <v>1</v>
      </c>
      <c r="B895" t="s">
        <v>8</v>
      </c>
      <c r="C895" s="1">
        <v>38</v>
      </c>
      <c r="D895" s="1" t="s">
        <v>16</v>
      </c>
      <c r="E895" s="1">
        <v>2</v>
      </c>
      <c r="F895" s="1">
        <v>4</v>
      </c>
      <c r="G895" s="1">
        <v>3</v>
      </c>
      <c r="H895" s="29">
        <v>9.9999999999999995E-7</v>
      </c>
      <c r="I895">
        <f t="shared" si="42"/>
        <v>3.5</v>
      </c>
      <c r="J895">
        <v>10</v>
      </c>
      <c r="K895" s="16">
        <f t="shared" si="41"/>
        <v>350000000</v>
      </c>
    </row>
    <row r="896" spans="1:11">
      <c r="A896">
        <v>1</v>
      </c>
      <c r="B896" t="s">
        <v>8</v>
      </c>
      <c r="C896" s="1">
        <v>38</v>
      </c>
      <c r="D896" s="1" t="s">
        <v>16</v>
      </c>
      <c r="E896" s="1">
        <v>3</v>
      </c>
      <c r="F896" s="1">
        <v>4</v>
      </c>
      <c r="G896" s="1">
        <v>2</v>
      </c>
      <c r="H896" s="29">
        <v>9.9999999999999995E-7</v>
      </c>
      <c r="I896">
        <f t="shared" si="42"/>
        <v>3</v>
      </c>
      <c r="J896">
        <v>10</v>
      </c>
      <c r="K896" s="16">
        <f t="shared" si="41"/>
        <v>300000000</v>
      </c>
    </row>
    <row r="897" spans="1:11">
      <c r="A897">
        <v>1</v>
      </c>
      <c r="B897" t="s">
        <v>8</v>
      </c>
      <c r="C897" s="1">
        <v>38</v>
      </c>
      <c r="D897" s="1" t="s">
        <v>16</v>
      </c>
      <c r="E897" s="1">
        <v>4</v>
      </c>
      <c r="F897" s="1">
        <v>3</v>
      </c>
      <c r="G897" s="1">
        <v>4</v>
      </c>
      <c r="H897" s="29">
        <v>9.9999999999999995E-7</v>
      </c>
      <c r="I897">
        <f t="shared" si="42"/>
        <v>3.5</v>
      </c>
      <c r="J897">
        <v>10</v>
      </c>
      <c r="K897" s="16">
        <f t="shared" si="41"/>
        <v>350000000</v>
      </c>
    </row>
    <row r="898" spans="1:11">
      <c r="A898">
        <v>1</v>
      </c>
      <c r="B898" t="s">
        <v>8</v>
      </c>
      <c r="C898" s="1">
        <v>38</v>
      </c>
      <c r="D898" s="1" t="s">
        <v>16</v>
      </c>
      <c r="E898" s="1">
        <v>5</v>
      </c>
      <c r="F898" s="1">
        <v>15</v>
      </c>
      <c r="G898" s="1">
        <v>12</v>
      </c>
      <c r="H898" s="29">
        <v>1.0000000000000001E-5</v>
      </c>
      <c r="I898">
        <f t="shared" si="42"/>
        <v>13.5</v>
      </c>
      <c r="J898">
        <v>10</v>
      </c>
      <c r="K898" s="16">
        <f t="shared" si="41"/>
        <v>135000000</v>
      </c>
    </row>
    <row r="899" spans="1:11">
      <c r="A899">
        <v>1</v>
      </c>
      <c r="B899" t="s">
        <v>8</v>
      </c>
      <c r="C899" s="1">
        <v>38</v>
      </c>
      <c r="D899" s="1" t="s">
        <v>16</v>
      </c>
      <c r="E899" s="1">
        <v>6</v>
      </c>
      <c r="F899" s="1">
        <v>5</v>
      </c>
      <c r="G899" s="1">
        <v>3</v>
      </c>
      <c r="H899" s="29">
        <v>9.9999999999999995E-7</v>
      </c>
      <c r="I899">
        <f t="shared" si="42"/>
        <v>4</v>
      </c>
      <c r="J899">
        <v>10</v>
      </c>
      <c r="K899" s="16">
        <f t="shared" si="41"/>
        <v>400000000</v>
      </c>
    </row>
    <row r="900" spans="1:11">
      <c r="A900">
        <v>1</v>
      </c>
      <c r="B900" t="s">
        <v>8</v>
      </c>
      <c r="C900" s="1">
        <v>38</v>
      </c>
      <c r="D900" s="1" t="s">
        <v>16</v>
      </c>
      <c r="E900" s="1">
        <v>7</v>
      </c>
      <c r="F900" s="1">
        <v>5</v>
      </c>
      <c r="G900" s="1">
        <v>6</v>
      </c>
      <c r="H900" s="29">
        <v>9.9999999999999995E-7</v>
      </c>
      <c r="I900">
        <f t="shared" si="42"/>
        <v>5.5</v>
      </c>
      <c r="J900">
        <v>10</v>
      </c>
      <c r="K900" s="16">
        <f t="shared" si="41"/>
        <v>550000000</v>
      </c>
    </row>
    <row r="901" spans="1:11">
      <c r="A901">
        <v>1</v>
      </c>
      <c r="B901" t="s">
        <v>8</v>
      </c>
      <c r="C901" s="1">
        <v>38</v>
      </c>
      <c r="D901" s="1" t="s">
        <v>16</v>
      </c>
      <c r="E901" s="1">
        <v>8</v>
      </c>
      <c r="F901" s="1">
        <v>7</v>
      </c>
      <c r="G901" s="1">
        <v>9</v>
      </c>
      <c r="H901" s="29">
        <v>9.9999999999999995E-7</v>
      </c>
      <c r="I901">
        <f t="shared" si="42"/>
        <v>8</v>
      </c>
      <c r="J901">
        <v>10</v>
      </c>
      <c r="K901" s="16">
        <f t="shared" si="41"/>
        <v>800000000</v>
      </c>
    </row>
    <row r="902" spans="1:11">
      <c r="A902">
        <v>1</v>
      </c>
      <c r="B902" t="s">
        <v>8</v>
      </c>
      <c r="C902" s="1">
        <v>38</v>
      </c>
      <c r="D902" s="1" t="s">
        <v>16</v>
      </c>
      <c r="E902" s="1">
        <v>9</v>
      </c>
      <c r="F902" s="1">
        <v>25</v>
      </c>
      <c r="G902" s="1">
        <v>21</v>
      </c>
      <c r="H902" s="29">
        <v>1.0000000000000001E-5</v>
      </c>
      <c r="I902">
        <f t="shared" si="42"/>
        <v>23</v>
      </c>
      <c r="J902">
        <v>10</v>
      </c>
      <c r="K902" s="16">
        <f t="shared" si="41"/>
        <v>229999999.99999997</v>
      </c>
    </row>
    <row r="903" spans="1:11">
      <c r="A903">
        <v>1</v>
      </c>
      <c r="B903" t="s">
        <v>8</v>
      </c>
      <c r="C903" s="1">
        <v>38</v>
      </c>
      <c r="D903" s="1" t="s">
        <v>16</v>
      </c>
      <c r="E903" s="1">
        <v>10</v>
      </c>
      <c r="F903" s="1">
        <v>18</v>
      </c>
      <c r="G903" s="1">
        <v>20</v>
      </c>
      <c r="H903" s="29">
        <v>1.0000000000000001E-5</v>
      </c>
      <c r="I903">
        <f t="shared" si="42"/>
        <v>19</v>
      </c>
      <c r="J903">
        <v>10</v>
      </c>
      <c r="K903" s="16">
        <f t="shared" si="41"/>
        <v>189999999.99999997</v>
      </c>
    </row>
    <row r="904" spans="1:11">
      <c r="A904">
        <v>1</v>
      </c>
      <c r="B904" t="s">
        <v>8</v>
      </c>
      <c r="C904" s="1">
        <v>38.5</v>
      </c>
      <c r="D904" s="1" t="s">
        <v>16</v>
      </c>
      <c r="E904" s="1">
        <v>1</v>
      </c>
      <c r="F904" s="31">
        <v>14</v>
      </c>
      <c r="G904" s="31">
        <v>9</v>
      </c>
      <c r="H904" s="29">
        <v>1E-4</v>
      </c>
      <c r="I904">
        <f t="shared" ref="I904:I932" si="43">AVERAGE(F904:G904)</f>
        <v>11.5</v>
      </c>
      <c r="J904">
        <v>10</v>
      </c>
      <c r="K904" s="16">
        <f t="shared" si="41"/>
        <v>11499999.999999998</v>
      </c>
    </row>
    <row r="905" spans="1:11">
      <c r="A905">
        <v>1</v>
      </c>
      <c r="B905" t="s">
        <v>8</v>
      </c>
      <c r="C905" s="1">
        <v>38.5</v>
      </c>
      <c r="D905" s="1" t="s">
        <v>16</v>
      </c>
      <c r="E905" s="1">
        <v>2</v>
      </c>
      <c r="F905" s="1">
        <v>25</v>
      </c>
      <c r="G905" s="1">
        <v>28</v>
      </c>
      <c r="H905" s="29">
        <v>1E-4</v>
      </c>
      <c r="I905">
        <f t="shared" si="43"/>
        <v>26.5</v>
      </c>
      <c r="J905">
        <v>10</v>
      </c>
      <c r="K905" s="16">
        <f t="shared" si="41"/>
        <v>26499999.999999996</v>
      </c>
    </row>
    <row r="906" spans="1:11">
      <c r="A906">
        <v>1</v>
      </c>
      <c r="B906" t="s">
        <v>8</v>
      </c>
      <c r="C906" s="1">
        <v>38.5</v>
      </c>
      <c r="D906" s="1" t="s">
        <v>16</v>
      </c>
      <c r="E906" s="1">
        <v>3</v>
      </c>
      <c r="F906" s="1">
        <v>12</v>
      </c>
      <c r="G906" s="1">
        <v>14</v>
      </c>
      <c r="H906" s="29">
        <v>1E-4</v>
      </c>
      <c r="I906">
        <f t="shared" si="43"/>
        <v>13</v>
      </c>
      <c r="J906">
        <v>10</v>
      </c>
      <c r="K906" s="16">
        <f t="shared" si="41"/>
        <v>12999999.999999998</v>
      </c>
    </row>
    <row r="907" spans="1:11">
      <c r="A907">
        <v>1</v>
      </c>
      <c r="B907" t="s">
        <v>8</v>
      </c>
      <c r="C907" s="1">
        <v>38.5</v>
      </c>
      <c r="D907" s="1" t="s">
        <v>16</v>
      </c>
      <c r="E907" s="1">
        <v>4</v>
      </c>
      <c r="F907" s="1">
        <v>6</v>
      </c>
      <c r="G907" s="1">
        <v>8</v>
      </c>
      <c r="H907" s="29">
        <v>1E-4</v>
      </c>
      <c r="I907">
        <f t="shared" si="43"/>
        <v>7</v>
      </c>
      <c r="J907">
        <v>10</v>
      </c>
      <c r="K907" s="16">
        <f t="shared" si="41"/>
        <v>6999999.9999999991</v>
      </c>
    </row>
    <row r="908" spans="1:11">
      <c r="A908">
        <v>1</v>
      </c>
      <c r="B908" t="s">
        <v>8</v>
      </c>
      <c r="C908" s="1">
        <v>38.5</v>
      </c>
      <c r="D908" s="1" t="s">
        <v>16</v>
      </c>
      <c r="E908" s="1">
        <v>5</v>
      </c>
      <c r="F908" s="1">
        <v>15</v>
      </c>
      <c r="G908" s="1">
        <v>11</v>
      </c>
      <c r="H908" s="29">
        <v>1E-4</v>
      </c>
      <c r="I908">
        <f t="shared" si="43"/>
        <v>13</v>
      </c>
      <c r="J908">
        <v>10</v>
      </c>
      <c r="K908" s="16">
        <f t="shared" si="41"/>
        <v>12999999.999999998</v>
      </c>
    </row>
    <row r="909" spans="1:11">
      <c r="A909">
        <v>1</v>
      </c>
      <c r="B909" t="s">
        <v>8</v>
      </c>
      <c r="C909" s="1">
        <v>38.5</v>
      </c>
      <c r="D909" s="1" t="s">
        <v>16</v>
      </c>
      <c r="E909" s="1">
        <v>6</v>
      </c>
      <c r="F909" s="1">
        <v>2</v>
      </c>
      <c r="G909" s="1">
        <v>4</v>
      </c>
      <c r="H909" s="29">
        <v>1.0000000000000001E-5</v>
      </c>
      <c r="I909">
        <f t="shared" si="43"/>
        <v>3</v>
      </c>
      <c r="J909">
        <v>10</v>
      </c>
      <c r="K909" s="16">
        <f t="shared" si="41"/>
        <v>29999999.999999996</v>
      </c>
    </row>
    <row r="910" spans="1:11">
      <c r="A910">
        <v>1</v>
      </c>
      <c r="B910" t="s">
        <v>8</v>
      </c>
      <c r="C910" s="1">
        <v>38.5</v>
      </c>
      <c r="D910" s="1" t="s">
        <v>16</v>
      </c>
      <c r="E910" s="1">
        <v>7</v>
      </c>
      <c r="F910" s="1">
        <v>6</v>
      </c>
      <c r="G910" s="1">
        <v>5</v>
      </c>
      <c r="H910" s="29">
        <v>1E-3</v>
      </c>
      <c r="I910">
        <f t="shared" si="43"/>
        <v>5.5</v>
      </c>
      <c r="J910">
        <v>10</v>
      </c>
      <c r="K910" s="16">
        <f t="shared" si="41"/>
        <v>550000</v>
      </c>
    </row>
    <row r="911" spans="1:11">
      <c r="A911">
        <v>1</v>
      </c>
      <c r="B911" t="s">
        <v>8</v>
      </c>
      <c r="C911" s="1">
        <v>38.5</v>
      </c>
      <c r="D911" s="1" t="s">
        <v>16</v>
      </c>
      <c r="E911" s="1">
        <v>8</v>
      </c>
      <c r="F911" s="1">
        <v>3</v>
      </c>
      <c r="G911" s="1">
        <v>5</v>
      </c>
      <c r="H911" s="29">
        <v>1E-3</v>
      </c>
      <c r="I911">
        <f t="shared" si="43"/>
        <v>4</v>
      </c>
      <c r="J911">
        <v>10</v>
      </c>
      <c r="K911" s="16">
        <f t="shared" si="41"/>
        <v>399999.99999999994</v>
      </c>
    </row>
    <row r="912" spans="1:11">
      <c r="A912">
        <v>1</v>
      </c>
      <c r="B912" t="s">
        <v>8</v>
      </c>
      <c r="C912" s="1">
        <v>38.5</v>
      </c>
      <c r="D912" s="1" t="s">
        <v>16</v>
      </c>
      <c r="E912" s="1">
        <v>9</v>
      </c>
      <c r="F912" s="1">
        <v>2</v>
      </c>
      <c r="G912" s="1">
        <v>3</v>
      </c>
      <c r="H912" s="29">
        <v>1.0000000000000001E-5</v>
      </c>
      <c r="I912">
        <f t="shared" si="43"/>
        <v>2.5</v>
      </c>
      <c r="J912">
        <v>10</v>
      </c>
      <c r="K912" s="16">
        <f t="shared" si="41"/>
        <v>24999999.999999996</v>
      </c>
    </row>
    <row r="913" spans="1:11">
      <c r="A913">
        <v>1</v>
      </c>
      <c r="B913" t="s">
        <v>8</v>
      </c>
      <c r="C913" s="1">
        <v>38.5</v>
      </c>
      <c r="D913" s="1" t="s">
        <v>16</v>
      </c>
      <c r="E913" s="1">
        <v>10</v>
      </c>
      <c r="F913" s="1">
        <v>2</v>
      </c>
      <c r="G913" s="1">
        <v>5</v>
      </c>
      <c r="H913" s="29">
        <v>1.0000000000000001E-5</v>
      </c>
      <c r="I913">
        <f t="shared" si="43"/>
        <v>3.5</v>
      </c>
      <c r="J913">
        <v>10</v>
      </c>
      <c r="K913" s="16">
        <f t="shared" si="41"/>
        <v>35000000</v>
      </c>
    </row>
    <row r="914" spans="1:11">
      <c r="A914">
        <v>1</v>
      </c>
      <c r="B914" t="s">
        <v>8</v>
      </c>
      <c r="C914" s="1">
        <v>39</v>
      </c>
      <c r="D914" s="1" t="s">
        <v>16</v>
      </c>
      <c r="E914" s="1" t="s">
        <v>19</v>
      </c>
      <c r="F914" s="1">
        <v>4</v>
      </c>
      <c r="G914" s="1">
        <v>8</v>
      </c>
      <c r="H914" s="29">
        <v>9.9999999999999995E-7</v>
      </c>
      <c r="I914">
        <f t="shared" si="43"/>
        <v>6</v>
      </c>
      <c r="J914">
        <v>10</v>
      </c>
      <c r="K914" s="16">
        <f t="shared" si="41"/>
        <v>600000000</v>
      </c>
    </row>
    <row r="915" spans="1:11">
      <c r="A915">
        <v>1</v>
      </c>
      <c r="B915" t="s">
        <v>8</v>
      </c>
      <c r="C915" s="1">
        <v>39</v>
      </c>
      <c r="D915" s="1" t="s">
        <v>16</v>
      </c>
      <c r="E915" s="1" t="s">
        <v>20</v>
      </c>
      <c r="F915" s="1">
        <v>5</v>
      </c>
      <c r="G915" s="1">
        <v>6</v>
      </c>
      <c r="H915" s="29">
        <v>9.9999999999999995E-7</v>
      </c>
      <c r="I915">
        <f t="shared" si="43"/>
        <v>5.5</v>
      </c>
      <c r="J915">
        <v>10</v>
      </c>
      <c r="K915" s="16">
        <f t="shared" ref="K915:K978" si="44">I915/(H915*(J915/1000))</f>
        <v>550000000</v>
      </c>
    </row>
    <row r="916" spans="1:11">
      <c r="A916">
        <v>1</v>
      </c>
      <c r="B916" t="s">
        <v>8</v>
      </c>
      <c r="C916" s="1">
        <v>39</v>
      </c>
      <c r="D916" s="1" t="s">
        <v>16</v>
      </c>
      <c r="E916" s="1" t="s">
        <v>21</v>
      </c>
      <c r="F916" s="1">
        <v>2</v>
      </c>
      <c r="G916" s="1">
        <v>7</v>
      </c>
      <c r="H916" s="29">
        <v>9.9999999999999995E-7</v>
      </c>
      <c r="I916">
        <f t="shared" si="43"/>
        <v>4.5</v>
      </c>
      <c r="J916">
        <v>10</v>
      </c>
      <c r="K916" s="16">
        <f t="shared" si="44"/>
        <v>450000000</v>
      </c>
    </row>
    <row r="917" spans="1:11">
      <c r="A917">
        <v>1</v>
      </c>
      <c r="B917" t="s">
        <v>8</v>
      </c>
      <c r="C917" s="1">
        <v>39</v>
      </c>
      <c r="D917" s="1" t="s">
        <v>16</v>
      </c>
      <c r="E917" s="1" t="s">
        <v>22</v>
      </c>
      <c r="F917" s="1">
        <v>6</v>
      </c>
      <c r="G917" s="1">
        <v>10</v>
      </c>
      <c r="H917" s="29">
        <v>9.9999999999999995E-7</v>
      </c>
      <c r="I917">
        <f t="shared" si="43"/>
        <v>8</v>
      </c>
      <c r="J917">
        <v>10</v>
      </c>
      <c r="K917" s="16">
        <f t="shared" si="44"/>
        <v>800000000</v>
      </c>
    </row>
    <row r="918" spans="1:11">
      <c r="A918">
        <v>1</v>
      </c>
      <c r="B918" t="s">
        <v>8</v>
      </c>
      <c r="C918" s="1">
        <v>39</v>
      </c>
      <c r="D918" s="1" t="s">
        <v>16</v>
      </c>
      <c r="E918" s="1">
        <v>1</v>
      </c>
      <c r="F918" s="1">
        <v>3</v>
      </c>
      <c r="G918" s="1">
        <v>4</v>
      </c>
      <c r="H918" s="29">
        <v>9.9999999999999995E-7</v>
      </c>
      <c r="I918">
        <f t="shared" si="43"/>
        <v>3.5</v>
      </c>
      <c r="J918">
        <v>10</v>
      </c>
      <c r="K918" s="16">
        <f t="shared" si="44"/>
        <v>350000000</v>
      </c>
    </row>
    <row r="919" spans="1:11">
      <c r="A919">
        <v>1</v>
      </c>
      <c r="B919" t="s">
        <v>8</v>
      </c>
      <c r="C919" s="1">
        <v>39</v>
      </c>
      <c r="D919" s="1" t="s">
        <v>16</v>
      </c>
      <c r="E919" s="1">
        <v>2</v>
      </c>
      <c r="F919" s="1">
        <v>4</v>
      </c>
      <c r="G919" s="1">
        <v>2</v>
      </c>
      <c r="H919" s="29">
        <v>9.9999999999999995E-7</v>
      </c>
      <c r="I919">
        <f t="shared" si="43"/>
        <v>3</v>
      </c>
      <c r="J919">
        <v>10</v>
      </c>
      <c r="K919" s="16">
        <f t="shared" si="44"/>
        <v>300000000</v>
      </c>
    </row>
    <row r="920" spans="1:11">
      <c r="A920">
        <v>1</v>
      </c>
      <c r="B920" t="s">
        <v>8</v>
      </c>
      <c r="C920" s="1">
        <v>39</v>
      </c>
      <c r="D920" s="1" t="s">
        <v>16</v>
      </c>
      <c r="E920" s="1">
        <v>3</v>
      </c>
      <c r="F920" s="1">
        <v>3</v>
      </c>
      <c r="G920" s="1">
        <v>4</v>
      </c>
      <c r="H920" s="29">
        <v>9.9999999999999995E-7</v>
      </c>
      <c r="I920">
        <f t="shared" si="43"/>
        <v>3.5</v>
      </c>
      <c r="J920">
        <v>10</v>
      </c>
      <c r="K920" s="16">
        <f t="shared" si="44"/>
        <v>350000000</v>
      </c>
    </row>
    <row r="921" spans="1:11">
      <c r="A921">
        <v>1</v>
      </c>
      <c r="B921" t="s">
        <v>8</v>
      </c>
      <c r="C921" s="1">
        <v>39</v>
      </c>
      <c r="D921" s="1" t="s">
        <v>16</v>
      </c>
      <c r="E921" s="1">
        <v>4</v>
      </c>
      <c r="F921" s="1">
        <v>5</v>
      </c>
      <c r="G921" s="1">
        <v>7</v>
      </c>
      <c r="H921" s="29">
        <v>9.9999999999999995E-7</v>
      </c>
      <c r="I921">
        <f t="shared" si="43"/>
        <v>6</v>
      </c>
      <c r="J921">
        <v>10</v>
      </c>
      <c r="K921" s="16">
        <f t="shared" si="44"/>
        <v>600000000</v>
      </c>
    </row>
    <row r="922" spans="1:11">
      <c r="A922">
        <v>1</v>
      </c>
      <c r="B922" t="s">
        <v>8</v>
      </c>
      <c r="C922" s="1">
        <v>39</v>
      </c>
      <c r="D922" s="1" t="s">
        <v>16</v>
      </c>
      <c r="E922" s="1">
        <v>5</v>
      </c>
      <c r="F922" s="1">
        <v>12</v>
      </c>
      <c r="G922" s="1">
        <v>16</v>
      </c>
      <c r="H922" s="29">
        <v>1.0000000000000001E-5</v>
      </c>
      <c r="I922">
        <f t="shared" si="43"/>
        <v>14</v>
      </c>
      <c r="J922">
        <v>10</v>
      </c>
      <c r="K922" s="16">
        <f t="shared" si="44"/>
        <v>140000000</v>
      </c>
    </row>
    <row r="923" spans="1:11">
      <c r="A923">
        <v>1</v>
      </c>
      <c r="B923" t="s">
        <v>8</v>
      </c>
      <c r="C923" s="1">
        <v>39</v>
      </c>
      <c r="D923" s="1" t="s">
        <v>16</v>
      </c>
      <c r="E923" s="1">
        <v>6</v>
      </c>
      <c r="F923" s="1">
        <v>23</v>
      </c>
      <c r="G923" s="1">
        <v>28</v>
      </c>
      <c r="H923" s="29">
        <v>1.0000000000000001E-5</v>
      </c>
      <c r="I923">
        <f t="shared" si="43"/>
        <v>25.5</v>
      </c>
      <c r="J923">
        <v>10</v>
      </c>
      <c r="K923" s="16">
        <f t="shared" si="44"/>
        <v>254999999.99999997</v>
      </c>
    </row>
    <row r="924" spans="1:11">
      <c r="A924">
        <v>1</v>
      </c>
      <c r="B924" t="s">
        <v>8</v>
      </c>
      <c r="C924" s="1">
        <v>39</v>
      </c>
      <c r="D924" s="1" t="s">
        <v>16</v>
      </c>
      <c r="E924" s="1">
        <v>7</v>
      </c>
      <c r="F924" s="1">
        <v>7</v>
      </c>
      <c r="G924" s="1">
        <v>5</v>
      </c>
      <c r="H924" s="29">
        <v>9.9999999999999995E-7</v>
      </c>
      <c r="I924">
        <f t="shared" si="43"/>
        <v>6</v>
      </c>
      <c r="J924">
        <v>10</v>
      </c>
      <c r="K924" s="16">
        <f t="shared" si="44"/>
        <v>600000000</v>
      </c>
    </row>
    <row r="925" spans="1:11">
      <c r="A925">
        <v>1</v>
      </c>
      <c r="B925" t="s">
        <v>8</v>
      </c>
      <c r="C925" s="1">
        <v>39</v>
      </c>
      <c r="D925" s="1" t="s">
        <v>16</v>
      </c>
      <c r="E925" s="1">
        <v>8</v>
      </c>
      <c r="F925" s="1">
        <v>6</v>
      </c>
      <c r="G925" s="1">
        <v>5</v>
      </c>
      <c r="H925" s="29">
        <v>9.9999999999999995E-7</v>
      </c>
      <c r="I925">
        <f t="shared" si="43"/>
        <v>5.5</v>
      </c>
      <c r="J925">
        <v>10</v>
      </c>
      <c r="K925" s="16">
        <f t="shared" si="44"/>
        <v>550000000</v>
      </c>
    </row>
    <row r="926" spans="1:11">
      <c r="A926">
        <v>1</v>
      </c>
      <c r="B926" t="s">
        <v>8</v>
      </c>
      <c r="C926" s="1">
        <v>39</v>
      </c>
      <c r="D926" s="1" t="s">
        <v>16</v>
      </c>
      <c r="E926" s="1">
        <v>9</v>
      </c>
      <c r="F926" s="1">
        <v>15</v>
      </c>
      <c r="G926" s="1">
        <v>13</v>
      </c>
      <c r="H926" s="29">
        <v>1.0000000000000001E-5</v>
      </c>
      <c r="I926">
        <f t="shared" si="43"/>
        <v>14</v>
      </c>
      <c r="J926">
        <v>10</v>
      </c>
      <c r="K926" s="16">
        <f t="shared" si="44"/>
        <v>140000000</v>
      </c>
    </row>
    <row r="927" spans="1:11">
      <c r="A927">
        <v>1</v>
      </c>
      <c r="B927" t="s">
        <v>8</v>
      </c>
      <c r="C927" s="1">
        <v>39</v>
      </c>
      <c r="D927" s="1" t="s">
        <v>16</v>
      </c>
      <c r="E927" s="1">
        <v>10</v>
      </c>
      <c r="F927" s="1">
        <v>2</v>
      </c>
      <c r="G927" s="1">
        <v>2</v>
      </c>
      <c r="H927" s="29">
        <v>9.9999999999999995E-7</v>
      </c>
      <c r="I927">
        <f t="shared" si="43"/>
        <v>2</v>
      </c>
      <c r="J927">
        <v>10</v>
      </c>
      <c r="K927" s="16">
        <f t="shared" si="44"/>
        <v>200000000</v>
      </c>
    </row>
    <row r="928" spans="1:11">
      <c r="A928">
        <v>1</v>
      </c>
      <c r="B928" t="s">
        <v>8</v>
      </c>
      <c r="C928" s="1">
        <v>39.5</v>
      </c>
      <c r="D928" s="1" t="s">
        <v>16</v>
      </c>
      <c r="E928" s="1">
        <v>1</v>
      </c>
      <c r="F928" s="31">
        <v>4</v>
      </c>
      <c r="G928" s="31">
        <v>5</v>
      </c>
      <c r="H928" s="32">
        <v>1.0000000000000001E-5</v>
      </c>
      <c r="I928">
        <f t="shared" si="43"/>
        <v>4.5</v>
      </c>
      <c r="J928">
        <v>10</v>
      </c>
      <c r="K928" s="16">
        <f t="shared" si="44"/>
        <v>44999999.999999993</v>
      </c>
    </row>
    <row r="929" spans="1:11">
      <c r="A929">
        <v>1</v>
      </c>
      <c r="B929" t="s">
        <v>8</v>
      </c>
      <c r="C929" s="1">
        <v>39.5</v>
      </c>
      <c r="D929" s="1" t="s">
        <v>16</v>
      </c>
      <c r="E929" s="1">
        <v>2</v>
      </c>
      <c r="F929" s="1">
        <v>7</v>
      </c>
      <c r="G929" s="1">
        <v>3</v>
      </c>
      <c r="H929" s="29">
        <v>1.0000000000000001E-5</v>
      </c>
      <c r="I929">
        <f t="shared" si="43"/>
        <v>5</v>
      </c>
      <c r="J929">
        <v>10</v>
      </c>
      <c r="K929" s="16">
        <f t="shared" si="44"/>
        <v>49999999.999999993</v>
      </c>
    </row>
    <row r="930" spans="1:11">
      <c r="A930">
        <v>1</v>
      </c>
      <c r="B930" t="s">
        <v>8</v>
      </c>
      <c r="C930" s="1">
        <v>39.5</v>
      </c>
      <c r="D930" s="1" t="s">
        <v>16</v>
      </c>
      <c r="E930" s="1">
        <v>3</v>
      </c>
      <c r="F930" s="1">
        <v>9</v>
      </c>
      <c r="G930" s="1">
        <v>7</v>
      </c>
      <c r="H930" s="29">
        <v>1.0000000000000001E-5</v>
      </c>
      <c r="I930">
        <f t="shared" si="43"/>
        <v>8</v>
      </c>
      <c r="J930">
        <v>10</v>
      </c>
      <c r="K930" s="16">
        <f t="shared" si="44"/>
        <v>80000000</v>
      </c>
    </row>
    <row r="931" spans="1:11">
      <c r="A931">
        <v>1</v>
      </c>
      <c r="B931" t="s">
        <v>8</v>
      </c>
      <c r="C931" s="1">
        <v>39.5</v>
      </c>
      <c r="D931" s="1" t="s">
        <v>16</v>
      </c>
      <c r="E931" s="1">
        <v>4</v>
      </c>
      <c r="F931" s="1">
        <v>4</v>
      </c>
      <c r="G931" s="1">
        <v>2</v>
      </c>
      <c r="H931" s="29">
        <v>1E-4</v>
      </c>
      <c r="I931">
        <f t="shared" si="43"/>
        <v>3</v>
      </c>
      <c r="J931">
        <v>10</v>
      </c>
      <c r="K931" s="16">
        <f t="shared" si="44"/>
        <v>2999999.9999999995</v>
      </c>
    </row>
    <row r="932" spans="1:11">
      <c r="A932">
        <v>1</v>
      </c>
      <c r="B932" t="s">
        <v>8</v>
      </c>
      <c r="C932" s="1">
        <v>39.5</v>
      </c>
      <c r="D932" s="1" t="s">
        <v>16</v>
      </c>
      <c r="E932" s="1">
        <v>5</v>
      </c>
      <c r="F932" s="1">
        <v>27</v>
      </c>
      <c r="G932" s="1">
        <v>28</v>
      </c>
      <c r="H932" s="29">
        <v>1E-3</v>
      </c>
      <c r="I932">
        <f t="shared" si="43"/>
        <v>27.5</v>
      </c>
      <c r="J932">
        <v>10</v>
      </c>
      <c r="K932" s="16">
        <f t="shared" si="44"/>
        <v>2750000</v>
      </c>
    </row>
    <row r="933" spans="1:11">
      <c r="A933">
        <v>1</v>
      </c>
      <c r="B933" t="s">
        <v>8</v>
      </c>
      <c r="C933" s="1">
        <v>39.5</v>
      </c>
      <c r="D933" s="1" t="s">
        <v>16</v>
      </c>
      <c r="E933" s="1">
        <v>6</v>
      </c>
      <c r="F933" s="1">
        <v>18</v>
      </c>
      <c r="G933" s="1">
        <v>24</v>
      </c>
      <c r="H933" s="29">
        <v>1E-3</v>
      </c>
      <c r="I933">
        <f t="shared" ref="I933:I962" si="45">AVERAGE(F933:G933)</f>
        <v>21</v>
      </c>
      <c r="J933">
        <v>10</v>
      </c>
      <c r="K933" s="16">
        <f t="shared" si="44"/>
        <v>2100000</v>
      </c>
    </row>
    <row r="934" spans="1:11">
      <c r="A934">
        <v>1</v>
      </c>
      <c r="B934" t="s">
        <v>8</v>
      </c>
      <c r="C934" s="1">
        <v>39.5</v>
      </c>
      <c r="D934" s="1" t="s">
        <v>16</v>
      </c>
      <c r="E934" s="1">
        <v>7</v>
      </c>
      <c r="F934" s="1">
        <v>18</v>
      </c>
      <c r="G934" s="1">
        <v>22</v>
      </c>
      <c r="H934" s="29">
        <v>1E-3</v>
      </c>
      <c r="I934">
        <f t="shared" si="45"/>
        <v>20</v>
      </c>
      <c r="J934">
        <v>10</v>
      </c>
      <c r="K934" s="16">
        <f t="shared" si="44"/>
        <v>1999999.9999999998</v>
      </c>
    </row>
    <row r="935" spans="1:11">
      <c r="A935">
        <v>1</v>
      </c>
      <c r="B935" t="s">
        <v>8</v>
      </c>
      <c r="C935" s="1">
        <v>39.5</v>
      </c>
      <c r="D935" s="1" t="s">
        <v>16</v>
      </c>
      <c r="E935" s="1">
        <v>8</v>
      </c>
      <c r="F935" s="1">
        <v>16</v>
      </c>
      <c r="G935" s="1">
        <v>17</v>
      </c>
      <c r="H935" s="29">
        <v>1E-3</v>
      </c>
      <c r="I935">
        <f t="shared" si="45"/>
        <v>16.5</v>
      </c>
      <c r="J935">
        <v>10</v>
      </c>
      <c r="K935" s="16">
        <f t="shared" si="44"/>
        <v>1649999.9999999998</v>
      </c>
    </row>
    <row r="936" spans="1:11">
      <c r="A936">
        <v>1</v>
      </c>
      <c r="B936" t="s">
        <v>8</v>
      </c>
      <c r="C936" s="1">
        <v>39.5</v>
      </c>
      <c r="D936" s="1" t="s">
        <v>16</v>
      </c>
      <c r="E936" s="1">
        <v>9</v>
      </c>
      <c r="F936" s="1">
        <v>4</v>
      </c>
      <c r="G936" s="1">
        <v>3</v>
      </c>
      <c r="H936" s="29">
        <v>1.0000000000000001E-5</v>
      </c>
      <c r="I936">
        <f t="shared" si="45"/>
        <v>3.5</v>
      </c>
      <c r="J936">
        <v>10</v>
      </c>
      <c r="K936" s="16">
        <f t="shared" si="44"/>
        <v>35000000</v>
      </c>
    </row>
    <row r="937" spans="1:11">
      <c r="A937">
        <v>1</v>
      </c>
      <c r="B937" t="s">
        <v>8</v>
      </c>
      <c r="C937" s="1">
        <v>39.5</v>
      </c>
      <c r="D937" s="1" t="s">
        <v>16</v>
      </c>
      <c r="E937" s="1">
        <v>10</v>
      </c>
      <c r="F937" s="1">
        <v>10</v>
      </c>
      <c r="G937" s="1">
        <v>5</v>
      </c>
      <c r="H937" s="29">
        <v>1.0000000000000001E-5</v>
      </c>
      <c r="I937">
        <f t="shared" si="45"/>
        <v>7.5</v>
      </c>
      <c r="J937">
        <v>10</v>
      </c>
      <c r="K937" s="16">
        <f t="shared" si="44"/>
        <v>75000000</v>
      </c>
    </row>
    <row r="938" spans="1:11">
      <c r="A938">
        <v>1</v>
      </c>
      <c r="B938" t="s">
        <v>8</v>
      </c>
      <c r="C938" s="1">
        <v>40</v>
      </c>
      <c r="D938" s="1" t="s">
        <v>16</v>
      </c>
      <c r="E938" s="1" t="s">
        <v>19</v>
      </c>
      <c r="F938" s="1">
        <v>6</v>
      </c>
      <c r="G938" s="1">
        <v>3</v>
      </c>
      <c r="H938" s="29">
        <v>9.9999999999999995E-7</v>
      </c>
      <c r="I938">
        <f t="shared" si="45"/>
        <v>4.5</v>
      </c>
      <c r="J938">
        <v>10</v>
      </c>
      <c r="K938" s="16">
        <f t="shared" si="44"/>
        <v>450000000</v>
      </c>
    </row>
    <row r="939" spans="1:11">
      <c r="A939">
        <v>1</v>
      </c>
      <c r="B939" t="s">
        <v>8</v>
      </c>
      <c r="C939" s="1">
        <v>40</v>
      </c>
      <c r="D939" s="1" t="s">
        <v>16</v>
      </c>
      <c r="E939" s="1" t="s">
        <v>20</v>
      </c>
      <c r="F939" s="1">
        <v>1</v>
      </c>
      <c r="G939" s="1">
        <v>5</v>
      </c>
      <c r="H939" s="29">
        <v>9.9999999999999995E-7</v>
      </c>
      <c r="I939">
        <f t="shared" si="45"/>
        <v>3</v>
      </c>
      <c r="J939">
        <v>10</v>
      </c>
      <c r="K939" s="16">
        <f t="shared" si="44"/>
        <v>300000000</v>
      </c>
    </row>
    <row r="940" spans="1:11">
      <c r="A940">
        <v>1</v>
      </c>
      <c r="B940" t="s">
        <v>8</v>
      </c>
      <c r="C940" s="1">
        <v>40</v>
      </c>
      <c r="D940" s="1" t="s">
        <v>16</v>
      </c>
      <c r="E940" s="1" t="s">
        <v>21</v>
      </c>
      <c r="F940" s="1">
        <v>8</v>
      </c>
      <c r="G940" s="1">
        <v>4</v>
      </c>
      <c r="H940" s="29">
        <v>9.9999999999999995E-7</v>
      </c>
      <c r="I940">
        <f t="shared" si="45"/>
        <v>6</v>
      </c>
      <c r="J940">
        <v>10</v>
      </c>
      <c r="K940" s="16">
        <f t="shared" si="44"/>
        <v>600000000</v>
      </c>
    </row>
    <row r="941" spans="1:11">
      <c r="A941">
        <v>1</v>
      </c>
      <c r="B941" t="s">
        <v>8</v>
      </c>
      <c r="C941" s="1">
        <v>40</v>
      </c>
      <c r="D941" s="1" t="s">
        <v>16</v>
      </c>
      <c r="E941" s="1" t="s">
        <v>22</v>
      </c>
      <c r="F941" s="1">
        <v>6</v>
      </c>
      <c r="G941" s="1">
        <v>4</v>
      </c>
      <c r="H941" s="29">
        <v>9.9999999999999995E-7</v>
      </c>
      <c r="I941">
        <f t="shared" si="45"/>
        <v>5</v>
      </c>
      <c r="J941">
        <v>10</v>
      </c>
      <c r="K941" s="16">
        <f t="shared" si="44"/>
        <v>500000000</v>
      </c>
    </row>
    <row r="942" spans="1:11">
      <c r="A942">
        <v>1</v>
      </c>
      <c r="B942" t="s">
        <v>8</v>
      </c>
      <c r="C942" s="1">
        <v>40</v>
      </c>
      <c r="D942" s="1" t="s">
        <v>16</v>
      </c>
      <c r="E942" s="1">
        <v>1</v>
      </c>
      <c r="F942" s="1">
        <v>3</v>
      </c>
      <c r="G942" s="1">
        <v>1</v>
      </c>
      <c r="H942" s="29">
        <v>9.9999999999999995E-7</v>
      </c>
      <c r="I942">
        <f t="shared" si="45"/>
        <v>2</v>
      </c>
      <c r="J942">
        <v>10</v>
      </c>
      <c r="K942" s="16">
        <f t="shared" si="44"/>
        <v>200000000</v>
      </c>
    </row>
    <row r="943" spans="1:11">
      <c r="A943">
        <v>1</v>
      </c>
      <c r="B943" t="s">
        <v>8</v>
      </c>
      <c r="C943" s="1">
        <v>40</v>
      </c>
      <c r="D943" s="1" t="s">
        <v>16</v>
      </c>
      <c r="E943" s="1">
        <v>2</v>
      </c>
      <c r="F943" s="1">
        <v>2</v>
      </c>
      <c r="G943" s="1">
        <v>3</v>
      </c>
      <c r="H943" s="29">
        <v>9.9999999999999995E-7</v>
      </c>
      <c r="I943">
        <f t="shared" si="45"/>
        <v>2.5</v>
      </c>
      <c r="J943">
        <v>10</v>
      </c>
      <c r="K943" s="16">
        <f t="shared" si="44"/>
        <v>250000000</v>
      </c>
    </row>
    <row r="944" spans="1:11">
      <c r="A944">
        <v>1</v>
      </c>
      <c r="B944" t="s">
        <v>8</v>
      </c>
      <c r="C944" s="1">
        <v>40</v>
      </c>
      <c r="D944" s="1" t="s">
        <v>16</v>
      </c>
      <c r="E944" s="1">
        <v>3</v>
      </c>
      <c r="F944" s="1">
        <v>1</v>
      </c>
      <c r="G944" s="1">
        <v>3</v>
      </c>
      <c r="H944" s="29">
        <v>9.9999999999999995E-7</v>
      </c>
      <c r="I944">
        <f t="shared" si="45"/>
        <v>2</v>
      </c>
      <c r="J944">
        <v>10</v>
      </c>
      <c r="K944" s="16">
        <f t="shared" si="44"/>
        <v>200000000</v>
      </c>
    </row>
    <row r="945" spans="1:11">
      <c r="A945">
        <v>1</v>
      </c>
      <c r="B945" t="s">
        <v>8</v>
      </c>
      <c r="C945" s="1">
        <v>40</v>
      </c>
      <c r="D945" s="1" t="s">
        <v>16</v>
      </c>
      <c r="E945" s="1">
        <v>4</v>
      </c>
      <c r="F945" s="1">
        <v>6</v>
      </c>
      <c r="G945" s="1">
        <v>10</v>
      </c>
      <c r="H945" s="29">
        <v>9.9999999999999995E-7</v>
      </c>
      <c r="I945">
        <f t="shared" si="45"/>
        <v>8</v>
      </c>
      <c r="J945">
        <v>10</v>
      </c>
      <c r="K945" s="16">
        <f t="shared" si="44"/>
        <v>800000000</v>
      </c>
    </row>
    <row r="946" spans="1:11">
      <c r="A946">
        <v>1</v>
      </c>
      <c r="B946" t="s">
        <v>8</v>
      </c>
      <c r="C946" s="1">
        <v>40</v>
      </c>
      <c r="D946" s="1" t="s">
        <v>16</v>
      </c>
      <c r="E946" s="1">
        <v>5</v>
      </c>
      <c r="F946" s="1">
        <v>4</v>
      </c>
      <c r="G946" s="1">
        <v>9</v>
      </c>
      <c r="H946" s="29">
        <v>1.0000000000000001E-5</v>
      </c>
      <c r="I946">
        <f t="shared" si="45"/>
        <v>6.5</v>
      </c>
      <c r="J946">
        <v>10</v>
      </c>
      <c r="K946" s="16">
        <f t="shared" si="44"/>
        <v>64999999.999999993</v>
      </c>
    </row>
    <row r="947" spans="1:11">
      <c r="A947">
        <v>1</v>
      </c>
      <c r="B947" t="s">
        <v>8</v>
      </c>
      <c r="C947" s="1">
        <v>40</v>
      </c>
      <c r="D947" s="1" t="s">
        <v>16</v>
      </c>
      <c r="E947" s="1">
        <v>6</v>
      </c>
      <c r="F947" s="1">
        <v>4</v>
      </c>
      <c r="G947" s="1">
        <v>2</v>
      </c>
      <c r="H947" s="29">
        <v>9.9999999999999995E-7</v>
      </c>
      <c r="I947">
        <f t="shared" si="45"/>
        <v>3</v>
      </c>
      <c r="J947">
        <v>10</v>
      </c>
      <c r="K947" s="16">
        <f t="shared" si="44"/>
        <v>300000000</v>
      </c>
    </row>
    <row r="948" spans="1:11">
      <c r="A948">
        <v>1</v>
      </c>
      <c r="B948" t="s">
        <v>8</v>
      </c>
      <c r="C948" s="1">
        <v>40</v>
      </c>
      <c r="D948" s="1" t="s">
        <v>16</v>
      </c>
      <c r="E948" s="1">
        <v>7</v>
      </c>
      <c r="F948" s="1">
        <v>9</v>
      </c>
      <c r="G948" s="1">
        <v>9</v>
      </c>
      <c r="H948" s="29">
        <v>9.9999999999999995E-7</v>
      </c>
      <c r="I948">
        <f t="shared" si="45"/>
        <v>9</v>
      </c>
      <c r="J948">
        <v>10</v>
      </c>
      <c r="K948" s="16">
        <f t="shared" si="44"/>
        <v>900000000</v>
      </c>
    </row>
    <row r="949" spans="1:11">
      <c r="A949">
        <v>1</v>
      </c>
      <c r="B949" t="s">
        <v>8</v>
      </c>
      <c r="C949" s="1">
        <v>40</v>
      </c>
      <c r="D949" s="1" t="s">
        <v>16</v>
      </c>
      <c r="E949" s="1">
        <v>8</v>
      </c>
      <c r="F949" s="1">
        <v>5</v>
      </c>
      <c r="G949" s="1">
        <v>1</v>
      </c>
      <c r="H949" s="29">
        <v>9.9999999999999995E-7</v>
      </c>
      <c r="I949">
        <f t="shared" si="45"/>
        <v>3</v>
      </c>
      <c r="J949">
        <v>10</v>
      </c>
      <c r="K949" s="16">
        <f t="shared" si="44"/>
        <v>300000000</v>
      </c>
    </row>
    <row r="950" spans="1:11">
      <c r="A950">
        <v>1</v>
      </c>
      <c r="B950" t="s">
        <v>8</v>
      </c>
      <c r="C950" s="1">
        <v>40</v>
      </c>
      <c r="D950" s="1" t="s">
        <v>16</v>
      </c>
      <c r="E950" s="1">
        <v>9</v>
      </c>
      <c r="F950" s="1">
        <v>2</v>
      </c>
      <c r="G950" s="1">
        <v>4</v>
      </c>
      <c r="H950" s="29">
        <v>9.9999999999999995E-7</v>
      </c>
      <c r="I950">
        <f t="shared" si="45"/>
        <v>3</v>
      </c>
      <c r="J950">
        <v>10</v>
      </c>
      <c r="K950" s="16">
        <f t="shared" si="44"/>
        <v>300000000</v>
      </c>
    </row>
    <row r="951" spans="1:11">
      <c r="A951">
        <v>1</v>
      </c>
      <c r="B951" t="s">
        <v>8</v>
      </c>
      <c r="C951" s="1">
        <v>40</v>
      </c>
      <c r="D951" s="1" t="s">
        <v>16</v>
      </c>
      <c r="E951" s="1">
        <v>10</v>
      </c>
      <c r="F951" s="1">
        <v>2</v>
      </c>
      <c r="G951" s="1">
        <v>6</v>
      </c>
      <c r="H951" s="29">
        <v>9.9999999999999995E-7</v>
      </c>
      <c r="I951">
        <f t="shared" si="45"/>
        <v>4</v>
      </c>
      <c r="J951">
        <v>10</v>
      </c>
      <c r="K951" s="16">
        <f t="shared" si="44"/>
        <v>400000000</v>
      </c>
    </row>
    <row r="952" spans="1:11">
      <c r="A952">
        <v>1</v>
      </c>
      <c r="B952" t="s">
        <v>8</v>
      </c>
      <c r="C952" s="1">
        <v>40.5</v>
      </c>
      <c r="D952" s="1" t="s">
        <v>16</v>
      </c>
      <c r="E952" s="1">
        <v>1</v>
      </c>
      <c r="F952" s="31">
        <v>7</v>
      </c>
      <c r="G952" s="31">
        <v>3</v>
      </c>
      <c r="H952" s="29">
        <v>1.0000000000000001E-5</v>
      </c>
      <c r="I952">
        <f t="shared" si="45"/>
        <v>5</v>
      </c>
      <c r="J952">
        <v>10</v>
      </c>
      <c r="K952" s="16">
        <f t="shared" si="44"/>
        <v>49999999.999999993</v>
      </c>
    </row>
    <row r="953" spans="1:11">
      <c r="A953">
        <v>1</v>
      </c>
      <c r="B953" t="s">
        <v>8</v>
      </c>
      <c r="C953" s="1">
        <v>40.5</v>
      </c>
      <c r="D953" s="1" t="s">
        <v>16</v>
      </c>
      <c r="E953" s="1">
        <v>2</v>
      </c>
      <c r="F953" s="1">
        <v>7</v>
      </c>
      <c r="G953" s="1">
        <v>5</v>
      </c>
      <c r="H953" s="29">
        <v>1.0000000000000001E-5</v>
      </c>
      <c r="I953">
        <f t="shared" si="45"/>
        <v>6</v>
      </c>
      <c r="J953">
        <v>10</v>
      </c>
      <c r="K953" s="16">
        <f t="shared" si="44"/>
        <v>59999999.999999993</v>
      </c>
    </row>
    <row r="954" spans="1:11">
      <c r="A954">
        <v>1</v>
      </c>
      <c r="B954" t="s">
        <v>8</v>
      </c>
      <c r="C954" s="1">
        <v>40.5</v>
      </c>
      <c r="D954" s="1" t="s">
        <v>16</v>
      </c>
      <c r="E954" s="1">
        <v>3</v>
      </c>
      <c r="F954" s="1">
        <v>8</v>
      </c>
      <c r="G954" s="1">
        <v>11</v>
      </c>
      <c r="H954" s="29">
        <v>1.0000000000000001E-5</v>
      </c>
      <c r="I954">
        <f t="shared" si="45"/>
        <v>9.5</v>
      </c>
      <c r="J954">
        <v>10</v>
      </c>
      <c r="K954" s="16">
        <f t="shared" si="44"/>
        <v>94999999.999999985</v>
      </c>
    </row>
    <row r="955" spans="1:11">
      <c r="A955">
        <v>1</v>
      </c>
      <c r="B955" t="s">
        <v>8</v>
      </c>
      <c r="C955" s="1">
        <v>40.5</v>
      </c>
      <c r="D955" s="1" t="s">
        <v>16</v>
      </c>
      <c r="E955" s="1">
        <v>4</v>
      </c>
      <c r="F955" s="1">
        <v>8</v>
      </c>
      <c r="G955" s="1">
        <v>9</v>
      </c>
      <c r="H955" s="29">
        <v>1E-4</v>
      </c>
      <c r="I955">
        <f t="shared" si="45"/>
        <v>8.5</v>
      </c>
      <c r="J955">
        <v>10</v>
      </c>
      <c r="K955" s="16">
        <f t="shared" si="44"/>
        <v>8499999.9999999981</v>
      </c>
    </row>
    <row r="956" spans="1:11">
      <c r="A956">
        <v>1</v>
      </c>
      <c r="B956" t="s">
        <v>8</v>
      </c>
      <c r="C956" s="1">
        <v>40.5</v>
      </c>
      <c r="D956" s="1" t="s">
        <v>16</v>
      </c>
      <c r="E956" s="1">
        <v>5</v>
      </c>
      <c r="F956" s="1">
        <v>6</v>
      </c>
      <c r="G956" s="1">
        <v>7</v>
      </c>
      <c r="H956" s="29">
        <v>1E-4</v>
      </c>
      <c r="I956">
        <f t="shared" si="45"/>
        <v>6.5</v>
      </c>
      <c r="J956">
        <v>10</v>
      </c>
      <c r="K956" s="16">
        <f t="shared" si="44"/>
        <v>6499999.9999999991</v>
      </c>
    </row>
    <row r="957" spans="1:11">
      <c r="A957">
        <v>1</v>
      </c>
      <c r="B957" t="s">
        <v>8</v>
      </c>
      <c r="C957" s="1">
        <v>40.5</v>
      </c>
      <c r="D957" s="1" t="s">
        <v>16</v>
      </c>
      <c r="E957" s="1">
        <v>6</v>
      </c>
      <c r="F957" s="1">
        <v>7</v>
      </c>
      <c r="G957" s="1">
        <v>9</v>
      </c>
      <c r="H957" s="29">
        <v>1.0000000000000001E-5</v>
      </c>
      <c r="I957">
        <f t="shared" si="45"/>
        <v>8</v>
      </c>
      <c r="J957">
        <v>10</v>
      </c>
      <c r="K957" s="16">
        <f t="shared" si="44"/>
        <v>80000000</v>
      </c>
    </row>
    <row r="958" spans="1:11">
      <c r="A958">
        <v>1</v>
      </c>
      <c r="B958" t="s">
        <v>8</v>
      </c>
      <c r="C958" s="1">
        <v>40.5</v>
      </c>
      <c r="D958" s="1" t="s">
        <v>16</v>
      </c>
      <c r="E958" s="1">
        <v>7</v>
      </c>
      <c r="F958" s="1">
        <v>10</v>
      </c>
      <c r="G958" s="1">
        <v>4</v>
      </c>
      <c r="H958" s="29">
        <v>1E-4</v>
      </c>
      <c r="I958">
        <f t="shared" si="45"/>
        <v>7</v>
      </c>
      <c r="J958">
        <v>10</v>
      </c>
      <c r="K958" s="16">
        <f t="shared" si="44"/>
        <v>6999999.9999999991</v>
      </c>
    </row>
    <row r="959" spans="1:11">
      <c r="A959">
        <v>1</v>
      </c>
      <c r="B959" t="s">
        <v>8</v>
      </c>
      <c r="C959" s="1">
        <v>40.5</v>
      </c>
      <c r="D959" s="1" t="s">
        <v>16</v>
      </c>
      <c r="E959" s="1">
        <v>8</v>
      </c>
      <c r="F959" s="1">
        <v>3</v>
      </c>
      <c r="G959" s="1">
        <v>2</v>
      </c>
      <c r="H959" s="29">
        <v>1E-4</v>
      </c>
      <c r="I959">
        <f t="shared" si="45"/>
        <v>2.5</v>
      </c>
      <c r="J959">
        <v>10</v>
      </c>
      <c r="K959" s="16">
        <f t="shared" si="44"/>
        <v>2499999.9999999995</v>
      </c>
    </row>
    <row r="960" spans="1:11">
      <c r="A960">
        <v>1</v>
      </c>
      <c r="B960" t="s">
        <v>8</v>
      </c>
      <c r="C960" s="1">
        <v>40.5</v>
      </c>
      <c r="D960" s="1" t="s">
        <v>16</v>
      </c>
      <c r="E960" s="1">
        <v>9</v>
      </c>
      <c r="F960" s="1">
        <v>7</v>
      </c>
      <c r="G960" s="1">
        <v>5</v>
      </c>
      <c r="H960" s="29">
        <v>1.0000000000000001E-5</v>
      </c>
      <c r="I960">
        <f t="shared" si="45"/>
        <v>6</v>
      </c>
      <c r="J960">
        <v>10</v>
      </c>
      <c r="K960" s="16">
        <f t="shared" si="44"/>
        <v>59999999.999999993</v>
      </c>
    </row>
    <row r="961" spans="1:11">
      <c r="A961">
        <v>1</v>
      </c>
      <c r="B961" t="s">
        <v>8</v>
      </c>
      <c r="C961" s="1">
        <v>40.5</v>
      </c>
      <c r="D961" s="1" t="s">
        <v>16</v>
      </c>
      <c r="E961" s="1">
        <v>10</v>
      </c>
      <c r="F961" s="1">
        <v>12</v>
      </c>
      <c r="G961" s="1">
        <v>6</v>
      </c>
      <c r="H961" s="29">
        <v>1.0000000000000001E-5</v>
      </c>
      <c r="I961">
        <f t="shared" si="45"/>
        <v>9</v>
      </c>
      <c r="J961">
        <v>10</v>
      </c>
      <c r="K961" s="16">
        <f t="shared" si="44"/>
        <v>89999999.999999985</v>
      </c>
    </row>
    <row r="962" spans="1:11">
      <c r="A962">
        <v>1</v>
      </c>
      <c r="B962" t="s">
        <v>8</v>
      </c>
      <c r="C962" s="1">
        <v>41</v>
      </c>
      <c r="D962" s="1" t="s">
        <v>16</v>
      </c>
      <c r="E962" s="1" t="s">
        <v>19</v>
      </c>
      <c r="F962" s="1">
        <v>4</v>
      </c>
      <c r="G962" s="1">
        <v>4</v>
      </c>
      <c r="H962" s="29">
        <v>9.9999999999999995E-7</v>
      </c>
      <c r="I962">
        <f t="shared" si="45"/>
        <v>4</v>
      </c>
      <c r="J962">
        <v>10</v>
      </c>
      <c r="K962" s="16">
        <f t="shared" si="44"/>
        <v>400000000</v>
      </c>
    </row>
    <row r="963" spans="1:11">
      <c r="A963">
        <v>1</v>
      </c>
      <c r="B963" t="s">
        <v>8</v>
      </c>
      <c r="C963" s="1">
        <v>41</v>
      </c>
      <c r="D963" s="1" t="s">
        <v>16</v>
      </c>
      <c r="E963" s="1" t="s">
        <v>20</v>
      </c>
      <c r="F963" s="1">
        <v>4</v>
      </c>
      <c r="G963" s="1">
        <v>7</v>
      </c>
      <c r="H963" s="29">
        <v>9.9999999999999995E-7</v>
      </c>
      <c r="I963">
        <f t="shared" ref="I963:I999" si="46">AVERAGE(F963:G963)</f>
        <v>5.5</v>
      </c>
      <c r="J963">
        <v>10</v>
      </c>
      <c r="K963" s="16">
        <f t="shared" si="44"/>
        <v>550000000</v>
      </c>
    </row>
    <row r="964" spans="1:11">
      <c r="A964">
        <v>1</v>
      </c>
      <c r="B964" t="s">
        <v>8</v>
      </c>
      <c r="C964" s="1">
        <v>41</v>
      </c>
      <c r="D964" s="1" t="s">
        <v>16</v>
      </c>
      <c r="E964" s="1" t="s">
        <v>21</v>
      </c>
      <c r="F964" s="1">
        <v>4</v>
      </c>
      <c r="G964" s="1">
        <v>6</v>
      </c>
      <c r="H964" s="29">
        <v>9.9999999999999995E-7</v>
      </c>
      <c r="I964">
        <f t="shared" si="46"/>
        <v>5</v>
      </c>
      <c r="J964">
        <v>10</v>
      </c>
      <c r="K964" s="16">
        <f t="shared" si="44"/>
        <v>500000000</v>
      </c>
    </row>
    <row r="965" spans="1:11">
      <c r="A965">
        <v>1</v>
      </c>
      <c r="B965" t="s">
        <v>8</v>
      </c>
      <c r="C965" s="1">
        <v>41</v>
      </c>
      <c r="D965" s="1" t="s">
        <v>16</v>
      </c>
      <c r="E965" s="1" t="s">
        <v>22</v>
      </c>
      <c r="F965" s="1">
        <v>3</v>
      </c>
      <c r="G965" s="1">
        <v>7</v>
      </c>
      <c r="H965" s="29">
        <v>9.9999999999999995E-7</v>
      </c>
      <c r="I965">
        <f t="shared" si="46"/>
        <v>5</v>
      </c>
      <c r="J965">
        <v>10</v>
      </c>
      <c r="K965" s="16">
        <f t="shared" si="44"/>
        <v>500000000</v>
      </c>
    </row>
    <row r="966" spans="1:11">
      <c r="A966">
        <v>1</v>
      </c>
      <c r="B966" t="s">
        <v>8</v>
      </c>
      <c r="C966" s="1">
        <v>41</v>
      </c>
      <c r="D966" s="1" t="s">
        <v>16</v>
      </c>
      <c r="E966" s="1">
        <v>1</v>
      </c>
      <c r="F966" s="1">
        <v>2</v>
      </c>
      <c r="G966" s="1">
        <v>4</v>
      </c>
      <c r="H966" s="29">
        <v>9.9999999999999995E-7</v>
      </c>
      <c r="I966">
        <f t="shared" si="46"/>
        <v>3</v>
      </c>
      <c r="J966">
        <v>10</v>
      </c>
      <c r="K966" s="16">
        <f t="shared" si="44"/>
        <v>300000000</v>
      </c>
    </row>
    <row r="967" spans="1:11">
      <c r="A967">
        <v>1</v>
      </c>
      <c r="B967" t="s">
        <v>8</v>
      </c>
      <c r="C967" s="1">
        <v>41</v>
      </c>
      <c r="D967" s="1" t="s">
        <v>16</v>
      </c>
      <c r="E967" s="1">
        <v>2</v>
      </c>
      <c r="F967" s="1">
        <v>2</v>
      </c>
      <c r="G967" s="1">
        <v>7</v>
      </c>
      <c r="H967" s="29">
        <v>9.9999999999999995E-7</v>
      </c>
      <c r="I967">
        <f t="shared" si="46"/>
        <v>4.5</v>
      </c>
      <c r="J967">
        <v>10</v>
      </c>
      <c r="K967" s="16">
        <f t="shared" si="44"/>
        <v>450000000</v>
      </c>
    </row>
    <row r="968" spans="1:11">
      <c r="A968">
        <v>1</v>
      </c>
      <c r="B968" t="s">
        <v>8</v>
      </c>
      <c r="C968" s="1">
        <v>41</v>
      </c>
      <c r="D968" s="1" t="s">
        <v>16</v>
      </c>
      <c r="E968" s="1">
        <v>3</v>
      </c>
      <c r="F968" s="1">
        <v>6</v>
      </c>
      <c r="G968" s="1">
        <v>5</v>
      </c>
      <c r="H968" s="29">
        <v>9.9999999999999995E-7</v>
      </c>
      <c r="I968">
        <f t="shared" si="46"/>
        <v>5.5</v>
      </c>
      <c r="J968">
        <v>10</v>
      </c>
      <c r="K968" s="16">
        <f t="shared" si="44"/>
        <v>550000000</v>
      </c>
    </row>
    <row r="969" spans="1:11">
      <c r="A969">
        <v>1</v>
      </c>
      <c r="B969" t="s">
        <v>8</v>
      </c>
      <c r="C969" s="1">
        <v>41</v>
      </c>
      <c r="D969" s="1" t="s">
        <v>16</v>
      </c>
      <c r="E969" s="1">
        <v>4</v>
      </c>
      <c r="F969" s="1">
        <v>3</v>
      </c>
      <c r="G969" s="1">
        <v>1</v>
      </c>
      <c r="H969" s="29">
        <v>9.9999999999999995E-7</v>
      </c>
      <c r="I969">
        <f t="shared" si="46"/>
        <v>2</v>
      </c>
      <c r="J969">
        <v>10</v>
      </c>
      <c r="K969" s="16">
        <f t="shared" si="44"/>
        <v>200000000</v>
      </c>
    </row>
    <row r="970" spans="1:11">
      <c r="A970">
        <v>1</v>
      </c>
      <c r="B970" t="s">
        <v>8</v>
      </c>
      <c r="C970" s="1">
        <v>41</v>
      </c>
      <c r="D970" s="1" t="s">
        <v>16</v>
      </c>
      <c r="E970" s="1">
        <v>5</v>
      </c>
      <c r="F970" s="1">
        <v>1</v>
      </c>
      <c r="G970" s="1">
        <v>2</v>
      </c>
      <c r="H970" s="29">
        <v>9.9999999999999995E-7</v>
      </c>
      <c r="I970">
        <f t="shared" si="46"/>
        <v>1.5</v>
      </c>
      <c r="J970">
        <v>10</v>
      </c>
      <c r="K970" s="16">
        <f t="shared" si="44"/>
        <v>150000000</v>
      </c>
    </row>
    <row r="971" spans="1:11">
      <c r="A971">
        <v>1</v>
      </c>
      <c r="B971" t="s">
        <v>8</v>
      </c>
      <c r="C971" s="1">
        <v>41</v>
      </c>
      <c r="D971" s="1" t="s">
        <v>16</v>
      </c>
      <c r="E971" s="1">
        <v>6</v>
      </c>
      <c r="F971" s="1">
        <v>1</v>
      </c>
      <c r="G971" s="1">
        <v>3</v>
      </c>
      <c r="H971" s="29">
        <v>9.9999999999999995E-7</v>
      </c>
      <c r="I971">
        <f t="shared" si="46"/>
        <v>2</v>
      </c>
      <c r="J971">
        <v>10</v>
      </c>
      <c r="K971" s="16">
        <f t="shared" si="44"/>
        <v>200000000</v>
      </c>
    </row>
    <row r="972" spans="1:11">
      <c r="A972">
        <v>1</v>
      </c>
      <c r="B972" t="s">
        <v>8</v>
      </c>
      <c r="C972" s="1">
        <v>41</v>
      </c>
      <c r="D972" s="1" t="s">
        <v>16</v>
      </c>
      <c r="E972" s="1">
        <v>7</v>
      </c>
      <c r="F972" s="1">
        <v>6</v>
      </c>
      <c r="G972" s="1">
        <v>6</v>
      </c>
      <c r="H972" s="29">
        <v>9.9999999999999995E-7</v>
      </c>
      <c r="I972">
        <f t="shared" si="46"/>
        <v>6</v>
      </c>
      <c r="J972">
        <v>10</v>
      </c>
      <c r="K972" s="16">
        <f t="shared" si="44"/>
        <v>600000000</v>
      </c>
    </row>
    <row r="973" spans="1:11">
      <c r="A973">
        <v>1</v>
      </c>
      <c r="B973" t="s">
        <v>8</v>
      </c>
      <c r="C973" s="1">
        <v>41</v>
      </c>
      <c r="D973" s="1" t="s">
        <v>16</v>
      </c>
      <c r="E973" s="1">
        <v>8</v>
      </c>
      <c r="F973" s="1">
        <v>7</v>
      </c>
      <c r="G973" s="1">
        <v>2</v>
      </c>
      <c r="H973" s="29">
        <v>9.9999999999999995E-7</v>
      </c>
      <c r="I973">
        <f t="shared" si="46"/>
        <v>4.5</v>
      </c>
      <c r="J973">
        <v>10</v>
      </c>
      <c r="K973" s="16">
        <f t="shared" si="44"/>
        <v>450000000</v>
      </c>
    </row>
    <row r="974" spans="1:11">
      <c r="A974">
        <v>1</v>
      </c>
      <c r="B974" t="s">
        <v>8</v>
      </c>
      <c r="C974" s="1">
        <v>41</v>
      </c>
      <c r="D974" s="1" t="s">
        <v>16</v>
      </c>
      <c r="E974" s="1">
        <v>9</v>
      </c>
      <c r="F974" s="1">
        <v>4</v>
      </c>
      <c r="G974" s="1">
        <v>2</v>
      </c>
      <c r="H974" s="29">
        <v>9.9999999999999995E-7</v>
      </c>
      <c r="I974">
        <f t="shared" si="46"/>
        <v>3</v>
      </c>
      <c r="J974">
        <v>10</v>
      </c>
      <c r="K974" s="16">
        <f t="shared" si="44"/>
        <v>300000000</v>
      </c>
    </row>
    <row r="975" spans="1:11">
      <c r="A975">
        <v>1</v>
      </c>
      <c r="B975" t="s">
        <v>8</v>
      </c>
      <c r="C975" s="1">
        <v>41</v>
      </c>
      <c r="D975" s="1" t="s">
        <v>16</v>
      </c>
      <c r="E975" s="1">
        <v>10</v>
      </c>
      <c r="F975" s="1">
        <v>2</v>
      </c>
      <c r="G975" s="1">
        <v>1</v>
      </c>
      <c r="H975" s="29">
        <v>9.9999999999999995E-7</v>
      </c>
      <c r="I975">
        <f t="shared" si="46"/>
        <v>1.5</v>
      </c>
      <c r="J975">
        <v>10</v>
      </c>
      <c r="K975" s="16">
        <f t="shared" si="44"/>
        <v>150000000</v>
      </c>
    </row>
    <row r="976" spans="1:11">
      <c r="A976">
        <v>1</v>
      </c>
      <c r="B976" t="s">
        <v>8</v>
      </c>
      <c r="C976" s="1">
        <v>41.5</v>
      </c>
      <c r="D976" s="1" t="s">
        <v>16</v>
      </c>
      <c r="E976" s="1">
        <v>1</v>
      </c>
      <c r="F976" s="31">
        <v>8</v>
      </c>
      <c r="G976" s="31">
        <v>7</v>
      </c>
      <c r="H976" s="32">
        <v>1.0000000000000001E-5</v>
      </c>
      <c r="I976">
        <f t="shared" si="46"/>
        <v>7.5</v>
      </c>
      <c r="J976">
        <v>10</v>
      </c>
      <c r="K976" s="16">
        <f t="shared" si="44"/>
        <v>75000000</v>
      </c>
    </row>
    <row r="977" spans="1:11">
      <c r="A977">
        <v>1</v>
      </c>
      <c r="B977" t="s">
        <v>8</v>
      </c>
      <c r="C977" s="1">
        <v>41.5</v>
      </c>
      <c r="D977" s="1" t="s">
        <v>16</v>
      </c>
      <c r="E977" s="1">
        <v>2</v>
      </c>
      <c r="F977" s="1">
        <v>9</v>
      </c>
      <c r="G977" s="1">
        <v>10</v>
      </c>
      <c r="H977" s="29">
        <v>1.0000000000000001E-5</v>
      </c>
      <c r="I977">
        <f t="shared" si="46"/>
        <v>9.5</v>
      </c>
      <c r="J977">
        <v>10</v>
      </c>
      <c r="K977" s="16">
        <f t="shared" si="44"/>
        <v>94999999.999999985</v>
      </c>
    </row>
    <row r="978" spans="1:11">
      <c r="A978">
        <v>1</v>
      </c>
      <c r="B978" t="s">
        <v>8</v>
      </c>
      <c r="C978" s="1">
        <v>41.5</v>
      </c>
      <c r="D978" s="1" t="s">
        <v>16</v>
      </c>
      <c r="E978" s="1">
        <v>3</v>
      </c>
      <c r="F978" s="1">
        <v>4</v>
      </c>
      <c r="G978" s="1">
        <v>10</v>
      </c>
      <c r="H978" s="29">
        <v>1.0000000000000001E-5</v>
      </c>
      <c r="I978">
        <f t="shared" si="46"/>
        <v>7</v>
      </c>
      <c r="J978">
        <v>10</v>
      </c>
      <c r="K978" s="16">
        <f t="shared" si="44"/>
        <v>70000000</v>
      </c>
    </row>
    <row r="979" spans="1:11">
      <c r="A979">
        <v>1</v>
      </c>
      <c r="B979" t="s">
        <v>8</v>
      </c>
      <c r="C979" s="1">
        <v>41.5</v>
      </c>
      <c r="D979" s="1" t="s">
        <v>16</v>
      </c>
      <c r="E979" s="1">
        <v>4</v>
      </c>
      <c r="F979" s="1">
        <v>7</v>
      </c>
      <c r="G979" s="1">
        <v>8</v>
      </c>
      <c r="H979" s="29">
        <v>1E-4</v>
      </c>
      <c r="I979">
        <f t="shared" si="46"/>
        <v>7.5</v>
      </c>
      <c r="J979">
        <v>10</v>
      </c>
      <c r="K979" s="16">
        <f t="shared" ref="K979:K1042" si="47">I979/(H979*(J979/1000))</f>
        <v>7499999.9999999991</v>
      </c>
    </row>
    <row r="980" spans="1:11">
      <c r="A980">
        <v>1</v>
      </c>
      <c r="B980" t="s">
        <v>8</v>
      </c>
      <c r="C980" s="1">
        <v>41.5</v>
      </c>
      <c r="D980" s="1" t="s">
        <v>16</v>
      </c>
      <c r="E980" s="1">
        <v>5</v>
      </c>
      <c r="F980" s="1">
        <v>10</v>
      </c>
      <c r="G980" s="1">
        <v>10</v>
      </c>
      <c r="H980" s="29">
        <v>1E-4</v>
      </c>
      <c r="I980">
        <f t="shared" si="46"/>
        <v>10</v>
      </c>
      <c r="J980">
        <v>10</v>
      </c>
      <c r="K980" s="16">
        <f t="shared" si="47"/>
        <v>9999999.9999999981</v>
      </c>
    </row>
    <row r="981" spans="1:11">
      <c r="A981">
        <v>1</v>
      </c>
      <c r="B981" t="s">
        <v>8</v>
      </c>
      <c r="C981" s="1">
        <v>41.5</v>
      </c>
      <c r="D981" s="1" t="s">
        <v>16</v>
      </c>
      <c r="E981" s="1">
        <v>6</v>
      </c>
      <c r="F981" s="1">
        <v>13</v>
      </c>
      <c r="G981" s="1">
        <v>8</v>
      </c>
      <c r="H981" s="29">
        <v>1E-4</v>
      </c>
      <c r="I981">
        <f t="shared" si="46"/>
        <v>10.5</v>
      </c>
      <c r="J981">
        <v>10</v>
      </c>
      <c r="K981" s="16">
        <f t="shared" si="47"/>
        <v>10499999.999999998</v>
      </c>
    </row>
    <row r="982" spans="1:11">
      <c r="A982">
        <v>1</v>
      </c>
      <c r="B982" t="s">
        <v>8</v>
      </c>
      <c r="C982" s="1">
        <v>41.5</v>
      </c>
      <c r="D982" s="1" t="s">
        <v>16</v>
      </c>
      <c r="E982" s="1">
        <v>7</v>
      </c>
      <c r="F982" s="1">
        <v>4</v>
      </c>
      <c r="G982" s="1">
        <v>10</v>
      </c>
      <c r="H982" s="29">
        <v>1E-4</v>
      </c>
      <c r="I982">
        <f t="shared" si="46"/>
        <v>7</v>
      </c>
      <c r="J982">
        <v>10</v>
      </c>
      <c r="K982" s="16">
        <f t="shared" si="47"/>
        <v>6999999.9999999991</v>
      </c>
    </row>
    <row r="983" spans="1:11">
      <c r="A983">
        <v>1</v>
      </c>
      <c r="B983" t="s">
        <v>8</v>
      </c>
      <c r="C983" s="1">
        <v>41.5</v>
      </c>
      <c r="D983" s="1" t="s">
        <v>16</v>
      </c>
      <c r="E983" s="1">
        <v>8</v>
      </c>
      <c r="F983" s="1">
        <v>20</v>
      </c>
      <c r="G983" s="30">
        <v>50</v>
      </c>
      <c r="H983" s="29">
        <v>1E-3</v>
      </c>
      <c r="I983">
        <f t="shared" si="46"/>
        <v>35</v>
      </c>
      <c r="J983">
        <v>10</v>
      </c>
      <c r="K983" s="16">
        <f t="shared" si="47"/>
        <v>3499999.9999999995</v>
      </c>
    </row>
    <row r="984" spans="1:11">
      <c r="A984">
        <v>1</v>
      </c>
      <c r="B984" t="s">
        <v>8</v>
      </c>
      <c r="C984" s="1">
        <v>41.5</v>
      </c>
      <c r="D984" s="1" t="s">
        <v>16</v>
      </c>
      <c r="E984" s="1">
        <v>9</v>
      </c>
      <c r="F984" s="1">
        <v>10</v>
      </c>
      <c r="G984" s="1">
        <v>7</v>
      </c>
      <c r="H984" s="29">
        <v>1.0000000000000001E-5</v>
      </c>
      <c r="I984">
        <f t="shared" si="46"/>
        <v>8.5</v>
      </c>
      <c r="J984">
        <v>10</v>
      </c>
      <c r="K984" s="16">
        <f t="shared" si="47"/>
        <v>85000000</v>
      </c>
    </row>
    <row r="985" spans="1:11">
      <c r="A985">
        <v>1</v>
      </c>
      <c r="B985" t="s">
        <v>8</v>
      </c>
      <c r="C985" s="1">
        <v>41.5</v>
      </c>
      <c r="D985" s="1" t="s">
        <v>16</v>
      </c>
      <c r="E985" s="1">
        <v>10</v>
      </c>
      <c r="F985" s="1">
        <v>6</v>
      </c>
      <c r="G985" s="1">
        <v>9</v>
      </c>
      <c r="H985" s="29">
        <v>1.0000000000000001E-5</v>
      </c>
      <c r="I985">
        <f t="shared" si="46"/>
        <v>7.5</v>
      </c>
      <c r="J985">
        <v>10</v>
      </c>
      <c r="K985" s="16">
        <f t="shared" si="47"/>
        <v>75000000</v>
      </c>
    </row>
    <row r="986" spans="1:11">
      <c r="A986">
        <v>1</v>
      </c>
      <c r="B986" t="s">
        <v>8</v>
      </c>
      <c r="C986" s="1">
        <v>42</v>
      </c>
      <c r="D986" s="1" t="s">
        <v>16</v>
      </c>
      <c r="E986" s="1" t="s">
        <v>19</v>
      </c>
      <c r="F986" s="1">
        <v>27</v>
      </c>
      <c r="G986" s="30">
        <v>40</v>
      </c>
      <c r="H986" s="29">
        <v>1.0000000000000001E-5</v>
      </c>
      <c r="I986">
        <f t="shared" si="46"/>
        <v>33.5</v>
      </c>
      <c r="J986">
        <v>10</v>
      </c>
      <c r="K986" s="16">
        <f t="shared" si="47"/>
        <v>335000000</v>
      </c>
    </row>
    <row r="987" spans="1:11">
      <c r="A987">
        <v>1</v>
      </c>
      <c r="B987" t="s">
        <v>8</v>
      </c>
      <c r="C987" s="1">
        <v>42</v>
      </c>
      <c r="D987" s="1" t="s">
        <v>16</v>
      </c>
      <c r="E987" s="1" t="s">
        <v>20</v>
      </c>
      <c r="F987" s="1">
        <v>5</v>
      </c>
      <c r="G987" s="1">
        <v>5</v>
      </c>
      <c r="H987" s="29">
        <v>9.9999999999999995E-7</v>
      </c>
      <c r="I987">
        <f t="shared" si="46"/>
        <v>5</v>
      </c>
      <c r="J987">
        <v>10</v>
      </c>
      <c r="K987" s="16">
        <f t="shared" si="47"/>
        <v>500000000</v>
      </c>
    </row>
    <row r="988" spans="1:11">
      <c r="A988">
        <v>1</v>
      </c>
      <c r="B988" t="s">
        <v>8</v>
      </c>
      <c r="C988" s="1">
        <v>42</v>
      </c>
      <c r="D988" s="1" t="s">
        <v>16</v>
      </c>
      <c r="E988" s="1" t="s">
        <v>21</v>
      </c>
      <c r="F988" s="1">
        <v>7</v>
      </c>
      <c r="G988" s="1">
        <v>3</v>
      </c>
      <c r="H988" s="29">
        <v>9.9999999999999995E-7</v>
      </c>
      <c r="I988">
        <f t="shared" si="46"/>
        <v>5</v>
      </c>
      <c r="J988">
        <v>10</v>
      </c>
      <c r="K988" s="16">
        <f t="shared" si="47"/>
        <v>500000000</v>
      </c>
    </row>
    <row r="989" spans="1:11">
      <c r="A989">
        <v>1</v>
      </c>
      <c r="B989" t="s">
        <v>8</v>
      </c>
      <c r="C989" s="1">
        <v>42</v>
      </c>
      <c r="D989" s="1" t="s">
        <v>16</v>
      </c>
      <c r="E989" s="1" t="s">
        <v>22</v>
      </c>
      <c r="F989" s="1">
        <v>4</v>
      </c>
      <c r="G989" s="1">
        <v>2</v>
      </c>
      <c r="H989" s="29">
        <v>9.9999999999999995E-7</v>
      </c>
      <c r="I989">
        <f t="shared" si="46"/>
        <v>3</v>
      </c>
      <c r="J989">
        <v>10</v>
      </c>
      <c r="K989" s="16">
        <f t="shared" si="47"/>
        <v>300000000</v>
      </c>
    </row>
    <row r="990" spans="1:11">
      <c r="A990">
        <v>1</v>
      </c>
      <c r="B990" t="s">
        <v>8</v>
      </c>
      <c r="C990" s="1">
        <v>42</v>
      </c>
      <c r="D990" s="1" t="s">
        <v>16</v>
      </c>
      <c r="E990" s="1">
        <v>1</v>
      </c>
      <c r="F990" s="1">
        <v>25</v>
      </c>
      <c r="G990" s="1">
        <v>20</v>
      </c>
      <c r="H990" s="29">
        <v>1.0000000000000001E-5</v>
      </c>
      <c r="I990">
        <f t="shared" si="46"/>
        <v>22.5</v>
      </c>
      <c r="J990">
        <v>10</v>
      </c>
      <c r="K990" s="16">
        <f t="shared" si="47"/>
        <v>224999999.99999997</v>
      </c>
    </row>
    <row r="991" spans="1:11">
      <c r="A991">
        <v>1</v>
      </c>
      <c r="B991" t="s">
        <v>8</v>
      </c>
      <c r="C991" s="1">
        <v>42</v>
      </c>
      <c r="D991" s="1" t="s">
        <v>16</v>
      </c>
      <c r="E991" s="1">
        <v>2</v>
      </c>
      <c r="F991" s="1">
        <v>3</v>
      </c>
      <c r="G991" s="1">
        <v>9</v>
      </c>
      <c r="H991" s="29">
        <v>9.9999999999999995E-7</v>
      </c>
      <c r="I991">
        <f t="shared" si="46"/>
        <v>6</v>
      </c>
      <c r="J991">
        <v>10</v>
      </c>
      <c r="K991" s="16">
        <f t="shared" si="47"/>
        <v>600000000</v>
      </c>
    </row>
    <row r="992" spans="1:11">
      <c r="A992">
        <v>1</v>
      </c>
      <c r="B992" t="s">
        <v>8</v>
      </c>
      <c r="C992" s="1">
        <v>42</v>
      </c>
      <c r="D992" s="1" t="s">
        <v>16</v>
      </c>
      <c r="E992" s="1">
        <v>3</v>
      </c>
      <c r="F992" s="1">
        <v>3</v>
      </c>
      <c r="G992" s="1">
        <v>4</v>
      </c>
      <c r="H992" s="29">
        <v>9.9999999999999995E-7</v>
      </c>
      <c r="I992">
        <f t="shared" si="46"/>
        <v>3.5</v>
      </c>
      <c r="J992">
        <v>10</v>
      </c>
      <c r="K992" s="16">
        <f t="shared" si="47"/>
        <v>350000000</v>
      </c>
    </row>
    <row r="993" spans="1:11">
      <c r="A993">
        <v>1</v>
      </c>
      <c r="B993" t="s">
        <v>8</v>
      </c>
      <c r="C993" s="1">
        <v>42</v>
      </c>
      <c r="D993" s="1" t="s">
        <v>16</v>
      </c>
      <c r="E993" s="1">
        <v>4</v>
      </c>
      <c r="F993" s="1">
        <v>4</v>
      </c>
      <c r="G993" s="1">
        <v>3</v>
      </c>
      <c r="H993" s="29">
        <v>9.9999999999999995E-7</v>
      </c>
      <c r="I993">
        <f t="shared" si="46"/>
        <v>3.5</v>
      </c>
      <c r="J993">
        <v>10</v>
      </c>
      <c r="K993" s="16">
        <f t="shared" si="47"/>
        <v>350000000</v>
      </c>
    </row>
    <row r="994" spans="1:11">
      <c r="A994">
        <v>1</v>
      </c>
      <c r="B994" t="s">
        <v>8</v>
      </c>
      <c r="C994" s="1">
        <v>42</v>
      </c>
      <c r="D994" s="1" t="s">
        <v>16</v>
      </c>
      <c r="E994" s="1">
        <v>5</v>
      </c>
      <c r="F994" s="1">
        <v>13</v>
      </c>
      <c r="G994" s="1">
        <v>9</v>
      </c>
      <c r="H994" s="29">
        <v>1.0000000000000001E-5</v>
      </c>
      <c r="I994">
        <f t="shared" si="46"/>
        <v>11</v>
      </c>
      <c r="J994">
        <v>10</v>
      </c>
      <c r="K994" s="16">
        <f t="shared" si="47"/>
        <v>109999999.99999999</v>
      </c>
    </row>
    <row r="995" spans="1:11">
      <c r="A995">
        <v>1</v>
      </c>
      <c r="B995" t="s">
        <v>8</v>
      </c>
      <c r="C995" s="1">
        <v>42</v>
      </c>
      <c r="D995" s="1" t="s">
        <v>16</v>
      </c>
      <c r="E995" s="1">
        <v>6</v>
      </c>
      <c r="F995" s="1">
        <v>4</v>
      </c>
      <c r="G995" s="1">
        <v>2</v>
      </c>
      <c r="H995" s="29">
        <v>9.9999999999999995E-7</v>
      </c>
      <c r="I995">
        <f t="shared" si="46"/>
        <v>3</v>
      </c>
      <c r="J995">
        <v>10</v>
      </c>
      <c r="K995" s="16">
        <f t="shared" si="47"/>
        <v>300000000</v>
      </c>
    </row>
    <row r="996" spans="1:11">
      <c r="A996">
        <v>1</v>
      </c>
      <c r="B996" t="s">
        <v>8</v>
      </c>
      <c r="C996" s="1">
        <v>42</v>
      </c>
      <c r="D996" s="1" t="s">
        <v>16</v>
      </c>
      <c r="E996" s="1">
        <v>7</v>
      </c>
      <c r="F996" s="1">
        <v>3</v>
      </c>
      <c r="G996" s="1">
        <v>5</v>
      </c>
      <c r="H996" s="29">
        <v>9.9999999999999995E-7</v>
      </c>
      <c r="I996">
        <f t="shared" si="46"/>
        <v>4</v>
      </c>
      <c r="J996">
        <v>10</v>
      </c>
      <c r="K996" s="16">
        <f t="shared" si="47"/>
        <v>400000000</v>
      </c>
    </row>
    <row r="997" spans="1:11">
      <c r="A997">
        <v>1</v>
      </c>
      <c r="B997" t="s">
        <v>8</v>
      </c>
      <c r="C997" s="1">
        <v>42</v>
      </c>
      <c r="D997" s="1" t="s">
        <v>16</v>
      </c>
      <c r="E997" s="1">
        <v>8</v>
      </c>
      <c r="F997" s="1">
        <v>2</v>
      </c>
      <c r="G997" s="1">
        <v>2</v>
      </c>
      <c r="H997" s="29">
        <v>9.9999999999999995E-7</v>
      </c>
      <c r="I997">
        <f t="shared" si="46"/>
        <v>2</v>
      </c>
      <c r="J997">
        <v>10</v>
      </c>
      <c r="K997" s="16">
        <f t="shared" si="47"/>
        <v>200000000</v>
      </c>
    </row>
    <row r="998" spans="1:11">
      <c r="A998">
        <v>1</v>
      </c>
      <c r="B998" t="s">
        <v>8</v>
      </c>
      <c r="C998" s="1">
        <v>42</v>
      </c>
      <c r="D998" s="1" t="s">
        <v>16</v>
      </c>
      <c r="E998" s="1">
        <v>9</v>
      </c>
      <c r="F998" s="1">
        <v>2</v>
      </c>
      <c r="G998" s="1">
        <v>4</v>
      </c>
      <c r="H998" s="29">
        <v>9.9999999999999995E-7</v>
      </c>
      <c r="I998">
        <f t="shared" si="46"/>
        <v>3</v>
      </c>
      <c r="J998">
        <v>10</v>
      </c>
      <c r="K998" s="16">
        <f t="shared" si="47"/>
        <v>300000000</v>
      </c>
    </row>
    <row r="999" spans="1:11">
      <c r="A999">
        <v>1</v>
      </c>
      <c r="B999" t="s">
        <v>8</v>
      </c>
      <c r="C999" s="1">
        <v>42</v>
      </c>
      <c r="D999" s="1" t="s">
        <v>16</v>
      </c>
      <c r="E999" s="1">
        <v>10</v>
      </c>
      <c r="F999" s="1">
        <v>4</v>
      </c>
      <c r="G999" s="1">
        <v>1</v>
      </c>
      <c r="H999" s="29">
        <v>9.9999999999999995E-7</v>
      </c>
      <c r="I999">
        <f t="shared" si="46"/>
        <v>2.5</v>
      </c>
      <c r="J999">
        <v>10</v>
      </c>
      <c r="K999" s="16">
        <f t="shared" si="47"/>
        <v>250000000</v>
      </c>
    </row>
    <row r="1000" spans="1:11">
      <c r="A1000">
        <v>1</v>
      </c>
      <c r="B1000" t="s">
        <v>8</v>
      </c>
      <c r="C1000" s="1">
        <v>42.5</v>
      </c>
      <c r="D1000" s="1" t="s">
        <v>16</v>
      </c>
      <c r="E1000" s="1">
        <v>1</v>
      </c>
      <c r="F1000" s="31">
        <v>5</v>
      </c>
      <c r="G1000" s="31">
        <v>6</v>
      </c>
      <c r="H1000" s="32">
        <v>1.0000000000000001E-5</v>
      </c>
      <c r="I1000">
        <f t="shared" ref="I1000:I1028" si="48">AVERAGE(F1000:G1000)</f>
        <v>5.5</v>
      </c>
      <c r="J1000">
        <v>10</v>
      </c>
      <c r="K1000" s="16">
        <f t="shared" si="47"/>
        <v>54999999.999999993</v>
      </c>
    </row>
    <row r="1001" spans="1:11">
      <c r="A1001">
        <v>1</v>
      </c>
      <c r="B1001" t="s">
        <v>8</v>
      </c>
      <c r="C1001" s="1">
        <v>42.5</v>
      </c>
      <c r="D1001" s="1" t="s">
        <v>16</v>
      </c>
      <c r="E1001" s="1">
        <v>2</v>
      </c>
      <c r="F1001" s="1">
        <v>5</v>
      </c>
      <c r="G1001" s="1">
        <v>8</v>
      </c>
      <c r="H1001" s="29">
        <v>1.0000000000000001E-5</v>
      </c>
      <c r="I1001">
        <f t="shared" si="48"/>
        <v>6.5</v>
      </c>
      <c r="J1001">
        <v>10</v>
      </c>
      <c r="K1001" s="16">
        <f t="shared" si="47"/>
        <v>64999999.999999993</v>
      </c>
    </row>
    <row r="1002" spans="1:11">
      <c r="A1002">
        <v>1</v>
      </c>
      <c r="B1002" t="s">
        <v>8</v>
      </c>
      <c r="C1002" s="1">
        <v>42.5</v>
      </c>
      <c r="D1002" s="1" t="s">
        <v>16</v>
      </c>
      <c r="E1002" s="1">
        <v>3</v>
      </c>
      <c r="F1002" s="1">
        <v>5</v>
      </c>
      <c r="G1002" s="1">
        <v>8</v>
      </c>
      <c r="H1002" s="29">
        <v>1.0000000000000001E-5</v>
      </c>
      <c r="I1002">
        <f t="shared" si="48"/>
        <v>6.5</v>
      </c>
      <c r="J1002">
        <v>10</v>
      </c>
      <c r="K1002" s="16">
        <f t="shared" si="47"/>
        <v>64999999.999999993</v>
      </c>
    </row>
    <row r="1003" spans="1:11">
      <c r="A1003">
        <v>1</v>
      </c>
      <c r="B1003" t="s">
        <v>8</v>
      </c>
      <c r="C1003" s="1">
        <v>42.5</v>
      </c>
      <c r="D1003" s="1" t="s">
        <v>16</v>
      </c>
      <c r="E1003" s="1">
        <v>4</v>
      </c>
      <c r="F1003" s="1">
        <v>4</v>
      </c>
      <c r="G1003" s="1">
        <v>4</v>
      </c>
      <c r="H1003" s="29">
        <v>1E-4</v>
      </c>
      <c r="I1003">
        <f t="shared" si="48"/>
        <v>4</v>
      </c>
      <c r="J1003">
        <v>10</v>
      </c>
      <c r="K1003" s="16">
        <f t="shared" si="47"/>
        <v>3999999.9999999995</v>
      </c>
    </row>
    <row r="1004" spans="1:11">
      <c r="A1004">
        <v>1</v>
      </c>
      <c r="B1004" t="s">
        <v>8</v>
      </c>
      <c r="C1004" s="1">
        <v>42.5</v>
      </c>
      <c r="D1004" s="1" t="s">
        <v>16</v>
      </c>
      <c r="E1004" s="1">
        <v>5</v>
      </c>
      <c r="F1004" s="1">
        <v>2</v>
      </c>
      <c r="G1004" s="1">
        <v>3</v>
      </c>
      <c r="H1004" s="29">
        <v>1.0000000000000001E-5</v>
      </c>
      <c r="I1004">
        <f t="shared" si="48"/>
        <v>2.5</v>
      </c>
      <c r="J1004">
        <v>10</v>
      </c>
      <c r="K1004" s="16">
        <f t="shared" si="47"/>
        <v>24999999.999999996</v>
      </c>
    </row>
    <row r="1005" spans="1:11">
      <c r="A1005">
        <v>1</v>
      </c>
      <c r="B1005" t="s">
        <v>8</v>
      </c>
      <c r="C1005" s="1">
        <v>42.5</v>
      </c>
      <c r="D1005" s="1" t="s">
        <v>16</v>
      </c>
      <c r="E1005" s="1">
        <v>6</v>
      </c>
      <c r="F1005" s="1">
        <v>5</v>
      </c>
      <c r="G1005" s="1">
        <v>13</v>
      </c>
      <c r="H1005" s="29">
        <v>1E-4</v>
      </c>
      <c r="I1005">
        <f t="shared" si="48"/>
        <v>9</v>
      </c>
      <c r="J1005">
        <v>10</v>
      </c>
      <c r="K1005" s="16">
        <f t="shared" si="47"/>
        <v>8999999.9999999981</v>
      </c>
    </row>
    <row r="1006" spans="1:11">
      <c r="A1006">
        <v>1</v>
      </c>
      <c r="B1006" t="s">
        <v>8</v>
      </c>
      <c r="C1006" s="1">
        <v>42.5</v>
      </c>
      <c r="D1006" s="1" t="s">
        <v>16</v>
      </c>
      <c r="E1006" s="1">
        <v>7</v>
      </c>
      <c r="F1006" s="1">
        <v>7</v>
      </c>
      <c r="G1006" s="1">
        <v>9</v>
      </c>
      <c r="H1006" s="29">
        <v>1E-4</v>
      </c>
      <c r="I1006">
        <f t="shared" si="48"/>
        <v>8</v>
      </c>
      <c r="J1006">
        <v>10</v>
      </c>
      <c r="K1006" s="16">
        <f t="shared" si="47"/>
        <v>7999999.9999999991</v>
      </c>
    </row>
    <row r="1007" spans="1:11">
      <c r="A1007">
        <v>1</v>
      </c>
      <c r="B1007" t="s">
        <v>8</v>
      </c>
      <c r="C1007" s="1">
        <v>42.5</v>
      </c>
      <c r="D1007" s="1" t="s">
        <v>16</v>
      </c>
      <c r="E1007" s="1">
        <v>8</v>
      </c>
      <c r="F1007" s="1">
        <v>6</v>
      </c>
      <c r="G1007" s="1">
        <v>5</v>
      </c>
      <c r="H1007" s="29">
        <v>1E-4</v>
      </c>
      <c r="I1007">
        <f t="shared" si="48"/>
        <v>5.5</v>
      </c>
      <c r="J1007">
        <v>10</v>
      </c>
      <c r="K1007" s="16">
        <f t="shared" si="47"/>
        <v>5499999.9999999991</v>
      </c>
    </row>
    <row r="1008" spans="1:11">
      <c r="A1008">
        <v>1</v>
      </c>
      <c r="B1008" t="s">
        <v>8</v>
      </c>
      <c r="C1008" s="1">
        <v>42.5</v>
      </c>
      <c r="D1008" s="1" t="s">
        <v>16</v>
      </c>
      <c r="E1008" s="1">
        <v>9</v>
      </c>
      <c r="F1008" s="1">
        <v>4</v>
      </c>
      <c r="G1008" s="1">
        <v>8</v>
      </c>
      <c r="H1008" s="29">
        <v>1.0000000000000001E-5</v>
      </c>
      <c r="I1008">
        <f t="shared" si="48"/>
        <v>6</v>
      </c>
      <c r="J1008">
        <v>10</v>
      </c>
      <c r="K1008" s="16">
        <f t="shared" si="47"/>
        <v>59999999.999999993</v>
      </c>
    </row>
    <row r="1009" spans="1:11">
      <c r="A1009">
        <v>1</v>
      </c>
      <c r="B1009" t="s">
        <v>8</v>
      </c>
      <c r="C1009" s="1">
        <v>42.5</v>
      </c>
      <c r="D1009" s="1" t="s">
        <v>16</v>
      </c>
      <c r="E1009" s="1">
        <v>10</v>
      </c>
      <c r="F1009" s="1">
        <v>8</v>
      </c>
      <c r="G1009" s="1">
        <v>8</v>
      </c>
      <c r="H1009" s="29">
        <v>1.0000000000000001E-5</v>
      </c>
      <c r="I1009">
        <f t="shared" si="48"/>
        <v>8</v>
      </c>
      <c r="J1009">
        <v>10</v>
      </c>
      <c r="K1009" s="16">
        <f t="shared" si="47"/>
        <v>80000000</v>
      </c>
    </row>
    <row r="1010" spans="1:11">
      <c r="A1010">
        <v>1</v>
      </c>
      <c r="B1010" t="s">
        <v>8</v>
      </c>
      <c r="C1010" s="1">
        <v>43</v>
      </c>
      <c r="D1010" s="1" t="s">
        <v>16</v>
      </c>
      <c r="E1010" s="1" t="s">
        <v>19</v>
      </c>
      <c r="F1010" s="1">
        <v>1</v>
      </c>
      <c r="G1010" s="1">
        <v>3</v>
      </c>
      <c r="H1010" s="29">
        <v>9.9999999999999995E-7</v>
      </c>
      <c r="I1010">
        <f t="shared" si="48"/>
        <v>2</v>
      </c>
      <c r="J1010">
        <v>10</v>
      </c>
      <c r="K1010" s="16">
        <f t="shared" si="47"/>
        <v>200000000</v>
      </c>
    </row>
    <row r="1011" spans="1:11">
      <c r="A1011">
        <v>1</v>
      </c>
      <c r="B1011" t="s">
        <v>8</v>
      </c>
      <c r="C1011" s="1">
        <v>43</v>
      </c>
      <c r="D1011" s="1" t="s">
        <v>16</v>
      </c>
      <c r="E1011" s="1" t="s">
        <v>20</v>
      </c>
      <c r="F1011" s="30">
        <v>30</v>
      </c>
      <c r="G1011" s="1">
        <v>45</v>
      </c>
      <c r="H1011" s="29">
        <v>1.0000000000000001E-5</v>
      </c>
      <c r="I1011">
        <f t="shared" si="48"/>
        <v>37.5</v>
      </c>
      <c r="J1011">
        <v>10</v>
      </c>
      <c r="K1011" s="16">
        <f t="shared" si="47"/>
        <v>374999999.99999994</v>
      </c>
    </row>
    <row r="1012" spans="1:11">
      <c r="A1012">
        <v>1</v>
      </c>
      <c r="B1012" t="s">
        <v>8</v>
      </c>
      <c r="C1012" s="1">
        <v>43</v>
      </c>
      <c r="D1012" s="1" t="s">
        <v>16</v>
      </c>
      <c r="E1012" s="1" t="s">
        <v>21</v>
      </c>
      <c r="F1012" s="1">
        <v>5</v>
      </c>
      <c r="G1012" s="1">
        <v>7</v>
      </c>
      <c r="H1012" s="29">
        <v>9.9999999999999995E-7</v>
      </c>
      <c r="I1012">
        <f t="shared" si="48"/>
        <v>6</v>
      </c>
      <c r="J1012">
        <v>10</v>
      </c>
      <c r="K1012" s="16">
        <f t="shared" si="47"/>
        <v>600000000</v>
      </c>
    </row>
    <row r="1013" spans="1:11">
      <c r="A1013">
        <v>1</v>
      </c>
      <c r="B1013" t="s">
        <v>8</v>
      </c>
      <c r="C1013" s="1">
        <v>43</v>
      </c>
      <c r="D1013" s="1" t="s">
        <v>16</v>
      </c>
      <c r="E1013" s="1" t="s">
        <v>22</v>
      </c>
      <c r="F1013" s="1">
        <v>11</v>
      </c>
      <c r="G1013" s="1">
        <v>6</v>
      </c>
      <c r="H1013" s="29">
        <v>9.9999999999999995E-7</v>
      </c>
      <c r="I1013">
        <f t="shared" si="48"/>
        <v>8.5</v>
      </c>
      <c r="J1013">
        <v>10</v>
      </c>
      <c r="K1013" s="16">
        <f t="shared" si="47"/>
        <v>850000000</v>
      </c>
    </row>
    <row r="1014" spans="1:11">
      <c r="A1014">
        <v>1</v>
      </c>
      <c r="B1014" t="s">
        <v>8</v>
      </c>
      <c r="C1014" s="1">
        <v>43</v>
      </c>
      <c r="D1014" s="1" t="s">
        <v>16</v>
      </c>
      <c r="E1014" s="1">
        <v>1</v>
      </c>
      <c r="F1014" s="1">
        <v>4</v>
      </c>
      <c r="G1014" s="1">
        <v>1</v>
      </c>
      <c r="H1014" s="29">
        <v>9.9999999999999995E-7</v>
      </c>
      <c r="I1014">
        <f t="shared" si="48"/>
        <v>2.5</v>
      </c>
      <c r="J1014">
        <v>10</v>
      </c>
      <c r="K1014" s="16">
        <f t="shared" si="47"/>
        <v>250000000</v>
      </c>
    </row>
    <row r="1015" spans="1:11">
      <c r="A1015">
        <v>1</v>
      </c>
      <c r="B1015" t="s">
        <v>8</v>
      </c>
      <c r="C1015" s="1">
        <v>43</v>
      </c>
      <c r="D1015" s="1" t="s">
        <v>16</v>
      </c>
      <c r="E1015" s="1">
        <v>2</v>
      </c>
      <c r="F1015" s="1">
        <v>3</v>
      </c>
      <c r="G1015" s="1">
        <v>2</v>
      </c>
      <c r="H1015" s="29">
        <v>9.9999999999999995E-7</v>
      </c>
      <c r="I1015">
        <f t="shared" si="48"/>
        <v>2.5</v>
      </c>
      <c r="J1015">
        <v>10</v>
      </c>
      <c r="K1015" s="16">
        <f t="shared" si="47"/>
        <v>250000000</v>
      </c>
    </row>
    <row r="1016" spans="1:11">
      <c r="A1016">
        <v>1</v>
      </c>
      <c r="B1016" t="s">
        <v>8</v>
      </c>
      <c r="C1016" s="1">
        <v>43</v>
      </c>
      <c r="D1016" s="1" t="s">
        <v>16</v>
      </c>
      <c r="E1016" s="1">
        <v>3</v>
      </c>
      <c r="F1016" s="1">
        <v>2</v>
      </c>
      <c r="G1016" s="1">
        <v>2</v>
      </c>
      <c r="H1016" s="29">
        <v>9.9999999999999995E-7</v>
      </c>
      <c r="I1016">
        <f t="shared" si="48"/>
        <v>2</v>
      </c>
      <c r="J1016">
        <v>10</v>
      </c>
      <c r="K1016" s="16">
        <f t="shared" si="47"/>
        <v>200000000</v>
      </c>
    </row>
    <row r="1017" spans="1:11">
      <c r="A1017">
        <v>1</v>
      </c>
      <c r="B1017" t="s">
        <v>8</v>
      </c>
      <c r="C1017" s="1">
        <v>43</v>
      </c>
      <c r="D1017" s="1" t="s">
        <v>16</v>
      </c>
      <c r="E1017" s="1">
        <v>4</v>
      </c>
      <c r="F1017" s="1">
        <v>3</v>
      </c>
      <c r="G1017" s="1">
        <v>3</v>
      </c>
      <c r="H1017" s="29">
        <v>9.9999999999999995E-7</v>
      </c>
      <c r="I1017">
        <f t="shared" si="48"/>
        <v>3</v>
      </c>
      <c r="J1017">
        <v>10</v>
      </c>
      <c r="K1017" s="16">
        <f t="shared" si="47"/>
        <v>300000000</v>
      </c>
    </row>
    <row r="1018" spans="1:11">
      <c r="A1018">
        <v>1</v>
      </c>
      <c r="B1018" t="s">
        <v>8</v>
      </c>
      <c r="C1018" s="1">
        <v>43</v>
      </c>
      <c r="D1018" s="1" t="s">
        <v>16</v>
      </c>
      <c r="E1018" s="1">
        <v>5</v>
      </c>
      <c r="F1018" s="1">
        <v>1</v>
      </c>
      <c r="G1018" s="1">
        <v>2</v>
      </c>
      <c r="H1018" s="29">
        <v>9.9999999999999995E-7</v>
      </c>
      <c r="I1018">
        <f t="shared" si="48"/>
        <v>1.5</v>
      </c>
      <c r="J1018">
        <v>10</v>
      </c>
      <c r="K1018" s="16">
        <f t="shared" si="47"/>
        <v>150000000</v>
      </c>
    </row>
    <row r="1019" spans="1:11">
      <c r="A1019">
        <v>1</v>
      </c>
      <c r="B1019" t="s">
        <v>8</v>
      </c>
      <c r="C1019" s="1">
        <v>43</v>
      </c>
      <c r="D1019" s="1" t="s">
        <v>16</v>
      </c>
      <c r="E1019" s="1">
        <v>6</v>
      </c>
      <c r="F1019" s="1">
        <v>5</v>
      </c>
      <c r="G1019" s="1">
        <v>3</v>
      </c>
      <c r="H1019" s="29">
        <v>9.9999999999999995E-7</v>
      </c>
      <c r="I1019">
        <f t="shared" si="48"/>
        <v>4</v>
      </c>
      <c r="J1019">
        <v>10</v>
      </c>
      <c r="K1019" s="16">
        <f t="shared" si="47"/>
        <v>400000000</v>
      </c>
    </row>
    <row r="1020" spans="1:11">
      <c r="A1020">
        <v>1</v>
      </c>
      <c r="B1020" t="s">
        <v>8</v>
      </c>
      <c r="C1020" s="1">
        <v>43</v>
      </c>
      <c r="D1020" s="1" t="s">
        <v>16</v>
      </c>
      <c r="E1020" s="1">
        <v>7</v>
      </c>
      <c r="F1020" s="1">
        <v>7</v>
      </c>
      <c r="G1020" s="1">
        <v>4</v>
      </c>
      <c r="H1020" s="29">
        <v>9.9999999999999995E-7</v>
      </c>
      <c r="I1020">
        <f t="shared" si="48"/>
        <v>5.5</v>
      </c>
      <c r="J1020">
        <v>10</v>
      </c>
      <c r="K1020" s="16">
        <f t="shared" si="47"/>
        <v>550000000</v>
      </c>
    </row>
    <row r="1021" spans="1:11">
      <c r="A1021">
        <v>1</v>
      </c>
      <c r="B1021" t="s">
        <v>8</v>
      </c>
      <c r="C1021" s="1">
        <v>43</v>
      </c>
      <c r="D1021" s="1" t="s">
        <v>16</v>
      </c>
      <c r="E1021" s="1">
        <v>8</v>
      </c>
      <c r="F1021" s="1">
        <v>1</v>
      </c>
      <c r="G1021" s="1">
        <v>5</v>
      </c>
      <c r="H1021" s="29">
        <v>9.9999999999999995E-7</v>
      </c>
      <c r="I1021">
        <f t="shared" si="48"/>
        <v>3</v>
      </c>
      <c r="J1021">
        <v>10</v>
      </c>
      <c r="K1021" s="16">
        <f t="shared" si="47"/>
        <v>300000000</v>
      </c>
    </row>
    <row r="1022" spans="1:11">
      <c r="A1022">
        <v>1</v>
      </c>
      <c r="B1022" t="s">
        <v>8</v>
      </c>
      <c r="C1022" s="1">
        <v>43</v>
      </c>
      <c r="D1022" s="1" t="s">
        <v>16</v>
      </c>
      <c r="E1022" s="1">
        <v>9</v>
      </c>
      <c r="F1022" s="1">
        <v>2</v>
      </c>
      <c r="G1022" s="1">
        <v>1</v>
      </c>
      <c r="H1022" s="29">
        <v>9.9999999999999995E-7</v>
      </c>
      <c r="I1022">
        <f t="shared" si="48"/>
        <v>1.5</v>
      </c>
      <c r="J1022">
        <v>10</v>
      </c>
      <c r="K1022" s="16">
        <f t="shared" si="47"/>
        <v>150000000</v>
      </c>
    </row>
    <row r="1023" spans="1:11">
      <c r="A1023">
        <v>1</v>
      </c>
      <c r="B1023" t="s">
        <v>8</v>
      </c>
      <c r="C1023" s="1">
        <v>43</v>
      </c>
      <c r="D1023" s="1" t="s">
        <v>16</v>
      </c>
      <c r="E1023" s="1">
        <v>10</v>
      </c>
      <c r="F1023" s="1">
        <v>2</v>
      </c>
      <c r="G1023" s="1">
        <v>2</v>
      </c>
      <c r="H1023" s="29">
        <v>9.9999999999999995E-7</v>
      </c>
      <c r="I1023">
        <f t="shared" si="48"/>
        <v>2</v>
      </c>
      <c r="J1023">
        <v>10</v>
      </c>
      <c r="K1023" s="16">
        <f t="shared" si="47"/>
        <v>200000000</v>
      </c>
    </row>
    <row r="1024" spans="1:11">
      <c r="A1024">
        <v>1</v>
      </c>
      <c r="B1024" t="s">
        <v>8</v>
      </c>
      <c r="C1024" s="1">
        <v>43.5</v>
      </c>
      <c r="D1024" s="1" t="s">
        <v>16</v>
      </c>
      <c r="E1024" s="1">
        <v>1</v>
      </c>
      <c r="F1024" s="31">
        <v>7</v>
      </c>
      <c r="G1024" s="31">
        <v>8</v>
      </c>
      <c r="H1024" s="32">
        <v>1.0000000000000001E-5</v>
      </c>
      <c r="I1024">
        <f t="shared" si="48"/>
        <v>7.5</v>
      </c>
      <c r="J1024">
        <v>10</v>
      </c>
      <c r="K1024" s="16">
        <f t="shared" si="47"/>
        <v>75000000</v>
      </c>
    </row>
    <row r="1025" spans="1:11">
      <c r="A1025">
        <v>1</v>
      </c>
      <c r="B1025" t="s">
        <v>8</v>
      </c>
      <c r="C1025" s="1">
        <v>43.5</v>
      </c>
      <c r="D1025" s="1" t="s">
        <v>16</v>
      </c>
      <c r="E1025" s="1">
        <v>2</v>
      </c>
      <c r="F1025" s="1">
        <v>27</v>
      </c>
      <c r="G1025" s="1">
        <v>17</v>
      </c>
      <c r="H1025" s="29">
        <v>1.0000000000000001E-5</v>
      </c>
      <c r="I1025">
        <f t="shared" si="48"/>
        <v>22</v>
      </c>
      <c r="J1025">
        <v>10</v>
      </c>
      <c r="K1025" s="16">
        <f t="shared" si="47"/>
        <v>219999999.99999997</v>
      </c>
    </row>
    <row r="1026" spans="1:11">
      <c r="A1026">
        <v>1</v>
      </c>
      <c r="B1026" t="s">
        <v>8</v>
      </c>
      <c r="C1026" s="1">
        <v>43.5</v>
      </c>
      <c r="D1026" s="1" t="s">
        <v>16</v>
      </c>
      <c r="E1026" s="1">
        <v>3</v>
      </c>
      <c r="F1026" s="1">
        <v>4</v>
      </c>
      <c r="G1026" s="1">
        <v>6</v>
      </c>
      <c r="H1026" s="29">
        <v>1.0000000000000001E-5</v>
      </c>
      <c r="I1026">
        <f t="shared" si="48"/>
        <v>5</v>
      </c>
      <c r="J1026">
        <v>10</v>
      </c>
      <c r="K1026" s="16">
        <f t="shared" si="47"/>
        <v>49999999.999999993</v>
      </c>
    </row>
    <row r="1027" spans="1:11">
      <c r="A1027">
        <v>1</v>
      </c>
      <c r="B1027" t="s">
        <v>8</v>
      </c>
      <c r="C1027" s="1">
        <v>43.5</v>
      </c>
      <c r="D1027" s="1" t="s">
        <v>16</v>
      </c>
      <c r="E1027" s="1">
        <v>4</v>
      </c>
      <c r="F1027" s="1">
        <v>7</v>
      </c>
      <c r="G1027" s="1">
        <v>10</v>
      </c>
      <c r="H1027" s="29">
        <v>1E-4</v>
      </c>
      <c r="I1027">
        <f t="shared" si="48"/>
        <v>8.5</v>
      </c>
      <c r="J1027">
        <v>10</v>
      </c>
      <c r="K1027" s="16">
        <f t="shared" si="47"/>
        <v>8499999.9999999981</v>
      </c>
    </row>
    <row r="1028" spans="1:11">
      <c r="A1028">
        <v>1</v>
      </c>
      <c r="B1028" t="s">
        <v>8</v>
      </c>
      <c r="C1028" s="1">
        <v>43.5</v>
      </c>
      <c r="D1028" s="1" t="s">
        <v>16</v>
      </c>
      <c r="E1028" s="1">
        <v>5</v>
      </c>
      <c r="F1028" s="1">
        <v>2</v>
      </c>
      <c r="G1028" s="1">
        <v>3</v>
      </c>
      <c r="H1028" s="29">
        <v>1.0000000000000001E-5</v>
      </c>
      <c r="I1028">
        <f t="shared" si="48"/>
        <v>2.5</v>
      </c>
      <c r="J1028">
        <v>10</v>
      </c>
      <c r="K1028" s="16">
        <f t="shared" si="47"/>
        <v>24999999.999999996</v>
      </c>
    </row>
    <row r="1029" spans="1:11">
      <c r="A1029">
        <v>1</v>
      </c>
      <c r="B1029" t="s">
        <v>8</v>
      </c>
      <c r="C1029" s="1">
        <v>43.5</v>
      </c>
      <c r="D1029" s="1" t="s">
        <v>16</v>
      </c>
      <c r="E1029" s="1">
        <v>6</v>
      </c>
      <c r="F1029" s="1">
        <v>2</v>
      </c>
      <c r="G1029" s="1">
        <v>1</v>
      </c>
      <c r="H1029" s="29">
        <v>1.0000000000000001E-5</v>
      </c>
      <c r="I1029">
        <f t="shared" ref="I1029:I1058" si="49">AVERAGE(F1029:G1029)</f>
        <v>1.5</v>
      </c>
      <c r="J1029">
        <v>10</v>
      </c>
      <c r="K1029" s="16">
        <f t="shared" si="47"/>
        <v>14999999.999999998</v>
      </c>
    </row>
    <row r="1030" spans="1:11">
      <c r="A1030">
        <v>1</v>
      </c>
      <c r="B1030" t="s">
        <v>8</v>
      </c>
      <c r="C1030" s="1">
        <v>43.5</v>
      </c>
      <c r="D1030" s="1" t="s">
        <v>16</v>
      </c>
      <c r="E1030" s="1">
        <v>7</v>
      </c>
      <c r="F1030" s="1">
        <v>9</v>
      </c>
      <c r="G1030" s="1">
        <v>3</v>
      </c>
      <c r="H1030" s="29">
        <v>1E-4</v>
      </c>
      <c r="I1030">
        <f t="shared" si="49"/>
        <v>6</v>
      </c>
      <c r="J1030">
        <v>10</v>
      </c>
      <c r="K1030" s="16">
        <f t="shared" si="47"/>
        <v>5999999.9999999991</v>
      </c>
    </row>
    <row r="1031" spans="1:11">
      <c r="A1031">
        <v>1</v>
      </c>
      <c r="B1031" t="s">
        <v>8</v>
      </c>
      <c r="C1031" s="1">
        <v>43.5</v>
      </c>
      <c r="D1031" s="1" t="s">
        <v>16</v>
      </c>
      <c r="E1031" s="1">
        <v>8</v>
      </c>
      <c r="F1031" s="1">
        <v>8</v>
      </c>
      <c r="G1031" s="1">
        <v>8</v>
      </c>
      <c r="H1031" s="29">
        <v>1E-4</v>
      </c>
      <c r="I1031">
        <f t="shared" si="49"/>
        <v>8</v>
      </c>
      <c r="J1031">
        <v>10</v>
      </c>
      <c r="K1031" s="16">
        <f t="shared" si="47"/>
        <v>7999999.9999999991</v>
      </c>
    </row>
    <row r="1032" spans="1:11">
      <c r="A1032">
        <v>1</v>
      </c>
      <c r="B1032" t="s">
        <v>8</v>
      </c>
      <c r="C1032" s="1">
        <v>43.5</v>
      </c>
      <c r="D1032" s="1" t="s">
        <v>16</v>
      </c>
      <c r="E1032" s="1">
        <v>9</v>
      </c>
      <c r="F1032" s="1">
        <v>3</v>
      </c>
      <c r="G1032" s="1">
        <v>8</v>
      </c>
      <c r="H1032" s="29">
        <v>1.0000000000000001E-5</v>
      </c>
      <c r="I1032">
        <f t="shared" si="49"/>
        <v>5.5</v>
      </c>
      <c r="J1032">
        <v>10</v>
      </c>
      <c r="K1032" s="16">
        <f t="shared" si="47"/>
        <v>54999999.999999993</v>
      </c>
    </row>
    <row r="1033" spans="1:11">
      <c r="A1033">
        <v>1</v>
      </c>
      <c r="B1033" t="s">
        <v>8</v>
      </c>
      <c r="C1033" s="1">
        <v>43.5</v>
      </c>
      <c r="D1033" s="1" t="s">
        <v>16</v>
      </c>
      <c r="E1033" s="1">
        <v>10</v>
      </c>
      <c r="F1033" s="1">
        <v>4</v>
      </c>
      <c r="G1033" s="1">
        <v>10</v>
      </c>
      <c r="H1033" s="29">
        <v>1.0000000000000001E-5</v>
      </c>
      <c r="I1033">
        <f t="shared" si="49"/>
        <v>7</v>
      </c>
      <c r="J1033">
        <v>10</v>
      </c>
      <c r="K1033" s="16">
        <f t="shared" si="47"/>
        <v>70000000</v>
      </c>
    </row>
    <row r="1034" spans="1:11">
      <c r="A1034">
        <v>1</v>
      </c>
      <c r="B1034" t="s">
        <v>8</v>
      </c>
      <c r="C1034" s="1">
        <v>44</v>
      </c>
      <c r="D1034" s="1" t="s">
        <v>16</v>
      </c>
      <c r="E1034" s="1" t="s">
        <v>19</v>
      </c>
      <c r="F1034" s="1">
        <v>7</v>
      </c>
      <c r="G1034" s="1">
        <v>4</v>
      </c>
      <c r="H1034" s="29">
        <v>9.9999999999999995E-7</v>
      </c>
      <c r="I1034">
        <f t="shared" si="49"/>
        <v>5.5</v>
      </c>
      <c r="J1034">
        <v>10</v>
      </c>
      <c r="K1034" s="16">
        <f t="shared" si="47"/>
        <v>550000000</v>
      </c>
    </row>
    <row r="1035" spans="1:11">
      <c r="A1035">
        <v>1</v>
      </c>
      <c r="B1035" t="s">
        <v>8</v>
      </c>
      <c r="C1035" s="1">
        <v>44</v>
      </c>
      <c r="D1035" s="1" t="s">
        <v>16</v>
      </c>
      <c r="E1035" s="1" t="s">
        <v>20</v>
      </c>
      <c r="F1035" s="1">
        <v>7</v>
      </c>
      <c r="G1035" s="1">
        <v>3</v>
      </c>
      <c r="H1035" s="29">
        <v>9.9999999999999995E-7</v>
      </c>
      <c r="I1035">
        <f t="shared" si="49"/>
        <v>5</v>
      </c>
      <c r="J1035">
        <v>10</v>
      </c>
      <c r="K1035" s="16">
        <f t="shared" si="47"/>
        <v>500000000</v>
      </c>
    </row>
    <row r="1036" spans="1:11">
      <c r="A1036">
        <v>1</v>
      </c>
      <c r="B1036" t="s">
        <v>8</v>
      </c>
      <c r="C1036" s="1">
        <v>44</v>
      </c>
      <c r="D1036" s="1" t="s">
        <v>16</v>
      </c>
      <c r="E1036" s="1" t="s">
        <v>21</v>
      </c>
      <c r="F1036" s="1">
        <v>4</v>
      </c>
      <c r="G1036" s="1">
        <v>8</v>
      </c>
      <c r="H1036" s="29">
        <v>9.9999999999999995E-7</v>
      </c>
      <c r="I1036">
        <f t="shared" si="49"/>
        <v>6</v>
      </c>
      <c r="J1036">
        <v>10</v>
      </c>
      <c r="K1036" s="16">
        <f t="shared" si="47"/>
        <v>600000000</v>
      </c>
    </row>
    <row r="1037" spans="1:11">
      <c r="A1037">
        <v>1</v>
      </c>
      <c r="B1037" t="s">
        <v>8</v>
      </c>
      <c r="C1037" s="1">
        <v>44</v>
      </c>
      <c r="D1037" s="1" t="s">
        <v>16</v>
      </c>
      <c r="E1037" s="1" t="s">
        <v>22</v>
      </c>
      <c r="F1037" s="1">
        <v>4</v>
      </c>
      <c r="G1037" s="1">
        <v>5</v>
      </c>
      <c r="H1037" s="29">
        <v>9.9999999999999995E-7</v>
      </c>
      <c r="I1037">
        <f t="shared" si="49"/>
        <v>4.5</v>
      </c>
      <c r="J1037">
        <v>10</v>
      </c>
      <c r="K1037" s="16">
        <f t="shared" si="47"/>
        <v>450000000</v>
      </c>
    </row>
    <row r="1038" spans="1:11">
      <c r="A1038">
        <v>1</v>
      </c>
      <c r="B1038" t="s">
        <v>8</v>
      </c>
      <c r="C1038" s="1">
        <v>44</v>
      </c>
      <c r="D1038" s="1" t="s">
        <v>16</v>
      </c>
      <c r="E1038" s="1">
        <v>1</v>
      </c>
      <c r="F1038" s="1">
        <v>9</v>
      </c>
      <c r="G1038" s="1">
        <v>1</v>
      </c>
      <c r="H1038" s="29">
        <v>9.9999999999999995E-7</v>
      </c>
      <c r="I1038">
        <f t="shared" si="49"/>
        <v>5</v>
      </c>
      <c r="J1038">
        <v>10</v>
      </c>
      <c r="K1038" s="16">
        <f t="shared" si="47"/>
        <v>500000000</v>
      </c>
    </row>
    <row r="1039" spans="1:11">
      <c r="A1039">
        <v>1</v>
      </c>
      <c r="B1039" t="s">
        <v>8</v>
      </c>
      <c r="C1039" s="1">
        <v>44</v>
      </c>
      <c r="D1039" s="1" t="s">
        <v>16</v>
      </c>
      <c r="E1039" s="1">
        <v>2</v>
      </c>
      <c r="F1039" s="1">
        <v>7</v>
      </c>
      <c r="G1039" s="1">
        <v>7</v>
      </c>
      <c r="H1039" s="29">
        <v>9.9999999999999995E-7</v>
      </c>
      <c r="I1039">
        <f t="shared" si="49"/>
        <v>7</v>
      </c>
      <c r="J1039">
        <v>10</v>
      </c>
      <c r="K1039" s="16">
        <f t="shared" si="47"/>
        <v>700000000</v>
      </c>
    </row>
    <row r="1040" spans="1:11">
      <c r="A1040">
        <v>1</v>
      </c>
      <c r="B1040" t="s">
        <v>8</v>
      </c>
      <c r="C1040" s="1">
        <v>44</v>
      </c>
      <c r="D1040" s="1" t="s">
        <v>16</v>
      </c>
      <c r="E1040" s="1">
        <v>3</v>
      </c>
      <c r="F1040" s="1">
        <v>5</v>
      </c>
      <c r="G1040" s="1">
        <v>2</v>
      </c>
      <c r="H1040" s="29">
        <v>9.9999999999999995E-7</v>
      </c>
      <c r="I1040">
        <f t="shared" si="49"/>
        <v>3.5</v>
      </c>
      <c r="J1040">
        <v>10</v>
      </c>
      <c r="K1040" s="16">
        <f t="shared" si="47"/>
        <v>350000000</v>
      </c>
    </row>
    <row r="1041" spans="1:11">
      <c r="A1041">
        <v>1</v>
      </c>
      <c r="B1041" t="s">
        <v>8</v>
      </c>
      <c r="C1041" s="1">
        <v>44</v>
      </c>
      <c r="D1041" s="1" t="s">
        <v>16</v>
      </c>
      <c r="E1041" s="1">
        <v>4</v>
      </c>
      <c r="F1041" s="1">
        <v>9</v>
      </c>
      <c r="G1041" s="1">
        <v>3</v>
      </c>
      <c r="H1041" s="29">
        <v>9.9999999999999995E-7</v>
      </c>
      <c r="I1041">
        <f t="shared" si="49"/>
        <v>6</v>
      </c>
      <c r="J1041">
        <v>10</v>
      </c>
      <c r="K1041" s="16">
        <f t="shared" si="47"/>
        <v>600000000</v>
      </c>
    </row>
    <row r="1042" spans="1:11">
      <c r="A1042">
        <v>1</v>
      </c>
      <c r="B1042" t="s">
        <v>8</v>
      </c>
      <c r="C1042" s="1">
        <v>44</v>
      </c>
      <c r="D1042" s="1" t="s">
        <v>16</v>
      </c>
      <c r="E1042" s="1">
        <v>5</v>
      </c>
      <c r="F1042" s="1">
        <v>5</v>
      </c>
      <c r="G1042" s="1">
        <v>3</v>
      </c>
      <c r="H1042" s="29">
        <v>9.9999999999999995E-7</v>
      </c>
      <c r="I1042">
        <f t="shared" si="49"/>
        <v>4</v>
      </c>
      <c r="J1042">
        <v>10</v>
      </c>
      <c r="K1042" s="16">
        <f t="shared" si="47"/>
        <v>400000000</v>
      </c>
    </row>
    <row r="1043" spans="1:11">
      <c r="A1043">
        <v>1</v>
      </c>
      <c r="B1043" t="s">
        <v>8</v>
      </c>
      <c r="C1043" s="1">
        <v>44</v>
      </c>
      <c r="D1043" s="1" t="s">
        <v>16</v>
      </c>
      <c r="E1043" s="1">
        <v>6</v>
      </c>
      <c r="F1043" s="1">
        <v>4</v>
      </c>
      <c r="G1043" s="1">
        <v>4</v>
      </c>
      <c r="H1043" s="29">
        <v>9.9999999999999995E-7</v>
      </c>
      <c r="I1043">
        <f t="shared" si="49"/>
        <v>4</v>
      </c>
      <c r="J1043">
        <v>10</v>
      </c>
      <c r="K1043" s="16">
        <f t="shared" ref="K1043:K1106" si="50">I1043/(H1043*(J1043/1000))</f>
        <v>400000000</v>
      </c>
    </row>
    <row r="1044" spans="1:11">
      <c r="A1044">
        <v>1</v>
      </c>
      <c r="B1044" t="s">
        <v>8</v>
      </c>
      <c r="C1044" s="1">
        <v>44</v>
      </c>
      <c r="D1044" s="1" t="s">
        <v>16</v>
      </c>
      <c r="E1044" s="1">
        <v>7</v>
      </c>
      <c r="F1044" s="1">
        <v>4</v>
      </c>
      <c r="G1044" s="1">
        <v>2</v>
      </c>
      <c r="H1044" s="29">
        <v>9.9999999999999995E-7</v>
      </c>
      <c r="I1044">
        <f t="shared" si="49"/>
        <v>3</v>
      </c>
      <c r="J1044">
        <v>10</v>
      </c>
      <c r="K1044" s="16">
        <f t="shared" si="50"/>
        <v>300000000</v>
      </c>
    </row>
    <row r="1045" spans="1:11">
      <c r="A1045">
        <v>1</v>
      </c>
      <c r="B1045" t="s">
        <v>8</v>
      </c>
      <c r="C1045" s="1">
        <v>44</v>
      </c>
      <c r="D1045" s="1" t="s">
        <v>16</v>
      </c>
      <c r="E1045" s="1">
        <v>8</v>
      </c>
      <c r="F1045" s="1">
        <v>7</v>
      </c>
      <c r="G1045" s="1">
        <v>6</v>
      </c>
      <c r="H1045" s="29">
        <v>9.9999999999999995E-7</v>
      </c>
      <c r="I1045">
        <f t="shared" si="49"/>
        <v>6.5</v>
      </c>
      <c r="J1045">
        <v>10</v>
      </c>
      <c r="K1045" s="16">
        <f t="shared" si="50"/>
        <v>650000000</v>
      </c>
    </row>
    <row r="1046" spans="1:11">
      <c r="A1046">
        <v>1</v>
      </c>
      <c r="B1046" t="s">
        <v>8</v>
      </c>
      <c r="C1046" s="1">
        <v>44</v>
      </c>
      <c r="D1046" s="1" t="s">
        <v>16</v>
      </c>
      <c r="E1046" s="1">
        <v>9</v>
      </c>
      <c r="F1046" s="1">
        <v>19</v>
      </c>
      <c r="G1046" s="1">
        <v>17</v>
      </c>
      <c r="H1046" s="29">
        <v>1.0000000000000001E-5</v>
      </c>
      <c r="I1046">
        <f t="shared" si="49"/>
        <v>18</v>
      </c>
      <c r="J1046">
        <v>10</v>
      </c>
      <c r="K1046" s="16">
        <f t="shared" si="50"/>
        <v>179999999.99999997</v>
      </c>
    </row>
    <row r="1047" spans="1:11">
      <c r="A1047">
        <v>1</v>
      </c>
      <c r="B1047" t="s">
        <v>8</v>
      </c>
      <c r="C1047" s="1">
        <v>44</v>
      </c>
      <c r="D1047" s="1" t="s">
        <v>16</v>
      </c>
      <c r="E1047" s="1">
        <v>10</v>
      </c>
      <c r="F1047" s="1">
        <v>3</v>
      </c>
      <c r="G1047" s="1">
        <v>3</v>
      </c>
      <c r="H1047" s="29">
        <v>9.9999999999999995E-7</v>
      </c>
      <c r="I1047">
        <f t="shared" si="49"/>
        <v>3</v>
      </c>
      <c r="J1047">
        <v>10</v>
      </c>
      <c r="K1047" s="16">
        <f t="shared" si="50"/>
        <v>300000000</v>
      </c>
    </row>
    <row r="1048" spans="1:11">
      <c r="A1048">
        <v>1</v>
      </c>
      <c r="B1048" t="s">
        <v>8</v>
      </c>
      <c r="C1048" s="1">
        <v>44.5</v>
      </c>
      <c r="D1048" s="1" t="s">
        <v>16</v>
      </c>
      <c r="E1048" s="1">
        <v>1</v>
      </c>
      <c r="F1048" s="31">
        <v>3</v>
      </c>
      <c r="G1048" s="31">
        <v>4</v>
      </c>
      <c r="H1048" s="32">
        <v>1.0000000000000001E-5</v>
      </c>
      <c r="I1048">
        <f t="shared" si="49"/>
        <v>3.5</v>
      </c>
      <c r="J1048">
        <v>10</v>
      </c>
      <c r="K1048" s="16">
        <f t="shared" si="50"/>
        <v>35000000</v>
      </c>
    </row>
    <row r="1049" spans="1:11">
      <c r="A1049">
        <v>1</v>
      </c>
      <c r="B1049" t="s">
        <v>8</v>
      </c>
      <c r="C1049" s="1">
        <v>44.5</v>
      </c>
      <c r="D1049" s="1" t="s">
        <v>16</v>
      </c>
      <c r="E1049" s="1">
        <v>2</v>
      </c>
      <c r="F1049" s="1">
        <v>23</v>
      </c>
      <c r="G1049" s="1">
        <v>28</v>
      </c>
      <c r="H1049" s="29">
        <v>1.0000000000000001E-5</v>
      </c>
      <c r="I1049">
        <f t="shared" si="49"/>
        <v>25.5</v>
      </c>
      <c r="J1049">
        <v>10</v>
      </c>
      <c r="K1049" s="16">
        <f t="shared" si="50"/>
        <v>254999999.99999997</v>
      </c>
    </row>
    <row r="1050" spans="1:11">
      <c r="A1050">
        <v>1</v>
      </c>
      <c r="B1050" t="s">
        <v>8</v>
      </c>
      <c r="C1050" s="1">
        <v>44.5</v>
      </c>
      <c r="D1050" s="1" t="s">
        <v>16</v>
      </c>
      <c r="E1050" s="1">
        <v>3</v>
      </c>
      <c r="F1050" s="1">
        <v>11</v>
      </c>
      <c r="G1050" s="1">
        <v>18</v>
      </c>
      <c r="H1050" s="29">
        <v>1E-4</v>
      </c>
      <c r="I1050">
        <f t="shared" si="49"/>
        <v>14.5</v>
      </c>
      <c r="J1050">
        <v>10</v>
      </c>
      <c r="K1050" s="16">
        <f t="shared" si="50"/>
        <v>14499999.999999998</v>
      </c>
    </row>
    <row r="1051" spans="1:11">
      <c r="A1051">
        <v>1</v>
      </c>
      <c r="B1051" t="s">
        <v>8</v>
      </c>
      <c r="C1051" s="1">
        <v>44.5</v>
      </c>
      <c r="D1051" s="1" t="s">
        <v>16</v>
      </c>
      <c r="E1051" s="1">
        <v>4</v>
      </c>
      <c r="F1051" s="1">
        <v>9</v>
      </c>
      <c r="G1051" s="1">
        <v>18</v>
      </c>
      <c r="H1051" s="29">
        <v>1E-4</v>
      </c>
      <c r="I1051">
        <f t="shared" si="49"/>
        <v>13.5</v>
      </c>
      <c r="J1051">
        <v>10</v>
      </c>
      <c r="K1051" s="16">
        <f t="shared" si="50"/>
        <v>13499999.999999998</v>
      </c>
    </row>
    <row r="1052" spans="1:11">
      <c r="A1052">
        <v>1</v>
      </c>
      <c r="B1052" t="s">
        <v>8</v>
      </c>
      <c r="C1052" s="1">
        <v>44.5</v>
      </c>
      <c r="D1052" s="1" t="s">
        <v>16</v>
      </c>
      <c r="E1052" s="1">
        <v>5</v>
      </c>
      <c r="F1052" s="1">
        <v>6</v>
      </c>
      <c r="G1052" s="1">
        <v>7</v>
      </c>
      <c r="H1052" s="29">
        <v>1E-3</v>
      </c>
      <c r="I1052">
        <f t="shared" si="49"/>
        <v>6.5</v>
      </c>
      <c r="J1052">
        <v>10</v>
      </c>
      <c r="K1052" s="16">
        <f t="shared" si="50"/>
        <v>650000</v>
      </c>
    </row>
    <row r="1053" spans="1:11">
      <c r="A1053">
        <v>1</v>
      </c>
      <c r="B1053" t="s">
        <v>8</v>
      </c>
      <c r="C1053" s="1">
        <v>44.5</v>
      </c>
      <c r="D1053" s="1" t="s">
        <v>16</v>
      </c>
      <c r="E1053" s="1">
        <v>6</v>
      </c>
      <c r="F1053" s="1">
        <v>8</v>
      </c>
      <c r="G1053" s="1">
        <v>5</v>
      </c>
      <c r="H1053" s="29">
        <v>1E-4</v>
      </c>
      <c r="I1053">
        <f t="shared" si="49"/>
        <v>6.5</v>
      </c>
      <c r="J1053">
        <v>10</v>
      </c>
      <c r="K1053" s="16">
        <f t="shared" si="50"/>
        <v>6499999.9999999991</v>
      </c>
    </row>
    <row r="1054" spans="1:11">
      <c r="A1054">
        <v>1</v>
      </c>
      <c r="B1054" t="s">
        <v>8</v>
      </c>
      <c r="C1054" s="1">
        <v>44.5</v>
      </c>
      <c r="D1054" s="1" t="s">
        <v>16</v>
      </c>
      <c r="E1054" s="1">
        <v>7</v>
      </c>
      <c r="F1054" s="1">
        <v>2</v>
      </c>
      <c r="G1054" s="1">
        <v>6</v>
      </c>
      <c r="H1054" s="29">
        <v>1E-4</v>
      </c>
      <c r="I1054">
        <f t="shared" si="49"/>
        <v>4</v>
      </c>
      <c r="J1054">
        <v>10</v>
      </c>
      <c r="K1054" s="16">
        <f t="shared" si="50"/>
        <v>3999999.9999999995</v>
      </c>
    </row>
    <row r="1055" spans="1:11">
      <c r="A1055">
        <v>1</v>
      </c>
      <c r="B1055" t="s">
        <v>8</v>
      </c>
      <c r="C1055" s="1">
        <v>44.5</v>
      </c>
      <c r="D1055" s="1" t="s">
        <v>16</v>
      </c>
      <c r="E1055" s="1">
        <v>8</v>
      </c>
      <c r="F1055" s="1">
        <v>7</v>
      </c>
      <c r="G1055" s="1">
        <v>9</v>
      </c>
      <c r="H1055" s="29">
        <v>1E-4</v>
      </c>
      <c r="I1055">
        <f t="shared" si="49"/>
        <v>8</v>
      </c>
      <c r="J1055">
        <v>10</v>
      </c>
      <c r="K1055" s="16">
        <f t="shared" si="50"/>
        <v>7999999.9999999991</v>
      </c>
    </row>
    <row r="1056" spans="1:11">
      <c r="A1056">
        <v>1</v>
      </c>
      <c r="B1056" t="s">
        <v>8</v>
      </c>
      <c r="C1056" s="1">
        <v>44.5</v>
      </c>
      <c r="D1056" s="1" t="s">
        <v>16</v>
      </c>
      <c r="E1056" s="1">
        <v>9</v>
      </c>
      <c r="F1056" s="1">
        <v>5</v>
      </c>
      <c r="G1056" s="1">
        <v>4</v>
      </c>
      <c r="H1056" s="29">
        <v>1.0000000000000001E-5</v>
      </c>
      <c r="I1056">
        <f t="shared" si="49"/>
        <v>4.5</v>
      </c>
      <c r="J1056">
        <v>10</v>
      </c>
      <c r="K1056" s="16">
        <f t="shared" si="50"/>
        <v>44999999.999999993</v>
      </c>
    </row>
    <row r="1057" spans="1:11">
      <c r="A1057">
        <v>1</v>
      </c>
      <c r="B1057" t="s">
        <v>8</v>
      </c>
      <c r="C1057" s="1">
        <v>44.5</v>
      </c>
      <c r="D1057" s="1" t="s">
        <v>16</v>
      </c>
      <c r="E1057" s="1">
        <v>10</v>
      </c>
      <c r="F1057" s="1">
        <v>9</v>
      </c>
      <c r="G1057" s="1">
        <v>9</v>
      </c>
      <c r="H1057" s="29">
        <v>1.0000000000000001E-5</v>
      </c>
      <c r="I1057">
        <f t="shared" si="49"/>
        <v>9</v>
      </c>
      <c r="J1057">
        <v>10</v>
      </c>
      <c r="K1057" s="16">
        <f t="shared" si="50"/>
        <v>89999999.999999985</v>
      </c>
    </row>
    <row r="1058" spans="1:11">
      <c r="A1058">
        <v>1</v>
      </c>
      <c r="B1058" t="s">
        <v>8</v>
      </c>
      <c r="C1058" s="1">
        <v>45</v>
      </c>
      <c r="D1058" s="1" t="s">
        <v>16</v>
      </c>
      <c r="E1058" s="1" t="s">
        <v>19</v>
      </c>
      <c r="F1058" s="1">
        <v>7</v>
      </c>
      <c r="G1058" s="1">
        <v>3</v>
      </c>
      <c r="H1058" s="29">
        <v>9.9999999999999995E-7</v>
      </c>
      <c r="I1058">
        <f t="shared" si="49"/>
        <v>5</v>
      </c>
      <c r="J1058">
        <v>10</v>
      </c>
      <c r="K1058" s="16">
        <f t="shared" si="50"/>
        <v>500000000</v>
      </c>
    </row>
    <row r="1059" spans="1:11">
      <c r="A1059">
        <v>1</v>
      </c>
      <c r="B1059" t="s">
        <v>8</v>
      </c>
      <c r="C1059" s="1">
        <v>45</v>
      </c>
      <c r="D1059" s="1" t="s">
        <v>16</v>
      </c>
      <c r="E1059" s="1" t="s">
        <v>20</v>
      </c>
      <c r="F1059" s="1">
        <v>10</v>
      </c>
      <c r="G1059" s="1">
        <v>8</v>
      </c>
      <c r="H1059" s="29">
        <v>9.9999999999999995E-7</v>
      </c>
      <c r="I1059">
        <f t="shared" ref="I1059:I1095" si="51">AVERAGE(F1059:G1059)</f>
        <v>9</v>
      </c>
      <c r="J1059">
        <v>10</v>
      </c>
      <c r="K1059" s="16">
        <f t="shared" si="50"/>
        <v>900000000</v>
      </c>
    </row>
    <row r="1060" spans="1:11">
      <c r="A1060">
        <v>1</v>
      </c>
      <c r="B1060" t="s">
        <v>8</v>
      </c>
      <c r="C1060" s="1">
        <v>45</v>
      </c>
      <c r="D1060" s="1" t="s">
        <v>16</v>
      </c>
      <c r="E1060" s="1" t="s">
        <v>21</v>
      </c>
      <c r="F1060" s="1">
        <v>12</v>
      </c>
      <c r="G1060" s="1">
        <v>17</v>
      </c>
      <c r="H1060" s="29">
        <v>9.9999999999999995E-7</v>
      </c>
      <c r="I1060">
        <f t="shared" si="51"/>
        <v>14.5</v>
      </c>
      <c r="J1060">
        <v>10</v>
      </c>
      <c r="K1060" s="16">
        <f t="shared" si="50"/>
        <v>1450000000</v>
      </c>
    </row>
    <row r="1061" spans="1:11">
      <c r="A1061">
        <v>1</v>
      </c>
      <c r="B1061" t="s">
        <v>8</v>
      </c>
      <c r="C1061" s="1">
        <v>45</v>
      </c>
      <c r="D1061" s="1" t="s">
        <v>16</v>
      </c>
      <c r="E1061" s="1" t="s">
        <v>22</v>
      </c>
      <c r="F1061" s="1">
        <v>12</v>
      </c>
      <c r="G1061" s="1">
        <v>10</v>
      </c>
      <c r="H1061" s="29">
        <v>9.9999999999999995E-7</v>
      </c>
      <c r="I1061">
        <f t="shared" si="51"/>
        <v>11</v>
      </c>
      <c r="J1061">
        <v>10</v>
      </c>
      <c r="K1061" s="16">
        <f t="shared" si="50"/>
        <v>1100000000</v>
      </c>
    </row>
    <row r="1062" spans="1:11">
      <c r="A1062">
        <v>1</v>
      </c>
      <c r="B1062" t="s">
        <v>8</v>
      </c>
      <c r="C1062" s="1">
        <v>45</v>
      </c>
      <c r="D1062" s="1" t="s">
        <v>16</v>
      </c>
      <c r="E1062" s="1">
        <v>1</v>
      </c>
      <c r="F1062" s="1">
        <v>32</v>
      </c>
      <c r="G1062" s="30">
        <v>30</v>
      </c>
      <c r="H1062" s="29">
        <v>1.0000000000000001E-5</v>
      </c>
      <c r="I1062">
        <f t="shared" si="51"/>
        <v>31</v>
      </c>
      <c r="J1062">
        <v>10</v>
      </c>
      <c r="K1062" s="16">
        <f t="shared" si="50"/>
        <v>310000000</v>
      </c>
    </row>
    <row r="1063" spans="1:11">
      <c r="A1063">
        <v>1</v>
      </c>
      <c r="B1063" t="s">
        <v>8</v>
      </c>
      <c r="C1063" s="1">
        <v>45</v>
      </c>
      <c r="D1063" s="1" t="s">
        <v>16</v>
      </c>
      <c r="E1063" s="1">
        <v>2</v>
      </c>
      <c r="F1063" s="1">
        <v>4</v>
      </c>
      <c r="G1063" s="1">
        <v>5</v>
      </c>
      <c r="H1063" s="29">
        <v>9.9999999999999995E-7</v>
      </c>
      <c r="I1063">
        <f t="shared" si="51"/>
        <v>4.5</v>
      </c>
      <c r="J1063">
        <v>10</v>
      </c>
      <c r="K1063" s="16">
        <f t="shared" si="50"/>
        <v>450000000</v>
      </c>
    </row>
    <row r="1064" spans="1:11">
      <c r="A1064">
        <v>1</v>
      </c>
      <c r="B1064" t="s">
        <v>8</v>
      </c>
      <c r="C1064" s="1">
        <v>45</v>
      </c>
      <c r="D1064" s="1" t="s">
        <v>16</v>
      </c>
      <c r="E1064" s="1">
        <v>3</v>
      </c>
      <c r="F1064" s="1">
        <v>6</v>
      </c>
      <c r="G1064" s="1">
        <v>7</v>
      </c>
      <c r="H1064" s="29">
        <v>9.9999999999999995E-7</v>
      </c>
      <c r="I1064">
        <f t="shared" si="51"/>
        <v>6.5</v>
      </c>
      <c r="J1064">
        <v>10</v>
      </c>
      <c r="K1064" s="16">
        <f t="shared" si="50"/>
        <v>650000000</v>
      </c>
    </row>
    <row r="1065" spans="1:11">
      <c r="A1065">
        <v>1</v>
      </c>
      <c r="B1065" t="s">
        <v>8</v>
      </c>
      <c r="C1065" s="1">
        <v>45</v>
      </c>
      <c r="D1065" s="1" t="s">
        <v>16</v>
      </c>
      <c r="E1065" s="1">
        <v>4</v>
      </c>
      <c r="F1065" s="1">
        <v>2</v>
      </c>
      <c r="G1065" s="1">
        <v>3</v>
      </c>
      <c r="H1065" s="29">
        <v>9.9999999999999995E-7</v>
      </c>
      <c r="I1065">
        <f t="shared" si="51"/>
        <v>2.5</v>
      </c>
      <c r="J1065">
        <v>10</v>
      </c>
      <c r="K1065" s="16">
        <f t="shared" si="50"/>
        <v>250000000</v>
      </c>
    </row>
    <row r="1066" spans="1:11">
      <c r="A1066">
        <v>1</v>
      </c>
      <c r="B1066" t="s">
        <v>8</v>
      </c>
      <c r="C1066" s="1">
        <v>45</v>
      </c>
      <c r="D1066" s="1" t="s">
        <v>16</v>
      </c>
      <c r="E1066" s="1">
        <v>5</v>
      </c>
      <c r="F1066" s="1">
        <v>4</v>
      </c>
      <c r="G1066" s="1">
        <v>3</v>
      </c>
      <c r="H1066" s="29">
        <v>9.9999999999999995E-7</v>
      </c>
      <c r="I1066">
        <f t="shared" si="51"/>
        <v>3.5</v>
      </c>
      <c r="J1066">
        <v>10</v>
      </c>
      <c r="K1066" s="16">
        <f t="shared" si="50"/>
        <v>350000000</v>
      </c>
    </row>
    <row r="1067" spans="1:11">
      <c r="A1067">
        <v>1</v>
      </c>
      <c r="B1067" t="s">
        <v>8</v>
      </c>
      <c r="C1067" s="1">
        <v>45</v>
      </c>
      <c r="D1067" s="1" t="s">
        <v>16</v>
      </c>
      <c r="E1067" s="1">
        <v>6</v>
      </c>
      <c r="F1067" s="1">
        <v>3</v>
      </c>
      <c r="G1067" s="1">
        <v>6</v>
      </c>
      <c r="H1067" s="29">
        <v>9.9999999999999995E-7</v>
      </c>
      <c r="I1067">
        <f t="shared" si="51"/>
        <v>4.5</v>
      </c>
      <c r="J1067">
        <v>10</v>
      </c>
      <c r="K1067" s="16">
        <f t="shared" si="50"/>
        <v>450000000</v>
      </c>
    </row>
    <row r="1068" spans="1:11">
      <c r="A1068">
        <v>1</v>
      </c>
      <c r="B1068" t="s">
        <v>8</v>
      </c>
      <c r="C1068" s="1">
        <v>45</v>
      </c>
      <c r="D1068" s="1" t="s">
        <v>16</v>
      </c>
      <c r="E1068" s="1">
        <v>7</v>
      </c>
      <c r="F1068" s="1">
        <v>10</v>
      </c>
      <c r="G1068" s="1">
        <v>9</v>
      </c>
      <c r="H1068" s="29">
        <v>9.9999999999999995E-7</v>
      </c>
      <c r="I1068">
        <f t="shared" si="51"/>
        <v>9.5</v>
      </c>
      <c r="J1068">
        <v>10</v>
      </c>
      <c r="K1068" s="16">
        <f t="shared" si="50"/>
        <v>950000000</v>
      </c>
    </row>
    <row r="1069" spans="1:11">
      <c r="A1069">
        <v>1</v>
      </c>
      <c r="B1069" t="s">
        <v>8</v>
      </c>
      <c r="C1069" s="1">
        <v>45</v>
      </c>
      <c r="D1069" s="1" t="s">
        <v>16</v>
      </c>
      <c r="E1069" s="1">
        <v>8</v>
      </c>
      <c r="F1069" s="1">
        <v>6</v>
      </c>
      <c r="G1069" s="1">
        <v>1</v>
      </c>
      <c r="H1069" s="29">
        <v>9.9999999999999995E-7</v>
      </c>
      <c r="I1069">
        <f t="shared" si="51"/>
        <v>3.5</v>
      </c>
      <c r="J1069">
        <v>10</v>
      </c>
      <c r="K1069" s="16">
        <f t="shared" si="50"/>
        <v>350000000</v>
      </c>
    </row>
    <row r="1070" spans="1:11">
      <c r="A1070">
        <v>1</v>
      </c>
      <c r="B1070" t="s">
        <v>8</v>
      </c>
      <c r="C1070" s="1">
        <v>45</v>
      </c>
      <c r="D1070" s="1" t="s">
        <v>16</v>
      </c>
      <c r="E1070" s="1">
        <v>9</v>
      </c>
      <c r="F1070" s="1">
        <v>25</v>
      </c>
      <c r="G1070" s="1">
        <v>18</v>
      </c>
      <c r="H1070" s="29">
        <v>1.0000000000000001E-5</v>
      </c>
      <c r="I1070">
        <f t="shared" si="51"/>
        <v>21.5</v>
      </c>
      <c r="J1070">
        <v>10</v>
      </c>
      <c r="K1070" s="16">
        <f t="shared" si="50"/>
        <v>214999999.99999997</v>
      </c>
    </row>
    <row r="1071" spans="1:11">
      <c r="A1071">
        <v>1</v>
      </c>
      <c r="B1071" t="s">
        <v>8</v>
      </c>
      <c r="C1071" s="1">
        <v>45</v>
      </c>
      <c r="D1071" s="1" t="s">
        <v>16</v>
      </c>
      <c r="E1071" s="1">
        <v>10</v>
      </c>
      <c r="F1071" s="1">
        <v>31</v>
      </c>
      <c r="G1071" s="1">
        <v>30</v>
      </c>
      <c r="H1071" s="29">
        <v>1.0000000000000001E-5</v>
      </c>
      <c r="I1071">
        <f t="shared" si="51"/>
        <v>30.5</v>
      </c>
      <c r="J1071">
        <v>10</v>
      </c>
      <c r="K1071" s="16">
        <f t="shared" si="50"/>
        <v>305000000</v>
      </c>
    </row>
    <row r="1072" spans="1:11">
      <c r="A1072">
        <v>1</v>
      </c>
      <c r="B1072" t="s">
        <v>8</v>
      </c>
      <c r="C1072" s="1">
        <v>45.5</v>
      </c>
      <c r="D1072" s="1" t="s">
        <v>16</v>
      </c>
      <c r="E1072" s="1">
        <v>1</v>
      </c>
      <c r="F1072" s="31">
        <v>5</v>
      </c>
      <c r="G1072" s="31">
        <v>8</v>
      </c>
      <c r="H1072" s="32">
        <v>1.0000000000000001E-5</v>
      </c>
      <c r="I1072">
        <f t="shared" si="51"/>
        <v>6.5</v>
      </c>
      <c r="J1072">
        <v>10</v>
      </c>
      <c r="K1072" s="16">
        <f t="shared" si="50"/>
        <v>64999999.999999993</v>
      </c>
    </row>
    <row r="1073" spans="1:11">
      <c r="A1073">
        <v>1</v>
      </c>
      <c r="B1073" t="s">
        <v>8</v>
      </c>
      <c r="C1073" s="1">
        <v>45.5</v>
      </c>
      <c r="D1073" s="1" t="s">
        <v>16</v>
      </c>
      <c r="E1073" s="1">
        <v>2</v>
      </c>
      <c r="F1073" s="1">
        <v>11</v>
      </c>
      <c r="G1073" s="1">
        <v>17</v>
      </c>
      <c r="H1073" s="29">
        <v>1.0000000000000001E-5</v>
      </c>
      <c r="I1073">
        <f t="shared" si="51"/>
        <v>14</v>
      </c>
      <c r="J1073">
        <v>10</v>
      </c>
      <c r="K1073" s="16">
        <f t="shared" si="50"/>
        <v>140000000</v>
      </c>
    </row>
    <row r="1074" spans="1:11">
      <c r="A1074">
        <v>1</v>
      </c>
      <c r="B1074" t="s">
        <v>8</v>
      </c>
      <c r="C1074" s="1">
        <v>45.5</v>
      </c>
      <c r="D1074" s="1" t="s">
        <v>16</v>
      </c>
      <c r="E1074" s="1">
        <v>3</v>
      </c>
      <c r="F1074" s="1">
        <v>7</v>
      </c>
      <c r="G1074" s="1">
        <v>4</v>
      </c>
      <c r="H1074" s="29">
        <v>1.0000000000000001E-5</v>
      </c>
      <c r="I1074">
        <f t="shared" si="51"/>
        <v>5.5</v>
      </c>
      <c r="J1074">
        <v>10</v>
      </c>
      <c r="K1074" s="16">
        <f t="shared" si="50"/>
        <v>54999999.999999993</v>
      </c>
    </row>
    <row r="1075" spans="1:11">
      <c r="A1075">
        <v>1</v>
      </c>
      <c r="B1075" t="s">
        <v>8</v>
      </c>
      <c r="C1075" s="1">
        <v>45.5</v>
      </c>
      <c r="D1075" s="1" t="s">
        <v>16</v>
      </c>
      <c r="E1075" s="1">
        <v>4</v>
      </c>
      <c r="F1075" s="1">
        <v>2</v>
      </c>
      <c r="G1075" s="1">
        <v>2</v>
      </c>
      <c r="H1075" s="29">
        <v>1.0000000000000001E-5</v>
      </c>
      <c r="I1075">
        <f t="shared" si="51"/>
        <v>2</v>
      </c>
      <c r="J1075">
        <v>10</v>
      </c>
      <c r="K1075" s="16">
        <f t="shared" si="50"/>
        <v>20000000</v>
      </c>
    </row>
    <row r="1076" spans="1:11">
      <c r="A1076">
        <v>1</v>
      </c>
      <c r="B1076" t="s">
        <v>8</v>
      </c>
      <c r="C1076" s="1">
        <v>45.5</v>
      </c>
      <c r="D1076" s="1" t="s">
        <v>16</v>
      </c>
      <c r="E1076" s="1">
        <v>5</v>
      </c>
      <c r="F1076" s="1">
        <v>12</v>
      </c>
      <c r="G1076" s="1">
        <v>19</v>
      </c>
      <c r="H1076" s="29">
        <v>1E-4</v>
      </c>
      <c r="I1076">
        <f t="shared" si="51"/>
        <v>15.5</v>
      </c>
      <c r="J1076">
        <v>10</v>
      </c>
      <c r="K1076" s="16">
        <f t="shared" si="50"/>
        <v>15499999.999999998</v>
      </c>
    </row>
    <row r="1077" spans="1:11">
      <c r="A1077">
        <v>1</v>
      </c>
      <c r="B1077" t="s">
        <v>8</v>
      </c>
      <c r="C1077" s="1">
        <v>45.5</v>
      </c>
      <c r="D1077" s="1" t="s">
        <v>16</v>
      </c>
      <c r="E1077" s="1">
        <v>6</v>
      </c>
      <c r="F1077" s="1">
        <v>8</v>
      </c>
      <c r="G1077" s="1">
        <v>6</v>
      </c>
      <c r="H1077" s="29">
        <v>1E-4</v>
      </c>
      <c r="I1077">
        <f t="shared" si="51"/>
        <v>7</v>
      </c>
      <c r="J1077">
        <v>10</v>
      </c>
      <c r="K1077" s="16">
        <f t="shared" si="50"/>
        <v>6999999.9999999991</v>
      </c>
    </row>
    <row r="1078" spans="1:11">
      <c r="A1078">
        <v>1</v>
      </c>
      <c r="B1078" t="s">
        <v>8</v>
      </c>
      <c r="C1078" s="1">
        <v>45.5</v>
      </c>
      <c r="D1078" s="1" t="s">
        <v>16</v>
      </c>
      <c r="E1078" s="1">
        <v>7</v>
      </c>
      <c r="F1078" s="1">
        <v>15</v>
      </c>
      <c r="G1078" s="1">
        <v>14</v>
      </c>
      <c r="H1078" s="29">
        <v>1E-4</v>
      </c>
      <c r="I1078">
        <f t="shared" si="51"/>
        <v>14.5</v>
      </c>
      <c r="J1078">
        <v>10</v>
      </c>
      <c r="K1078" s="16">
        <f t="shared" si="50"/>
        <v>14499999.999999998</v>
      </c>
    </row>
    <row r="1079" spans="1:11">
      <c r="A1079">
        <v>1</v>
      </c>
      <c r="B1079" t="s">
        <v>8</v>
      </c>
      <c r="C1079" s="1">
        <v>45.5</v>
      </c>
      <c r="D1079" s="1" t="s">
        <v>16</v>
      </c>
      <c r="E1079" s="1">
        <v>8</v>
      </c>
      <c r="F1079" s="1">
        <v>7</v>
      </c>
      <c r="G1079" s="1">
        <v>7</v>
      </c>
      <c r="H1079" s="29">
        <v>1E-4</v>
      </c>
      <c r="I1079">
        <f t="shared" si="51"/>
        <v>7</v>
      </c>
      <c r="J1079">
        <v>10</v>
      </c>
      <c r="K1079" s="16">
        <f t="shared" si="50"/>
        <v>6999999.9999999991</v>
      </c>
    </row>
    <row r="1080" spans="1:11">
      <c r="A1080">
        <v>1</v>
      </c>
      <c r="B1080" t="s">
        <v>8</v>
      </c>
      <c r="C1080" s="1">
        <v>45.5</v>
      </c>
      <c r="D1080" s="1" t="s">
        <v>16</v>
      </c>
      <c r="E1080" s="1">
        <v>9</v>
      </c>
      <c r="F1080" s="1">
        <v>4</v>
      </c>
      <c r="G1080" s="1">
        <v>6</v>
      </c>
      <c r="H1080" s="29">
        <v>1.0000000000000001E-5</v>
      </c>
      <c r="I1080">
        <f t="shared" si="51"/>
        <v>5</v>
      </c>
      <c r="J1080">
        <v>10</v>
      </c>
      <c r="K1080" s="16">
        <f t="shared" si="50"/>
        <v>49999999.999999993</v>
      </c>
    </row>
    <row r="1081" spans="1:11">
      <c r="A1081">
        <v>1</v>
      </c>
      <c r="B1081" t="s">
        <v>8</v>
      </c>
      <c r="C1081" s="1">
        <v>45.5</v>
      </c>
      <c r="D1081" s="1" t="s">
        <v>16</v>
      </c>
      <c r="E1081" s="1">
        <v>10</v>
      </c>
      <c r="F1081" s="1">
        <v>7</v>
      </c>
      <c r="G1081" s="1">
        <v>8</v>
      </c>
      <c r="H1081" s="29">
        <v>1.0000000000000001E-5</v>
      </c>
      <c r="I1081">
        <f t="shared" si="51"/>
        <v>7.5</v>
      </c>
      <c r="J1081">
        <v>10</v>
      </c>
      <c r="K1081" s="16">
        <f t="shared" si="50"/>
        <v>75000000</v>
      </c>
    </row>
    <row r="1082" spans="1:11">
      <c r="A1082">
        <v>1</v>
      </c>
      <c r="B1082" t="s">
        <v>8</v>
      </c>
      <c r="C1082" s="1">
        <v>46</v>
      </c>
      <c r="D1082" s="1" t="s">
        <v>16</v>
      </c>
      <c r="E1082" s="1" t="s">
        <v>19</v>
      </c>
      <c r="F1082" s="1" t="s">
        <v>29</v>
      </c>
      <c r="G1082" s="1"/>
      <c r="H1082" s="29">
        <v>9.9999999999999995E-7</v>
      </c>
      <c r="I1082" t="e">
        <f t="shared" si="51"/>
        <v>#DIV/0!</v>
      </c>
      <c r="J1082">
        <v>10</v>
      </c>
      <c r="K1082" s="16" t="e">
        <f t="shared" si="50"/>
        <v>#DIV/0!</v>
      </c>
    </row>
    <row r="1083" spans="1:11">
      <c r="A1083">
        <v>1</v>
      </c>
      <c r="B1083" t="s">
        <v>8</v>
      </c>
      <c r="C1083" s="1">
        <v>46</v>
      </c>
      <c r="D1083" s="1" t="s">
        <v>16</v>
      </c>
      <c r="E1083" s="1" t="s">
        <v>20</v>
      </c>
      <c r="F1083" s="1" t="s">
        <v>29</v>
      </c>
      <c r="G1083" s="1"/>
      <c r="H1083" s="29">
        <v>9.9999999999999995E-7</v>
      </c>
      <c r="I1083" t="e">
        <f t="shared" si="51"/>
        <v>#DIV/0!</v>
      </c>
      <c r="J1083">
        <v>10</v>
      </c>
      <c r="K1083" s="16" t="e">
        <f t="shared" si="50"/>
        <v>#DIV/0!</v>
      </c>
    </row>
    <row r="1084" spans="1:11">
      <c r="A1084">
        <v>1</v>
      </c>
      <c r="B1084" t="s">
        <v>8</v>
      </c>
      <c r="C1084" s="1">
        <v>46</v>
      </c>
      <c r="D1084" s="1" t="s">
        <v>16</v>
      </c>
      <c r="E1084" s="1" t="s">
        <v>21</v>
      </c>
      <c r="F1084" s="1" t="s">
        <v>29</v>
      </c>
      <c r="G1084" s="1"/>
      <c r="H1084" s="29">
        <v>9.9999999999999995E-7</v>
      </c>
      <c r="I1084" t="e">
        <f t="shared" si="51"/>
        <v>#DIV/0!</v>
      </c>
      <c r="J1084">
        <v>10</v>
      </c>
      <c r="K1084" s="16" t="e">
        <f t="shared" si="50"/>
        <v>#DIV/0!</v>
      </c>
    </row>
    <row r="1085" spans="1:11">
      <c r="A1085">
        <v>1</v>
      </c>
      <c r="B1085" t="s">
        <v>8</v>
      </c>
      <c r="C1085" s="1">
        <v>46</v>
      </c>
      <c r="D1085" s="1" t="s">
        <v>16</v>
      </c>
      <c r="E1085" s="1" t="s">
        <v>22</v>
      </c>
      <c r="F1085" s="1" t="s">
        <v>29</v>
      </c>
      <c r="G1085" s="1"/>
      <c r="H1085" s="29">
        <v>9.9999999999999995E-7</v>
      </c>
      <c r="I1085" t="e">
        <f t="shared" si="51"/>
        <v>#DIV/0!</v>
      </c>
      <c r="J1085">
        <v>10</v>
      </c>
      <c r="K1085" s="16" t="e">
        <f t="shared" si="50"/>
        <v>#DIV/0!</v>
      </c>
    </row>
    <row r="1086" spans="1:11">
      <c r="A1086">
        <v>1</v>
      </c>
      <c r="B1086" t="s">
        <v>8</v>
      </c>
      <c r="C1086" s="1">
        <v>46</v>
      </c>
      <c r="D1086" s="1" t="s">
        <v>16</v>
      </c>
      <c r="E1086" s="1">
        <v>1</v>
      </c>
      <c r="F1086" s="1">
        <v>5</v>
      </c>
      <c r="G1086" s="1">
        <v>1</v>
      </c>
      <c r="H1086" s="29">
        <v>9.9999999999999995E-7</v>
      </c>
      <c r="I1086">
        <f t="shared" si="51"/>
        <v>3</v>
      </c>
      <c r="J1086">
        <v>10</v>
      </c>
      <c r="K1086" s="16">
        <f t="shared" si="50"/>
        <v>300000000</v>
      </c>
    </row>
    <row r="1087" spans="1:11">
      <c r="A1087">
        <v>1</v>
      </c>
      <c r="B1087" t="s">
        <v>8</v>
      </c>
      <c r="C1087" s="1">
        <v>46</v>
      </c>
      <c r="D1087" s="1" t="s">
        <v>16</v>
      </c>
      <c r="E1087" s="1">
        <v>2</v>
      </c>
      <c r="F1087" s="1">
        <v>31</v>
      </c>
      <c r="G1087" s="1">
        <v>29</v>
      </c>
      <c r="H1087" s="29">
        <v>1.0000000000000001E-5</v>
      </c>
      <c r="I1087">
        <f t="shared" si="51"/>
        <v>30</v>
      </c>
      <c r="J1087">
        <v>10</v>
      </c>
      <c r="K1087" s="16">
        <f t="shared" si="50"/>
        <v>300000000</v>
      </c>
    </row>
    <row r="1088" spans="1:11">
      <c r="A1088">
        <v>1</v>
      </c>
      <c r="B1088" t="s">
        <v>8</v>
      </c>
      <c r="C1088" s="1">
        <v>46</v>
      </c>
      <c r="D1088" s="1" t="s">
        <v>16</v>
      </c>
      <c r="E1088" s="1">
        <v>3</v>
      </c>
      <c r="F1088" s="1">
        <v>1</v>
      </c>
      <c r="G1088" s="1">
        <v>6</v>
      </c>
      <c r="H1088" s="29">
        <v>9.9999999999999995E-7</v>
      </c>
      <c r="I1088">
        <f t="shared" si="51"/>
        <v>3.5</v>
      </c>
      <c r="J1088">
        <v>10</v>
      </c>
      <c r="K1088" s="16">
        <f t="shared" si="50"/>
        <v>350000000</v>
      </c>
    </row>
    <row r="1089" spans="1:11">
      <c r="A1089">
        <v>1</v>
      </c>
      <c r="B1089" t="s">
        <v>8</v>
      </c>
      <c r="C1089" s="1">
        <v>46</v>
      </c>
      <c r="D1089" s="1" t="s">
        <v>16</v>
      </c>
      <c r="E1089" s="1">
        <v>4</v>
      </c>
      <c r="F1089" s="1">
        <v>1</v>
      </c>
      <c r="G1089" s="1">
        <v>5</v>
      </c>
      <c r="H1089" s="29">
        <v>9.9999999999999995E-7</v>
      </c>
      <c r="I1089">
        <f t="shared" si="51"/>
        <v>3</v>
      </c>
      <c r="J1089">
        <v>10</v>
      </c>
      <c r="K1089" s="16">
        <f t="shared" si="50"/>
        <v>300000000</v>
      </c>
    </row>
    <row r="1090" spans="1:11">
      <c r="A1090">
        <v>1</v>
      </c>
      <c r="B1090" t="s">
        <v>8</v>
      </c>
      <c r="C1090" s="1">
        <v>46</v>
      </c>
      <c r="D1090" s="1" t="s">
        <v>16</v>
      </c>
      <c r="E1090" s="1">
        <v>5</v>
      </c>
      <c r="F1090" s="1">
        <v>3</v>
      </c>
      <c r="G1090" s="1">
        <v>5</v>
      </c>
      <c r="H1090" s="29">
        <v>9.9999999999999995E-7</v>
      </c>
      <c r="I1090">
        <f t="shared" si="51"/>
        <v>4</v>
      </c>
      <c r="J1090">
        <v>10</v>
      </c>
      <c r="K1090" s="16">
        <f t="shared" si="50"/>
        <v>400000000</v>
      </c>
    </row>
    <row r="1091" spans="1:11">
      <c r="A1091">
        <v>1</v>
      </c>
      <c r="B1091" t="s">
        <v>8</v>
      </c>
      <c r="C1091" s="1">
        <v>46</v>
      </c>
      <c r="D1091" s="1" t="s">
        <v>16</v>
      </c>
      <c r="E1091" s="1">
        <v>6</v>
      </c>
      <c r="F1091" s="1">
        <v>3</v>
      </c>
      <c r="G1091" s="1">
        <v>9</v>
      </c>
      <c r="H1091" s="29">
        <v>9.9999999999999995E-7</v>
      </c>
      <c r="I1091">
        <f t="shared" si="51"/>
        <v>6</v>
      </c>
      <c r="J1091">
        <v>10</v>
      </c>
      <c r="K1091" s="16">
        <f t="shared" si="50"/>
        <v>600000000</v>
      </c>
    </row>
    <row r="1092" spans="1:11">
      <c r="A1092">
        <v>1</v>
      </c>
      <c r="B1092" t="s">
        <v>8</v>
      </c>
      <c r="C1092" s="1">
        <v>46</v>
      </c>
      <c r="D1092" s="1" t="s">
        <v>16</v>
      </c>
      <c r="E1092" s="1">
        <v>7</v>
      </c>
      <c r="F1092" s="1">
        <v>11</v>
      </c>
      <c r="G1092" s="1">
        <v>5</v>
      </c>
      <c r="H1092" s="29">
        <v>9.9999999999999995E-7</v>
      </c>
      <c r="I1092">
        <f t="shared" si="51"/>
        <v>8</v>
      </c>
      <c r="J1092">
        <v>10</v>
      </c>
      <c r="K1092" s="16">
        <f t="shared" si="50"/>
        <v>800000000</v>
      </c>
    </row>
    <row r="1093" spans="1:11">
      <c r="A1093">
        <v>1</v>
      </c>
      <c r="B1093" t="s">
        <v>8</v>
      </c>
      <c r="C1093" s="1">
        <v>46</v>
      </c>
      <c r="D1093" s="1" t="s">
        <v>16</v>
      </c>
      <c r="E1093" s="1">
        <v>8</v>
      </c>
      <c r="F1093" s="1">
        <v>27</v>
      </c>
      <c r="G1093" s="1">
        <v>27</v>
      </c>
      <c r="H1093" s="29">
        <v>1.0000000000000001E-5</v>
      </c>
      <c r="I1093">
        <f t="shared" si="51"/>
        <v>27</v>
      </c>
      <c r="J1093">
        <v>10</v>
      </c>
      <c r="K1093" s="16">
        <f t="shared" si="50"/>
        <v>270000000</v>
      </c>
    </row>
    <row r="1094" spans="1:11">
      <c r="A1094">
        <v>1</v>
      </c>
      <c r="B1094" t="s">
        <v>8</v>
      </c>
      <c r="C1094" s="1">
        <v>46</v>
      </c>
      <c r="D1094" s="1" t="s">
        <v>16</v>
      </c>
      <c r="E1094" s="1">
        <v>9</v>
      </c>
      <c r="F1094" s="1">
        <v>6</v>
      </c>
      <c r="G1094" s="1">
        <v>2</v>
      </c>
      <c r="H1094" s="29">
        <v>9.9999999999999995E-7</v>
      </c>
      <c r="I1094">
        <f t="shared" si="51"/>
        <v>4</v>
      </c>
      <c r="J1094">
        <v>10</v>
      </c>
      <c r="K1094" s="16">
        <f t="shared" si="50"/>
        <v>400000000</v>
      </c>
    </row>
    <row r="1095" spans="1:11">
      <c r="A1095">
        <v>1</v>
      </c>
      <c r="B1095" t="s">
        <v>8</v>
      </c>
      <c r="C1095" s="1">
        <v>46</v>
      </c>
      <c r="D1095" s="1" t="s">
        <v>16</v>
      </c>
      <c r="E1095" s="1">
        <v>10</v>
      </c>
      <c r="F1095" s="1">
        <v>22</v>
      </c>
      <c r="G1095" s="1">
        <v>27</v>
      </c>
      <c r="H1095" s="29">
        <v>1.0000000000000001E-5</v>
      </c>
      <c r="I1095">
        <f t="shared" si="51"/>
        <v>24.5</v>
      </c>
      <c r="J1095">
        <v>10</v>
      </c>
      <c r="K1095" s="16">
        <f t="shared" si="50"/>
        <v>244999999.99999997</v>
      </c>
    </row>
    <row r="1096" spans="1:11">
      <c r="A1096">
        <v>1</v>
      </c>
      <c r="B1096" t="s">
        <v>8</v>
      </c>
      <c r="C1096" s="1">
        <v>46.5</v>
      </c>
      <c r="D1096" s="1" t="s">
        <v>16</v>
      </c>
      <c r="E1096" s="1">
        <v>1</v>
      </c>
      <c r="F1096" s="31">
        <v>10</v>
      </c>
      <c r="G1096" s="31">
        <v>3</v>
      </c>
      <c r="H1096" s="29">
        <v>1.0000000000000001E-5</v>
      </c>
      <c r="I1096">
        <f t="shared" ref="I1096:I1124" si="52">AVERAGE(F1096:G1096)</f>
        <v>6.5</v>
      </c>
      <c r="J1096">
        <v>10</v>
      </c>
      <c r="K1096" s="16">
        <f t="shared" si="50"/>
        <v>64999999.999999993</v>
      </c>
    </row>
    <row r="1097" spans="1:11">
      <c r="A1097">
        <v>1</v>
      </c>
      <c r="B1097" t="s">
        <v>8</v>
      </c>
      <c r="C1097" s="1">
        <v>46.5</v>
      </c>
      <c r="D1097" s="1" t="s">
        <v>16</v>
      </c>
      <c r="E1097" s="1">
        <v>2</v>
      </c>
      <c r="F1097" s="1">
        <v>20</v>
      </c>
      <c r="G1097" s="1">
        <v>11</v>
      </c>
      <c r="H1097" s="29">
        <v>1.0000000000000001E-5</v>
      </c>
      <c r="I1097">
        <f t="shared" si="52"/>
        <v>15.5</v>
      </c>
      <c r="J1097">
        <v>10</v>
      </c>
      <c r="K1097" s="16">
        <f t="shared" si="50"/>
        <v>155000000</v>
      </c>
    </row>
    <row r="1098" spans="1:11">
      <c r="A1098">
        <v>1</v>
      </c>
      <c r="B1098" t="s">
        <v>8</v>
      </c>
      <c r="C1098" s="1">
        <v>46.5</v>
      </c>
      <c r="D1098" s="1" t="s">
        <v>16</v>
      </c>
      <c r="E1098" s="1">
        <v>3</v>
      </c>
      <c r="F1098" s="1">
        <v>17</v>
      </c>
      <c r="G1098" s="1">
        <v>18</v>
      </c>
      <c r="H1098" s="29">
        <v>1E-4</v>
      </c>
      <c r="I1098">
        <f t="shared" si="52"/>
        <v>17.5</v>
      </c>
      <c r="J1098">
        <v>10</v>
      </c>
      <c r="K1098" s="16">
        <f t="shared" si="50"/>
        <v>17499999.999999996</v>
      </c>
    </row>
    <row r="1099" spans="1:11">
      <c r="A1099">
        <v>1</v>
      </c>
      <c r="B1099" t="s">
        <v>8</v>
      </c>
      <c r="C1099" s="1">
        <v>46.5</v>
      </c>
      <c r="D1099" s="1" t="s">
        <v>16</v>
      </c>
      <c r="E1099" s="1">
        <v>4</v>
      </c>
      <c r="F1099" s="1">
        <v>15</v>
      </c>
      <c r="G1099" s="1">
        <v>24</v>
      </c>
      <c r="H1099" s="29">
        <v>1E-4</v>
      </c>
      <c r="I1099">
        <f t="shared" si="52"/>
        <v>19.5</v>
      </c>
      <c r="J1099">
        <v>10</v>
      </c>
      <c r="K1099" s="16">
        <f t="shared" si="50"/>
        <v>19499999.999999996</v>
      </c>
    </row>
    <row r="1100" spans="1:11">
      <c r="A1100">
        <v>1</v>
      </c>
      <c r="B1100" t="s">
        <v>8</v>
      </c>
      <c r="C1100" s="1">
        <v>46.5</v>
      </c>
      <c r="D1100" s="1" t="s">
        <v>16</v>
      </c>
      <c r="E1100" s="1">
        <v>5</v>
      </c>
      <c r="F1100" s="1">
        <v>11</v>
      </c>
      <c r="G1100" s="1">
        <v>9</v>
      </c>
      <c r="H1100" s="29">
        <v>1.0000000000000001E-5</v>
      </c>
      <c r="I1100">
        <f t="shared" si="52"/>
        <v>10</v>
      </c>
      <c r="J1100">
        <v>10</v>
      </c>
      <c r="K1100" s="16">
        <f t="shared" si="50"/>
        <v>99999999.999999985</v>
      </c>
    </row>
    <row r="1101" spans="1:11">
      <c r="A1101">
        <v>1</v>
      </c>
      <c r="B1101" t="s">
        <v>8</v>
      </c>
      <c r="C1101" s="1">
        <v>46.5</v>
      </c>
      <c r="D1101" s="1" t="s">
        <v>16</v>
      </c>
      <c r="E1101" s="1">
        <v>6</v>
      </c>
      <c r="F1101" s="1">
        <v>7</v>
      </c>
      <c r="G1101" s="1">
        <v>8</v>
      </c>
      <c r="H1101" s="29">
        <v>1E-4</v>
      </c>
      <c r="I1101">
        <f t="shared" si="52"/>
        <v>7.5</v>
      </c>
      <c r="J1101">
        <v>10</v>
      </c>
      <c r="K1101" s="16">
        <f t="shared" si="50"/>
        <v>7499999.9999999991</v>
      </c>
    </row>
    <row r="1102" spans="1:11">
      <c r="A1102">
        <v>1</v>
      </c>
      <c r="B1102" t="s">
        <v>8</v>
      </c>
      <c r="C1102" s="1">
        <v>46.5</v>
      </c>
      <c r="D1102" s="1" t="s">
        <v>16</v>
      </c>
      <c r="E1102" s="1">
        <v>7</v>
      </c>
      <c r="F1102" s="1">
        <v>13</v>
      </c>
      <c r="G1102" s="1">
        <v>11</v>
      </c>
      <c r="H1102" s="29">
        <v>1E-4</v>
      </c>
      <c r="I1102">
        <f t="shared" si="52"/>
        <v>12</v>
      </c>
      <c r="J1102">
        <v>10</v>
      </c>
      <c r="K1102" s="16">
        <f t="shared" si="50"/>
        <v>11999999.999999998</v>
      </c>
    </row>
    <row r="1103" spans="1:11">
      <c r="A1103">
        <v>1</v>
      </c>
      <c r="B1103" t="s">
        <v>8</v>
      </c>
      <c r="C1103" s="1">
        <v>46.5</v>
      </c>
      <c r="D1103" s="1" t="s">
        <v>16</v>
      </c>
      <c r="E1103" s="1">
        <v>8</v>
      </c>
      <c r="F1103" s="1">
        <v>11</v>
      </c>
      <c r="G1103" s="1">
        <v>10</v>
      </c>
      <c r="H1103" s="29">
        <v>1E-4</v>
      </c>
      <c r="I1103">
        <f t="shared" si="52"/>
        <v>10.5</v>
      </c>
      <c r="J1103">
        <v>10</v>
      </c>
      <c r="K1103" s="16">
        <f t="shared" si="50"/>
        <v>10499999.999999998</v>
      </c>
    </row>
    <row r="1104" spans="1:11">
      <c r="A1104">
        <v>1</v>
      </c>
      <c r="B1104" t="s">
        <v>8</v>
      </c>
      <c r="C1104" s="1">
        <v>46.5</v>
      </c>
      <c r="D1104" s="1" t="s">
        <v>16</v>
      </c>
      <c r="E1104" s="1">
        <v>9</v>
      </c>
      <c r="F1104" s="1">
        <v>2</v>
      </c>
      <c r="G1104" s="1">
        <v>3</v>
      </c>
      <c r="H1104" s="29">
        <v>1.0000000000000001E-5</v>
      </c>
      <c r="I1104">
        <f t="shared" si="52"/>
        <v>2.5</v>
      </c>
      <c r="J1104">
        <v>10</v>
      </c>
      <c r="K1104" s="16">
        <f t="shared" si="50"/>
        <v>24999999.999999996</v>
      </c>
    </row>
    <row r="1105" spans="1:11">
      <c r="A1105">
        <v>1</v>
      </c>
      <c r="B1105" t="s">
        <v>8</v>
      </c>
      <c r="C1105" s="1">
        <v>46.5</v>
      </c>
      <c r="D1105" s="1" t="s">
        <v>16</v>
      </c>
      <c r="E1105" s="1">
        <v>10</v>
      </c>
      <c r="F1105" s="1">
        <v>8</v>
      </c>
      <c r="G1105" s="1">
        <v>3</v>
      </c>
      <c r="H1105" s="29">
        <v>1.0000000000000001E-5</v>
      </c>
      <c r="I1105">
        <f t="shared" si="52"/>
        <v>5.5</v>
      </c>
      <c r="J1105">
        <v>10</v>
      </c>
      <c r="K1105" s="16">
        <f t="shared" si="50"/>
        <v>54999999.999999993</v>
      </c>
    </row>
    <row r="1106" spans="1:11">
      <c r="A1106">
        <v>1</v>
      </c>
      <c r="B1106" t="s">
        <v>8</v>
      </c>
      <c r="C1106" s="1">
        <v>47</v>
      </c>
      <c r="D1106" s="1" t="s">
        <v>16</v>
      </c>
      <c r="E1106" s="1" t="s">
        <v>19</v>
      </c>
      <c r="F1106" s="1">
        <v>9</v>
      </c>
      <c r="G1106" s="1">
        <v>5</v>
      </c>
      <c r="H1106" s="29">
        <v>9.9999999999999995E-7</v>
      </c>
      <c r="I1106">
        <f t="shared" si="52"/>
        <v>7</v>
      </c>
      <c r="J1106">
        <v>10</v>
      </c>
      <c r="K1106" s="16">
        <f t="shared" si="50"/>
        <v>700000000</v>
      </c>
    </row>
    <row r="1107" spans="1:11">
      <c r="A1107">
        <v>1</v>
      </c>
      <c r="B1107" t="s">
        <v>8</v>
      </c>
      <c r="C1107" s="1">
        <v>47</v>
      </c>
      <c r="D1107" s="1" t="s">
        <v>16</v>
      </c>
      <c r="E1107" s="1" t="s">
        <v>20</v>
      </c>
      <c r="F1107" s="1">
        <v>12</v>
      </c>
      <c r="G1107" s="1">
        <v>11</v>
      </c>
      <c r="H1107" s="29">
        <v>9.9999999999999995E-7</v>
      </c>
      <c r="I1107">
        <f t="shared" si="52"/>
        <v>11.5</v>
      </c>
      <c r="J1107">
        <v>10</v>
      </c>
      <c r="K1107" s="16">
        <f t="shared" ref="K1107:K1170" si="53">I1107/(H1107*(J1107/1000))</f>
        <v>1150000000</v>
      </c>
    </row>
    <row r="1108" spans="1:11">
      <c r="A1108">
        <v>1</v>
      </c>
      <c r="B1108" t="s">
        <v>8</v>
      </c>
      <c r="C1108" s="1">
        <v>47</v>
      </c>
      <c r="D1108" s="1" t="s">
        <v>16</v>
      </c>
      <c r="E1108" s="1" t="s">
        <v>21</v>
      </c>
      <c r="F1108" s="1">
        <v>5</v>
      </c>
      <c r="G1108" s="1">
        <v>8</v>
      </c>
      <c r="H1108" s="29">
        <v>9.9999999999999995E-7</v>
      </c>
      <c r="I1108">
        <f t="shared" si="52"/>
        <v>6.5</v>
      </c>
      <c r="J1108">
        <v>10</v>
      </c>
      <c r="K1108" s="16">
        <f t="shared" si="53"/>
        <v>650000000</v>
      </c>
    </row>
    <row r="1109" spans="1:11">
      <c r="A1109">
        <v>1</v>
      </c>
      <c r="B1109" t="s">
        <v>8</v>
      </c>
      <c r="C1109" s="1">
        <v>47</v>
      </c>
      <c r="D1109" s="1" t="s">
        <v>16</v>
      </c>
      <c r="E1109" s="1" t="s">
        <v>22</v>
      </c>
      <c r="F1109" s="1">
        <v>7</v>
      </c>
      <c r="G1109" s="1">
        <v>5</v>
      </c>
      <c r="H1109" s="29">
        <v>9.9999999999999995E-7</v>
      </c>
      <c r="I1109">
        <f t="shared" si="52"/>
        <v>6</v>
      </c>
      <c r="J1109">
        <v>10</v>
      </c>
      <c r="K1109" s="16">
        <f t="shared" si="53"/>
        <v>600000000</v>
      </c>
    </row>
    <row r="1110" spans="1:11">
      <c r="A1110">
        <v>1</v>
      </c>
      <c r="B1110" t="s">
        <v>8</v>
      </c>
      <c r="C1110" s="1">
        <v>47</v>
      </c>
      <c r="D1110" s="1" t="s">
        <v>16</v>
      </c>
      <c r="E1110" s="1">
        <v>1</v>
      </c>
      <c r="F1110" s="1">
        <v>2</v>
      </c>
      <c r="G1110" s="1">
        <v>2</v>
      </c>
      <c r="H1110" s="29">
        <v>9.9999999999999995E-7</v>
      </c>
      <c r="I1110">
        <f t="shared" si="52"/>
        <v>2</v>
      </c>
      <c r="J1110">
        <v>10</v>
      </c>
      <c r="K1110" s="16">
        <f t="shared" si="53"/>
        <v>200000000</v>
      </c>
    </row>
    <row r="1111" spans="1:11">
      <c r="A1111">
        <v>1</v>
      </c>
      <c r="B1111" t="s">
        <v>8</v>
      </c>
      <c r="C1111" s="1">
        <v>47</v>
      </c>
      <c r="D1111" s="1" t="s">
        <v>16</v>
      </c>
      <c r="E1111" s="1">
        <v>2</v>
      </c>
      <c r="F1111" s="1">
        <v>1</v>
      </c>
      <c r="G1111" s="1">
        <v>8</v>
      </c>
      <c r="H1111" s="29">
        <v>9.9999999999999995E-7</v>
      </c>
      <c r="I1111">
        <f t="shared" si="52"/>
        <v>4.5</v>
      </c>
      <c r="J1111">
        <v>10</v>
      </c>
      <c r="K1111" s="16">
        <f t="shared" si="53"/>
        <v>450000000</v>
      </c>
    </row>
    <row r="1112" spans="1:11">
      <c r="A1112">
        <v>1</v>
      </c>
      <c r="B1112" t="s">
        <v>8</v>
      </c>
      <c r="C1112" s="1">
        <v>47</v>
      </c>
      <c r="D1112" s="1" t="s">
        <v>16</v>
      </c>
      <c r="E1112" s="1">
        <v>3</v>
      </c>
      <c r="F1112" s="1">
        <v>6</v>
      </c>
      <c r="G1112" s="1">
        <v>2</v>
      </c>
      <c r="H1112" s="29">
        <v>9.9999999999999995E-7</v>
      </c>
      <c r="I1112">
        <f t="shared" si="52"/>
        <v>4</v>
      </c>
      <c r="J1112">
        <v>10</v>
      </c>
      <c r="K1112" s="16">
        <f t="shared" si="53"/>
        <v>400000000</v>
      </c>
    </row>
    <row r="1113" spans="1:11">
      <c r="A1113">
        <v>1</v>
      </c>
      <c r="B1113" t="s">
        <v>8</v>
      </c>
      <c r="C1113" s="1">
        <v>47</v>
      </c>
      <c r="D1113" s="1" t="s">
        <v>16</v>
      </c>
      <c r="E1113" s="1">
        <v>4</v>
      </c>
      <c r="F1113" s="1">
        <v>8</v>
      </c>
      <c r="G1113" s="1">
        <v>4</v>
      </c>
      <c r="H1113" s="29">
        <v>9.9999999999999995E-7</v>
      </c>
      <c r="I1113">
        <f t="shared" si="52"/>
        <v>6</v>
      </c>
      <c r="J1113">
        <v>10</v>
      </c>
      <c r="K1113" s="16">
        <f t="shared" si="53"/>
        <v>600000000</v>
      </c>
    </row>
    <row r="1114" spans="1:11">
      <c r="A1114">
        <v>1</v>
      </c>
      <c r="B1114" t="s">
        <v>8</v>
      </c>
      <c r="C1114" s="1">
        <v>47</v>
      </c>
      <c r="D1114" s="1" t="s">
        <v>16</v>
      </c>
      <c r="E1114" s="1">
        <v>5</v>
      </c>
      <c r="F1114" s="1">
        <v>5</v>
      </c>
      <c r="G1114" s="1">
        <v>4</v>
      </c>
      <c r="H1114" s="29">
        <v>9.9999999999999995E-7</v>
      </c>
      <c r="I1114">
        <f t="shared" si="52"/>
        <v>4.5</v>
      </c>
      <c r="J1114">
        <v>10</v>
      </c>
      <c r="K1114" s="16">
        <f t="shared" si="53"/>
        <v>450000000</v>
      </c>
    </row>
    <row r="1115" spans="1:11">
      <c r="A1115">
        <v>1</v>
      </c>
      <c r="B1115" t="s">
        <v>8</v>
      </c>
      <c r="C1115" s="1">
        <v>47</v>
      </c>
      <c r="D1115" s="1" t="s">
        <v>16</v>
      </c>
      <c r="E1115" s="1">
        <v>6</v>
      </c>
      <c r="F1115" s="1">
        <v>7</v>
      </c>
      <c r="G1115" s="1">
        <v>5</v>
      </c>
      <c r="H1115" s="29">
        <v>9.9999999999999995E-7</v>
      </c>
      <c r="I1115">
        <f t="shared" si="52"/>
        <v>6</v>
      </c>
      <c r="J1115">
        <v>10</v>
      </c>
      <c r="K1115" s="16">
        <f t="shared" si="53"/>
        <v>600000000</v>
      </c>
    </row>
    <row r="1116" spans="1:11">
      <c r="A1116">
        <v>1</v>
      </c>
      <c r="B1116" t="s">
        <v>8</v>
      </c>
      <c r="C1116" s="1">
        <v>47</v>
      </c>
      <c r="D1116" s="1" t="s">
        <v>16</v>
      </c>
      <c r="E1116" s="1">
        <v>7</v>
      </c>
      <c r="F1116" s="1">
        <v>10</v>
      </c>
      <c r="G1116" s="1">
        <v>6</v>
      </c>
      <c r="H1116" s="29">
        <v>9.9999999999999995E-7</v>
      </c>
      <c r="I1116">
        <f t="shared" si="52"/>
        <v>8</v>
      </c>
      <c r="J1116">
        <v>10</v>
      </c>
      <c r="K1116" s="16">
        <f t="shared" si="53"/>
        <v>800000000</v>
      </c>
    </row>
    <row r="1117" spans="1:11">
      <c r="A1117">
        <v>1</v>
      </c>
      <c r="B1117" t="s">
        <v>8</v>
      </c>
      <c r="C1117" s="1">
        <v>47</v>
      </c>
      <c r="D1117" s="1" t="s">
        <v>16</v>
      </c>
      <c r="E1117" s="1">
        <v>8</v>
      </c>
      <c r="F1117" s="1">
        <v>6</v>
      </c>
      <c r="G1117" s="1">
        <v>4</v>
      </c>
      <c r="H1117" s="29">
        <v>9.9999999999999995E-7</v>
      </c>
      <c r="I1117">
        <f t="shared" si="52"/>
        <v>5</v>
      </c>
      <c r="J1117">
        <v>10</v>
      </c>
      <c r="K1117" s="16">
        <f t="shared" si="53"/>
        <v>500000000</v>
      </c>
    </row>
    <row r="1118" spans="1:11">
      <c r="A1118">
        <v>1</v>
      </c>
      <c r="B1118" t="s">
        <v>8</v>
      </c>
      <c r="C1118" s="1">
        <v>47</v>
      </c>
      <c r="D1118" s="1" t="s">
        <v>16</v>
      </c>
      <c r="E1118" s="1">
        <v>9</v>
      </c>
      <c r="F1118" s="1">
        <v>3</v>
      </c>
      <c r="G1118" s="1">
        <v>5</v>
      </c>
      <c r="H1118" s="29">
        <v>9.9999999999999995E-7</v>
      </c>
      <c r="I1118">
        <f t="shared" si="52"/>
        <v>4</v>
      </c>
      <c r="J1118">
        <v>10</v>
      </c>
      <c r="K1118" s="16">
        <f t="shared" si="53"/>
        <v>400000000</v>
      </c>
    </row>
    <row r="1119" spans="1:11">
      <c r="A1119">
        <v>1</v>
      </c>
      <c r="B1119" t="s">
        <v>8</v>
      </c>
      <c r="C1119" s="1">
        <v>47</v>
      </c>
      <c r="D1119" s="1" t="s">
        <v>16</v>
      </c>
      <c r="E1119" s="1">
        <v>10</v>
      </c>
      <c r="F1119" s="1">
        <v>4</v>
      </c>
      <c r="G1119" s="1">
        <v>2</v>
      </c>
      <c r="H1119" s="29">
        <v>9.9999999999999995E-7</v>
      </c>
      <c r="I1119">
        <f t="shared" si="52"/>
        <v>3</v>
      </c>
      <c r="J1119">
        <v>10</v>
      </c>
      <c r="K1119" s="16">
        <f t="shared" si="53"/>
        <v>300000000</v>
      </c>
    </row>
    <row r="1120" spans="1:11">
      <c r="A1120">
        <v>1</v>
      </c>
      <c r="B1120" t="s">
        <v>8</v>
      </c>
      <c r="C1120" s="1">
        <v>47.5</v>
      </c>
      <c r="D1120" s="1" t="s">
        <v>16</v>
      </c>
      <c r="E1120" s="1">
        <v>1</v>
      </c>
      <c r="F1120" s="31">
        <v>4</v>
      </c>
      <c r="G1120" s="31">
        <v>5</v>
      </c>
      <c r="H1120" s="29">
        <v>1.0000000000000001E-5</v>
      </c>
      <c r="I1120">
        <f t="shared" si="52"/>
        <v>4.5</v>
      </c>
      <c r="J1120">
        <v>10</v>
      </c>
      <c r="K1120" s="16">
        <f t="shared" si="53"/>
        <v>44999999.999999993</v>
      </c>
    </row>
    <row r="1121" spans="1:11">
      <c r="A1121">
        <v>1</v>
      </c>
      <c r="B1121" t="s">
        <v>8</v>
      </c>
      <c r="C1121" s="1">
        <v>47.5</v>
      </c>
      <c r="D1121" s="1" t="s">
        <v>16</v>
      </c>
      <c r="E1121" s="1">
        <v>2</v>
      </c>
      <c r="F1121" s="1">
        <v>15</v>
      </c>
      <c r="G1121" s="1">
        <v>15</v>
      </c>
      <c r="H1121" s="29">
        <v>1.0000000000000001E-5</v>
      </c>
      <c r="I1121">
        <f t="shared" si="52"/>
        <v>15</v>
      </c>
      <c r="J1121">
        <v>10</v>
      </c>
      <c r="K1121" s="16">
        <f t="shared" si="53"/>
        <v>150000000</v>
      </c>
    </row>
    <row r="1122" spans="1:11">
      <c r="A1122">
        <v>1</v>
      </c>
      <c r="B1122" t="s">
        <v>8</v>
      </c>
      <c r="C1122" s="1">
        <v>47.5</v>
      </c>
      <c r="D1122" s="1" t="s">
        <v>16</v>
      </c>
      <c r="E1122" s="1">
        <v>3</v>
      </c>
      <c r="F1122" s="1">
        <v>6</v>
      </c>
      <c r="G1122" s="1">
        <v>2</v>
      </c>
      <c r="H1122" s="29">
        <v>1.0000000000000001E-5</v>
      </c>
      <c r="I1122">
        <f t="shared" si="52"/>
        <v>4</v>
      </c>
      <c r="J1122">
        <v>10</v>
      </c>
      <c r="K1122" s="16">
        <f t="shared" si="53"/>
        <v>40000000</v>
      </c>
    </row>
    <row r="1123" spans="1:11">
      <c r="A1123">
        <v>1</v>
      </c>
      <c r="B1123" t="s">
        <v>8</v>
      </c>
      <c r="C1123" s="1">
        <v>47.5</v>
      </c>
      <c r="D1123" s="1" t="s">
        <v>16</v>
      </c>
      <c r="E1123" s="1">
        <v>4</v>
      </c>
      <c r="F1123" s="1">
        <v>7</v>
      </c>
      <c r="G1123" s="1">
        <v>10</v>
      </c>
      <c r="H1123" s="29">
        <v>1E-4</v>
      </c>
      <c r="I1123">
        <f t="shared" si="52"/>
        <v>8.5</v>
      </c>
      <c r="J1123">
        <v>10</v>
      </c>
      <c r="K1123" s="16">
        <f t="shared" si="53"/>
        <v>8499999.9999999981</v>
      </c>
    </row>
    <row r="1124" spans="1:11">
      <c r="A1124">
        <v>1</v>
      </c>
      <c r="B1124" t="s">
        <v>8</v>
      </c>
      <c r="C1124" s="1">
        <v>47.5</v>
      </c>
      <c r="D1124" s="1" t="s">
        <v>16</v>
      </c>
      <c r="E1124" s="1">
        <v>5</v>
      </c>
      <c r="F1124" s="1">
        <v>6</v>
      </c>
      <c r="G1124" s="1">
        <v>4</v>
      </c>
      <c r="H1124" s="29">
        <v>1.0000000000000001E-5</v>
      </c>
      <c r="I1124">
        <f t="shared" si="52"/>
        <v>5</v>
      </c>
      <c r="J1124">
        <v>10</v>
      </c>
      <c r="K1124" s="16">
        <f t="shared" si="53"/>
        <v>49999999.999999993</v>
      </c>
    </row>
    <row r="1125" spans="1:11">
      <c r="A1125">
        <v>1</v>
      </c>
      <c r="B1125" t="s">
        <v>8</v>
      </c>
      <c r="C1125" s="1">
        <v>47.5</v>
      </c>
      <c r="D1125" s="1" t="s">
        <v>16</v>
      </c>
      <c r="E1125" s="1">
        <v>6</v>
      </c>
      <c r="F1125" s="1">
        <v>6</v>
      </c>
      <c r="G1125" s="1">
        <v>7</v>
      </c>
      <c r="H1125" s="29">
        <v>1E-4</v>
      </c>
      <c r="I1125">
        <f t="shared" ref="I1125:I1154" si="54">AVERAGE(F1125:G1125)</f>
        <v>6.5</v>
      </c>
      <c r="J1125">
        <v>10</v>
      </c>
      <c r="K1125" s="16">
        <f t="shared" si="53"/>
        <v>6499999.9999999991</v>
      </c>
    </row>
    <row r="1126" spans="1:11">
      <c r="A1126">
        <v>1</v>
      </c>
      <c r="B1126" t="s">
        <v>8</v>
      </c>
      <c r="C1126" s="1">
        <v>47.5</v>
      </c>
      <c r="D1126" s="1" t="s">
        <v>16</v>
      </c>
      <c r="E1126" s="1">
        <v>7</v>
      </c>
      <c r="F1126" s="1">
        <v>5</v>
      </c>
      <c r="G1126" s="1">
        <v>9</v>
      </c>
      <c r="H1126" s="29">
        <v>1E-4</v>
      </c>
      <c r="I1126">
        <f t="shared" si="54"/>
        <v>7</v>
      </c>
      <c r="J1126">
        <v>10</v>
      </c>
      <c r="K1126" s="16">
        <f t="shared" si="53"/>
        <v>6999999.9999999991</v>
      </c>
    </row>
    <row r="1127" spans="1:11">
      <c r="A1127">
        <v>1</v>
      </c>
      <c r="B1127" t="s">
        <v>8</v>
      </c>
      <c r="C1127" s="1">
        <v>47.5</v>
      </c>
      <c r="D1127" s="1" t="s">
        <v>16</v>
      </c>
      <c r="E1127" s="1">
        <v>8</v>
      </c>
      <c r="F1127" s="1">
        <v>10</v>
      </c>
      <c r="G1127" s="1">
        <v>8</v>
      </c>
      <c r="H1127" s="29">
        <v>1E-4</v>
      </c>
      <c r="I1127">
        <f t="shared" si="54"/>
        <v>9</v>
      </c>
      <c r="J1127">
        <v>10</v>
      </c>
      <c r="K1127" s="16">
        <f t="shared" si="53"/>
        <v>8999999.9999999981</v>
      </c>
    </row>
    <row r="1128" spans="1:11">
      <c r="A1128">
        <v>1</v>
      </c>
      <c r="B1128" t="s">
        <v>8</v>
      </c>
      <c r="C1128" s="1">
        <v>47.5</v>
      </c>
      <c r="D1128" s="1" t="s">
        <v>16</v>
      </c>
      <c r="E1128" s="1">
        <v>9</v>
      </c>
      <c r="F1128" s="1">
        <v>4</v>
      </c>
      <c r="G1128" s="1">
        <v>5</v>
      </c>
      <c r="H1128" s="29">
        <v>1.0000000000000001E-5</v>
      </c>
      <c r="I1128">
        <f t="shared" si="54"/>
        <v>4.5</v>
      </c>
      <c r="J1128">
        <v>10</v>
      </c>
      <c r="K1128" s="16">
        <f t="shared" si="53"/>
        <v>44999999.999999993</v>
      </c>
    </row>
    <row r="1129" spans="1:11">
      <c r="A1129">
        <v>1</v>
      </c>
      <c r="B1129" t="s">
        <v>8</v>
      </c>
      <c r="C1129" s="1">
        <v>47.5</v>
      </c>
      <c r="D1129" s="1" t="s">
        <v>16</v>
      </c>
      <c r="E1129" s="1">
        <v>10</v>
      </c>
      <c r="F1129" s="1">
        <v>9</v>
      </c>
      <c r="G1129" s="1">
        <v>11</v>
      </c>
      <c r="H1129" s="29">
        <v>1.0000000000000001E-5</v>
      </c>
      <c r="I1129">
        <f t="shared" si="54"/>
        <v>10</v>
      </c>
      <c r="J1129">
        <v>10</v>
      </c>
      <c r="K1129" s="16">
        <f t="shared" si="53"/>
        <v>99999999.999999985</v>
      </c>
    </row>
    <row r="1130" spans="1:11">
      <c r="A1130">
        <v>1</v>
      </c>
      <c r="B1130" t="s">
        <v>8</v>
      </c>
      <c r="C1130" s="1">
        <v>48</v>
      </c>
      <c r="D1130" s="1" t="s">
        <v>16</v>
      </c>
      <c r="E1130" s="1" t="s">
        <v>19</v>
      </c>
      <c r="F1130" s="1">
        <v>6</v>
      </c>
      <c r="G1130" s="1">
        <v>6</v>
      </c>
      <c r="H1130" s="29">
        <v>9.9999999999999995E-7</v>
      </c>
      <c r="I1130">
        <f t="shared" si="54"/>
        <v>6</v>
      </c>
      <c r="J1130">
        <v>10</v>
      </c>
      <c r="K1130" s="16">
        <f t="shared" si="53"/>
        <v>600000000</v>
      </c>
    </row>
    <row r="1131" spans="1:11">
      <c r="A1131">
        <v>1</v>
      </c>
      <c r="B1131" t="s">
        <v>8</v>
      </c>
      <c r="C1131" s="1">
        <v>48</v>
      </c>
      <c r="D1131" s="1" t="s">
        <v>16</v>
      </c>
      <c r="E1131" s="1" t="s">
        <v>20</v>
      </c>
      <c r="F1131" s="1">
        <v>6</v>
      </c>
      <c r="G1131" s="1">
        <v>4</v>
      </c>
      <c r="H1131" s="29">
        <v>9.9999999999999995E-7</v>
      </c>
      <c r="I1131">
        <f t="shared" si="54"/>
        <v>5</v>
      </c>
      <c r="J1131">
        <v>10</v>
      </c>
      <c r="K1131" s="16">
        <f t="shared" si="53"/>
        <v>500000000</v>
      </c>
    </row>
    <row r="1132" spans="1:11">
      <c r="A1132">
        <v>1</v>
      </c>
      <c r="B1132" t="s">
        <v>8</v>
      </c>
      <c r="C1132" s="1">
        <v>48</v>
      </c>
      <c r="D1132" s="1" t="s">
        <v>16</v>
      </c>
      <c r="E1132" s="1" t="s">
        <v>21</v>
      </c>
      <c r="F1132" s="1">
        <v>6</v>
      </c>
      <c r="G1132" s="1">
        <v>4</v>
      </c>
      <c r="H1132" s="29">
        <v>9.9999999999999995E-7</v>
      </c>
      <c r="I1132">
        <f t="shared" si="54"/>
        <v>5</v>
      </c>
      <c r="J1132">
        <v>10</v>
      </c>
      <c r="K1132" s="16">
        <f t="shared" si="53"/>
        <v>500000000</v>
      </c>
    </row>
    <row r="1133" spans="1:11">
      <c r="A1133">
        <v>1</v>
      </c>
      <c r="B1133" t="s">
        <v>8</v>
      </c>
      <c r="C1133" s="1">
        <v>48</v>
      </c>
      <c r="D1133" s="1" t="s">
        <v>16</v>
      </c>
      <c r="E1133" s="1" t="s">
        <v>22</v>
      </c>
      <c r="F1133" s="1">
        <v>7</v>
      </c>
      <c r="G1133" s="1">
        <v>7</v>
      </c>
      <c r="H1133" s="29">
        <v>9.9999999999999995E-7</v>
      </c>
      <c r="I1133">
        <f t="shared" si="54"/>
        <v>7</v>
      </c>
      <c r="J1133">
        <v>10</v>
      </c>
      <c r="K1133" s="16">
        <f t="shared" si="53"/>
        <v>700000000</v>
      </c>
    </row>
    <row r="1134" spans="1:11">
      <c r="A1134">
        <v>1</v>
      </c>
      <c r="B1134" t="s">
        <v>8</v>
      </c>
      <c r="C1134" s="1">
        <v>48</v>
      </c>
      <c r="D1134" s="1" t="s">
        <v>16</v>
      </c>
      <c r="E1134" s="1">
        <v>1</v>
      </c>
      <c r="F1134" s="1">
        <v>6</v>
      </c>
      <c r="G1134" s="1">
        <v>3</v>
      </c>
      <c r="H1134" s="29">
        <v>9.9999999999999995E-7</v>
      </c>
      <c r="I1134">
        <f t="shared" si="54"/>
        <v>4.5</v>
      </c>
      <c r="J1134">
        <v>10</v>
      </c>
      <c r="K1134" s="16">
        <f t="shared" si="53"/>
        <v>450000000</v>
      </c>
    </row>
    <row r="1135" spans="1:11">
      <c r="A1135">
        <v>1</v>
      </c>
      <c r="B1135" t="s">
        <v>8</v>
      </c>
      <c r="C1135" s="1">
        <v>48</v>
      </c>
      <c r="D1135" s="1" t="s">
        <v>16</v>
      </c>
      <c r="E1135" s="1">
        <v>2</v>
      </c>
      <c r="F1135" s="1">
        <v>4</v>
      </c>
      <c r="G1135" s="1">
        <v>5</v>
      </c>
      <c r="H1135" s="29">
        <v>9.9999999999999995E-7</v>
      </c>
      <c r="I1135">
        <f t="shared" si="54"/>
        <v>4.5</v>
      </c>
      <c r="J1135">
        <v>10</v>
      </c>
      <c r="K1135" s="16">
        <f t="shared" si="53"/>
        <v>450000000</v>
      </c>
    </row>
    <row r="1136" spans="1:11">
      <c r="A1136">
        <v>1</v>
      </c>
      <c r="B1136" t="s">
        <v>8</v>
      </c>
      <c r="C1136" s="1">
        <v>48</v>
      </c>
      <c r="D1136" s="1" t="s">
        <v>16</v>
      </c>
      <c r="E1136" s="1">
        <v>3</v>
      </c>
      <c r="F1136" s="1">
        <v>4</v>
      </c>
      <c r="G1136" s="1">
        <v>1</v>
      </c>
      <c r="H1136" s="29">
        <v>9.9999999999999995E-7</v>
      </c>
      <c r="I1136">
        <f t="shared" si="54"/>
        <v>2.5</v>
      </c>
      <c r="J1136">
        <v>10</v>
      </c>
      <c r="K1136" s="16">
        <f t="shared" si="53"/>
        <v>250000000</v>
      </c>
    </row>
    <row r="1137" spans="1:11">
      <c r="A1137">
        <v>1</v>
      </c>
      <c r="B1137" t="s">
        <v>8</v>
      </c>
      <c r="C1137" s="1">
        <v>48</v>
      </c>
      <c r="D1137" s="1" t="s">
        <v>16</v>
      </c>
      <c r="E1137" s="1">
        <v>4</v>
      </c>
      <c r="F1137" s="1">
        <v>3</v>
      </c>
      <c r="G1137" s="1">
        <v>2</v>
      </c>
      <c r="H1137" s="29">
        <v>9.9999999999999995E-7</v>
      </c>
      <c r="I1137">
        <f t="shared" si="54"/>
        <v>2.5</v>
      </c>
      <c r="J1137">
        <v>10</v>
      </c>
      <c r="K1137" s="16">
        <f t="shared" si="53"/>
        <v>250000000</v>
      </c>
    </row>
    <row r="1138" spans="1:11">
      <c r="A1138">
        <v>1</v>
      </c>
      <c r="B1138" t="s">
        <v>8</v>
      </c>
      <c r="C1138" s="1">
        <v>48</v>
      </c>
      <c r="D1138" s="1" t="s">
        <v>16</v>
      </c>
      <c r="E1138" s="1">
        <v>5</v>
      </c>
      <c r="F1138" s="1">
        <v>28</v>
      </c>
      <c r="G1138" s="30">
        <v>40</v>
      </c>
      <c r="H1138" s="29">
        <v>1.0000000000000001E-5</v>
      </c>
      <c r="I1138">
        <f t="shared" si="54"/>
        <v>34</v>
      </c>
      <c r="J1138">
        <v>10</v>
      </c>
      <c r="K1138" s="16">
        <f t="shared" si="53"/>
        <v>340000000</v>
      </c>
    </row>
    <row r="1139" spans="1:11">
      <c r="A1139">
        <v>1</v>
      </c>
      <c r="B1139" t="s">
        <v>8</v>
      </c>
      <c r="C1139" s="1">
        <v>48</v>
      </c>
      <c r="D1139" s="1" t="s">
        <v>16</v>
      </c>
      <c r="E1139" s="1">
        <v>6</v>
      </c>
      <c r="F1139" s="1">
        <v>2</v>
      </c>
      <c r="G1139" s="1">
        <v>2</v>
      </c>
      <c r="H1139" s="29">
        <v>9.9999999999999995E-7</v>
      </c>
      <c r="I1139">
        <f t="shared" si="54"/>
        <v>2</v>
      </c>
      <c r="J1139">
        <v>10</v>
      </c>
      <c r="K1139" s="16">
        <f t="shared" si="53"/>
        <v>200000000</v>
      </c>
    </row>
    <row r="1140" spans="1:11">
      <c r="A1140">
        <v>1</v>
      </c>
      <c r="B1140" t="s">
        <v>8</v>
      </c>
      <c r="C1140" s="1">
        <v>48</v>
      </c>
      <c r="D1140" s="1" t="s">
        <v>16</v>
      </c>
      <c r="E1140" s="1">
        <v>7</v>
      </c>
      <c r="F1140" s="1">
        <v>5</v>
      </c>
      <c r="G1140" s="1">
        <v>6</v>
      </c>
      <c r="H1140" s="29">
        <v>9.9999999999999995E-7</v>
      </c>
      <c r="I1140">
        <f t="shared" si="54"/>
        <v>5.5</v>
      </c>
      <c r="J1140">
        <v>10</v>
      </c>
      <c r="K1140" s="16">
        <f t="shared" si="53"/>
        <v>550000000</v>
      </c>
    </row>
    <row r="1141" spans="1:11">
      <c r="A1141">
        <v>1</v>
      </c>
      <c r="B1141" t="s">
        <v>8</v>
      </c>
      <c r="C1141" s="1">
        <v>48</v>
      </c>
      <c r="D1141" s="1" t="s">
        <v>16</v>
      </c>
      <c r="E1141" s="1">
        <v>8</v>
      </c>
      <c r="F1141" s="1">
        <v>8</v>
      </c>
      <c r="G1141" s="1">
        <v>3</v>
      </c>
      <c r="H1141" s="29">
        <v>9.9999999999999995E-7</v>
      </c>
      <c r="I1141">
        <f t="shared" si="54"/>
        <v>5.5</v>
      </c>
      <c r="J1141">
        <v>10</v>
      </c>
      <c r="K1141" s="16">
        <f t="shared" si="53"/>
        <v>550000000</v>
      </c>
    </row>
    <row r="1142" spans="1:11">
      <c r="A1142">
        <v>1</v>
      </c>
      <c r="B1142" t="s">
        <v>8</v>
      </c>
      <c r="C1142" s="1">
        <v>48</v>
      </c>
      <c r="D1142" s="1" t="s">
        <v>16</v>
      </c>
      <c r="E1142" s="1">
        <v>9</v>
      </c>
      <c r="F1142" s="30">
        <v>40</v>
      </c>
      <c r="G1142" s="1">
        <v>20</v>
      </c>
      <c r="H1142" s="29">
        <v>1.0000000000000001E-5</v>
      </c>
      <c r="I1142">
        <f t="shared" si="54"/>
        <v>30</v>
      </c>
      <c r="J1142">
        <v>10</v>
      </c>
      <c r="K1142" s="16">
        <f t="shared" si="53"/>
        <v>300000000</v>
      </c>
    </row>
    <row r="1143" spans="1:11">
      <c r="A1143">
        <v>1</v>
      </c>
      <c r="B1143" t="s">
        <v>8</v>
      </c>
      <c r="C1143" s="1">
        <v>48</v>
      </c>
      <c r="D1143" s="1" t="s">
        <v>16</v>
      </c>
      <c r="E1143" s="1">
        <v>10</v>
      </c>
      <c r="F1143" s="1">
        <v>4</v>
      </c>
      <c r="G1143" s="1">
        <v>2</v>
      </c>
      <c r="H1143" s="29">
        <v>9.9999999999999995E-7</v>
      </c>
      <c r="I1143">
        <f t="shared" si="54"/>
        <v>3</v>
      </c>
      <c r="J1143">
        <v>10</v>
      </c>
      <c r="K1143" s="16">
        <f t="shared" si="53"/>
        <v>300000000</v>
      </c>
    </row>
    <row r="1144" spans="1:11">
      <c r="A1144">
        <v>1</v>
      </c>
      <c r="B1144" t="s">
        <v>8</v>
      </c>
      <c r="C1144" s="1">
        <v>48.5</v>
      </c>
      <c r="D1144" s="1" t="s">
        <v>16</v>
      </c>
      <c r="E1144" s="1">
        <v>1</v>
      </c>
      <c r="F1144" s="31">
        <v>24</v>
      </c>
      <c r="G1144" s="31">
        <v>26</v>
      </c>
      <c r="H1144" s="29">
        <v>1E-4</v>
      </c>
      <c r="I1144">
        <f t="shared" si="54"/>
        <v>25</v>
      </c>
      <c r="J1144">
        <v>10</v>
      </c>
      <c r="K1144" s="16">
        <f t="shared" si="53"/>
        <v>24999999.999999996</v>
      </c>
    </row>
    <row r="1145" spans="1:11">
      <c r="A1145">
        <v>1</v>
      </c>
      <c r="B1145" t="s">
        <v>8</v>
      </c>
      <c r="C1145" s="1">
        <v>48.5</v>
      </c>
      <c r="D1145" s="1" t="s">
        <v>16</v>
      </c>
      <c r="E1145" s="1">
        <v>2</v>
      </c>
      <c r="F1145" s="1">
        <v>18</v>
      </c>
      <c r="G1145" s="1">
        <v>14</v>
      </c>
      <c r="H1145" s="29">
        <v>1.0000000000000001E-5</v>
      </c>
      <c r="I1145">
        <f t="shared" si="54"/>
        <v>16</v>
      </c>
      <c r="J1145">
        <v>10</v>
      </c>
      <c r="K1145" s="16">
        <f t="shared" si="53"/>
        <v>160000000</v>
      </c>
    </row>
    <row r="1146" spans="1:11">
      <c r="A1146">
        <v>1</v>
      </c>
      <c r="B1146" t="s">
        <v>8</v>
      </c>
      <c r="C1146" s="1">
        <v>48.5</v>
      </c>
      <c r="D1146" s="1" t="s">
        <v>16</v>
      </c>
      <c r="E1146" s="1">
        <v>3</v>
      </c>
      <c r="F1146" s="1">
        <v>12</v>
      </c>
      <c r="G1146" s="1">
        <v>8</v>
      </c>
      <c r="H1146" s="29">
        <v>1.0000000000000001E-5</v>
      </c>
      <c r="I1146">
        <f t="shared" si="54"/>
        <v>10</v>
      </c>
      <c r="J1146">
        <v>10</v>
      </c>
      <c r="K1146" s="16">
        <f t="shared" si="53"/>
        <v>99999999.999999985</v>
      </c>
    </row>
    <row r="1147" spans="1:11">
      <c r="A1147">
        <v>1</v>
      </c>
      <c r="B1147" t="s">
        <v>8</v>
      </c>
      <c r="C1147" s="1">
        <v>48.5</v>
      </c>
      <c r="D1147" s="1" t="s">
        <v>16</v>
      </c>
      <c r="E1147" s="1">
        <v>4</v>
      </c>
      <c r="F1147" s="1">
        <v>3</v>
      </c>
      <c r="G1147" s="1">
        <v>3</v>
      </c>
      <c r="H1147" s="29">
        <v>1.0000000000000001E-5</v>
      </c>
      <c r="I1147">
        <f t="shared" si="54"/>
        <v>3</v>
      </c>
      <c r="J1147">
        <v>10</v>
      </c>
      <c r="K1147" s="16">
        <f t="shared" si="53"/>
        <v>29999999.999999996</v>
      </c>
    </row>
    <row r="1148" spans="1:11">
      <c r="A1148">
        <v>1</v>
      </c>
      <c r="B1148" t="s">
        <v>8</v>
      </c>
      <c r="C1148" s="1">
        <v>48.5</v>
      </c>
      <c r="D1148" s="1" t="s">
        <v>16</v>
      </c>
      <c r="E1148" s="1">
        <v>5</v>
      </c>
      <c r="F1148" s="1">
        <v>9</v>
      </c>
      <c r="G1148" s="1">
        <v>4</v>
      </c>
      <c r="H1148" s="29">
        <v>1.0000000000000001E-5</v>
      </c>
      <c r="I1148">
        <f t="shared" si="54"/>
        <v>6.5</v>
      </c>
      <c r="J1148">
        <v>10</v>
      </c>
      <c r="K1148" s="16">
        <f t="shared" si="53"/>
        <v>64999999.999999993</v>
      </c>
    </row>
    <row r="1149" spans="1:11">
      <c r="A1149">
        <v>1</v>
      </c>
      <c r="B1149" t="s">
        <v>8</v>
      </c>
      <c r="C1149" s="1">
        <v>48.5</v>
      </c>
      <c r="D1149" s="1" t="s">
        <v>16</v>
      </c>
      <c r="E1149" s="1">
        <v>6</v>
      </c>
      <c r="F1149" s="1">
        <v>3</v>
      </c>
      <c r="G1149" s="1">
        <v>3</v>
      </c>
      <c r="H1149" s="29">
        <v>1.0000000000000001E-5</v>
      </c>
      <c r="I1149">
        <f t="shared" si="54"/>
        <v>3</v>
      </c>
      <c r="J1149">
        <v>10</v>
      </c>
      <c r="K1149" s="16">
        <f t="shared" si="53"/>
        <v>29999999.999999996</v>
      </c>
    </row>
    <row r="1150" spans="1:11">
      <c r="A1150">
        <v>1</v>
      </c>
      <c r="B1150" t="s">
        <v>8</v>
      </c>
      <c r="C1150" s="1">
        <v>48.5</v>
      </c>
      <c r="D1150" s="1" t="s">
        <v>16</v>
      </c>
      <c r="E1150" s="1">
        <v>7</v>
      </c>
      <c r="F1150" s="1">
        <v>5</v>
      </c>
      <c r="G1150" s="1">
        <v>3</v>
      </c>
      <c r="H1150" s="29">
        <v>1.0000000000000001E-5</v>
      </c>
      <c r="I1150">
        <f t="shared" si="54"/>
        <v>4</v>
      </c>
      <c r="J1150">
        <v>10</v>
      </c>
      <c r="K1150" s="16">
        <f t="shared" si="53"/>
        <v>40000000</v>
      </c>
    </row>
    <row r="1151" spans="1:11">
      <c r="A1151">
        <v>1</v>
      </c>
      <c r="B1151" t="s">
        <v>8</v>
      </c>
      <c r="C1151" s="1">
        <v>48.5</v>
      </c>
      <c r="D1151" s="1" t="s">
        <v>16</v>
      </c>
      <c r="E1151" s="1">
        <v>8</v>
      </c>
      <c r="F1151" s="1">
        <v>29</v>
      </c>
      <c r="G1151" s="1">
        <v>24</v>
      </c>
      <c r="H1151" s="29">
        <v>1E-4</v>
      </c>
      <c r="I1151">
        <f t="shared" si="54"/>
        <v>26.5</v>
      </c>
      <c r="J1151">
        <v>10</v>
      </c>
      <c r="K1151" s="16">
        <f t="shared" si="53"/>
        <v>26499999.999999996</v>
      </c>
    </row>
    <row r="1152" spans="1:11">
      <c r="A1152">
        <v>1</v>
      </c>
      <c r="B1152" t="s">
        <v>8</v>
      </c>
      <c r="C1152" s="1">
        <v>48.5</v>
      </c>
      <c r="D1152" s="1" t="s">
        <v>16</v>
      </c>
      <c r="E1152" s="1">
        <v>9</v>
      </c>
      <c r="F1152" s="30">
        <v>40</v>
      </c>
      <c r="G1152" s="1">
        <v>30</v>
      </c>
      <c r="H1152" s="29">
        <v>1E-4</v>
      </c>
      <c r="I1152">
        <f t="shared" si="54"/>
        <v>35</v>
      </c>
      <c r="J1152">
        <v>10</v>
      </c>
      <c r="K1152" s="16">
        <f t="shared" si="53"/>
        <v>34999999.999999993</v>
      </c>
    </row>
    <row r="1153" spans="1:11">
      <c r="A1153">
        <v>1</v>
      </c>
      <c r="B1153" t="s">
        <v>8</v>
      </c>
      <c r="C1153" s="1">
        <v>48.5</v>
      </c>
      <c r="D1153" s="1" t="s">
        <v>16</v>
      </c>
      <c r="E1153" s="1">
        <v>10</v>
      </c>
      <c r="F1153" s="1">
        <v>5</v>
      </c>
      <c r="G1153" s="1">
        <v>5</v>
      </c>
      <c r="H1153" s="29">
        <v>1.0000000000000001E-5</v>
      </c>
      <c r="I1153">
        <f t="shared" si="54"/>
        <v>5</v>
      </c>
      <c r="J1153">
        <v>10</v>
      </c>
      <c r="K1153" s="16">
        <f t="shared" si="53"/>
        <v>49999999.999999993</v>
      </c>
    </row>
    <row r="1154" spans="1:11">
      <c r="A1154">
        <v>1</v>
      </c>
      <c r="B1154" t="s">
        <v>8</v>
      </c>
      <c r="C1154" s="1">
        <v>49</v>
      </c>
      <c r="D1154" s="1" t="s">
        <v>16</v>
      </c>
      <c r="E1154" s="1" t="s">
        <v>19</v>
      </c>
      <c r="F1154" s="1">
        <v>12</v>
      </c>
      <c r="G1154" s="1">
        <v>6</v>
      </c>
      <c r="H1154" s="29">
        <v>9.9999999999999995E-7</v>
      </c>
      <c r="I1154">
        <f t="shared" si="54"/>
        <v>9</v>
      </c>
      <c r="J1154">
        <v>10</v>
      </c>
      <c r="K1154" s="16">
        <f t="shared" si="53"/>
        <v>900000000</v>
      </c>
    </row>
    <row r="1155" spans="1:11">
      <c r="A1155">
        <v>1</v>
      </c>
      <c r="B1155" t="s">
        <v>8</v>
      </c>
      <c r="C1155" s="1">
        <v>49</v>
      </c>
      <c r="D1155" s="1" t="s">
        <v>16</v>
      </c>
      <c r="E1155" s="1" t="s">
        <v>20</v>
      </c>
      <c r="F1155" s="1">
        <v>6</v>
      </c>
      <c r="G1155" s="1">
        <v>7</v>
      </c>
      <c r="H1155" s="29">
        <v>9.9999999999999995E-7</v>
      </c>
      <c r="I1155">
        <f t="shared" ref="I1155:I1191" si="55">AVERAGE(F1155:G1155)</f>
        <v>6.5</v>
      </c>
      <c r="J1155">
        <v>10</v>
      </c>
      <c r="K1155" s="16">
        <f t="shared" si="53"/>
        <v>650000000</v>
      </c>
    </row>
    <row r="1156" spans="1:11">
      <c r="A1156">
        <v>1</v>
      </c>
      <c r="B1156" t="s">
        <v>8</v>
      </c>
      <c r="C1156" s="1">
        <v>49</v>
      </c>
      <c r="D1156" s="1" t="s">
        <v>16</v>
      </c>
      <c r="E1156" s="1" t="s">
        <v>21</v>
      </c>
      <c r="F1156" s="1">
        <v>8</v>
      </c>
      <c r="G1156" s="1">
        <v>9</v>
      </c>
      <c r="H1156" s="29">
        <v>9.9999999999999995E-7</v>
      </c>
      <c r="I1156">
        <f t="shared" si="55"/>
        <v>8.5</v>
      </c>
      <c r="J1156">
        <v>10</v>
      </c>
      <c r="K1156" s="16">
        <f t="shared" si="53"/>
        <v>850000000</v>
      </c>
    </row>
    <row r="1157" spans="1:11">
      <c r="A1157">
        <v>1</v>
      </c>
      <c r="B1157" t="s">
        <v>8</v>
      </c>
      <c r="C1157" s="1">
        <v>49</v>
      </c>
      <c r="D1157" s="1" t="s">
        <v>16</v>
      </c>
      <c r="E1157" s="1" t="s">
        <v>22</v>
      </c>
      <c r="F1157" s="1">
        <v>7</v>
      </c>
      <c r="G1157" s="1">
        <v>11</v>
      </c>
      <c r="H1157" s="29">
        <v>9.9999999999999995E-7</v>
      </c>
      <c r="I1157">
        <f t="shared" si="55"/>
        <v>9</v>
      </c>
      <c r="J1157">
        <v>10</v>
      </c>
      <c r="K1157" s="16">
        <f t="shared" si="53"/>
        <v>900000000</v>
      </c>
    </row>
    <row r="1158" spans="1:11">
      <c r="A1158">
        <v>1</v>
      </c>
      <c r="B1158" t="s">
        <v>8</v>
      </c>
      <c r="C1158" s="1">
        <v>49</v>
      </c>
      <c r="D1158" s="1" t="s">
        <v>16</v>
      </c>
      <c r="E1158" s="1">
        <v>1</v>
      </c>
      <c r="F1158" s="1">
        <v>2</v>
      </c>
      <c r="G1158" s="1">
        <v>3</v>
      </c>
      <c r="H1158" s="29">
        <v>9.9999999999999995E-7</v>
      </c>
      <c r="I1158">
        <f t="shared" si="55"/>
        <v>2.5</v>
      </c>
      <c r="J1158">
        <v>10</v>
      </c>
      <c r="K1158" s="16">
        <f t="shared" si="53"/>
        <v>250000000</v>
      </c>
    </row>
    <row r="1159" spans="1:11">
      <c r="A1159">
        <v>1</v>
      </c>
      <c r="B1159" t="s">
        <v>8</v>
      </c>
      <c r="C1159" s="1">
        <v>49</v>
      </c>
      <c r="D1159" s="1" t="s">
        <v>16</v>
      </c>
      <c r="E1159" s="1">
        <v>2</v>
      </c>
      <c r="F1159" s="30">
        <v>40</v>
      </c>
      <c r="G1159" s="1">
        <v>44</v>
      </c>
      <c r="H1159" s="29">
        <v>1.0000000000000001E-5</v>
      </c>
      <c r="I1159">
        <f t="shared" si="55"/>
        <v>42</v>
      </c>
      <c r="J1159">
        <v>10</v>
      </c>
      <c r="K1159" s="16">
        <f t="shared" si="53"/>
        <v>419999999.99999994</v>
      </c>
    </row>
    <row r="1160" spans="1:11">
      <c r="A1160">
        <v>1</v>
      </c>
      <c r="B1160" t="s">
        <v>8</v>
      </c>
      <c r="C1160" s="1">
        <v>49</v>
      </c>
      <c r="D1160" s="1" t="s">
        <v>16</v>
      </c>
      <c r="E1160" s="1">
        <v>3</v>
      </c>
      <c r="F1160" s="30">
        <v>10</v>
      </c>
      <c r="G1160" s="1">
        <v>19</v>
      </c>
      <c r="H1160" s="29">
        <v>1.0000000000000001E-5</v>
      </c>
      <c r="I1160">
        <f t="shared" si="55"/>
        <v>14.5</v>
      </c>
      <c r="J1160">
        <v>10</v>
      </c>
      <c r="K1160" s="16">
        <f t="shared" si="53"/>
        <v>145000000</v>
      </c>
    </row>
    <row r="1161" spans="1:11">
      <c r="A1161">
        <v>1</v>
      </c>
      <c r="B1161" t="s">
        <v>8</v>
      </c>
      <c r="C1161" s="1">
        <v>49</v>
      </c>
      <c r="D1161" s="1" t="s">
        <v>16</v>
      </c>
      <c r="E1161" s="1">
        <v>4</v>
      </c>
      <c r="F1161" s="1">
        <v>3</v>
      </c>
      <c r="G1161" s="1">
        <v>2</v>
      </c>
      <c r="H1161" s="29">
        <v>9.9999999999999995E-7</v>
      </c>
      <c r="I1161">
        <f t="shared" si="55"/>
        <v>2.5</v>
      </c>
      <c r="J1161">
        <v>10</v>
      </c>
      <c r="K1161" s="16">
        <f t="shared" si="53"/>
        <v>250000000</v>
      </c>
    </row>
    <row r="1162" spans="1:11">
      <c r="A1162">
        <v>1</v>
      </c>
      <c r="B1162" t="s">
        <v>8</v>
      </c>
      <c r="C1162" s="1">
        <v>49</v>
      </c>
      <c r="D1162" s="1" t="s">
        <v>16</v>
      </c>
      <c r="E1162" s="1">
        <v>5</v>
      </c>
      <c r="F1162" s="1">
        <v>2</v>
      </c>
      <c r="G1162" s="1">
        <v>1</v>
      </c>
      <c r="H1162" s="29">
        <v>9.9999999999999995E-7</v>
      </c>
      <c r="I1162">
        <f t="shared" si="55"/>
        <v>1.5</v>
      </c>
      <c r="J1162">
        <v>10</v>
      </c>
      <c r="K1162" s="16">
        <f t="shared" si="53"/>
        <v>150000000</v>
      </c>
    </row>
    <row r="1163" spans="1:11">
      <c r="A1163">
        <v>1</v>
      </c>
      <c r="B1163" t="s">
        <v>8</v>
      </c>
      <c r="C1163" s="1">
        <v>49</v>
      </c>
      <c r="D1163" s="1" t="s">
        <v>16</v>
      </c>
      <c r="E1163" s="1">
        <v>6</v>
      </c>
      <c r="F1163" s="1">
        <v>3</v>
      </c>
      <c r="G1163" s="1">
        <v>8</v>
      </c>
      <c r="H1163" s="29">
        <v>9.9999999999999995E-7</v>
      </c>
      <c r="I1163">
        <f t="shared" si="55"/>
        <v>5.5</v>
      </c>
      <c r="J1163">
        <v>10</v>
      </c>
      <c r="K1163" s="16">
        <f t="shared" si="53"/>
        <v>550000000</v>
      </c>
    </row>
    <row r="1164" spans="1:11">
      <c r="A1164">
        <v>1</v>
      </c>
      <c r="B1164" t="s">
        <v>8</v>
      </c>
      <c r="C1164" s="1">
        <v>49</v>
      </c>
      <c r="D1164" s="1" t="s">
        <v>16</v>
      </c>
      <c r="E1164" s="1">
        <v>7</v>
      </c>
      <c r="F1164" s="1">
        <v>8</v>
      </c>
      <c r="G1164" s="1">
        <v>6</v>
      </c>
      <c r="H1164" s="29">
        <v>9.9999999999999995E-7</v>
      </c>
      <c r="I1164">
        <f t="shared" si="55"/>
        <v>7</v>
      </c>
      <c r="J1164">
        <v>10</v>
      </c>
      <c r="K1164" s="16">
        <f t="shared" si="53"/>
        <v>700000000</v>
      </c>
    </row>
    <row r="1165" spans="1:11">
      <c r="A1165">
        <v>1</v>
      </c>
      <c r="B1165" t="s">
        <v>8</v>
      </c>
      <c r="C1165" s="1">
        <v>49</v>
      </c>
      <c r="D1165" s="1" t="s">
        <v>16</v>
      </c>
      <c r="E1165" s="1">
        <v>8</v>
      </c>
      <c r="F1165" s="1">
        <v>31</v>
      </c>
      <c r="G1165" s="30">
        <v>20</v>
      </c>
      <c r="H1165" s="29">
        <v>1.0000000000000001E-5</v>
      </c>
      <c r="I1165">
        <f t="shared" si="55"/>
        <v>25.5</v>
      </c>
      <c r="J1165">
        <v>10</v>
      </c>
      <c r="K1165" s="16">
        <f t="shared" si="53"/>
        <v>254999999.99999997</v>
      </c>
    </row>
    <row r="1166" spans="1:11">
      <c r="A1166">
        <v>1</v>
      </c>
      <c r="B1166" t="s">
        <v>8</v>
      </c>
      <c r="C1166" s="1">
        <v>49</v>
      </c>
      <c r="D1166" s="1" t="s">
        <v>16</v>
      </c>
      <c r="E1166" s="1">
        <v>9</v>
      </c>
      <c r="F1166" s="1">
        <v>4</v>
      </c>
      <c r="G1166" s="1">
        <v>6</v>
      </c>
      <c r="H1166" s="29">
        <v>9.9999999999999995E-7</v>
      </c>
      <c r="I1166">
        <f t="shared" si="55"/>
        <v>5</v>
      </c>
      <c r="J1166">
        <v>10</v>
      </c>
      <c r="K1166" s="16">
        <f t="shared" si="53"/>
        <v>500000000</v>
      </c>
    </row>
    <row r="1167" spans="1:11">
      <c r="A1167">
        <v>1</v>
      </c>
      <c r="B1167" t="s">
        <v>8</v>
      </c>
      <c r="C1167" s="1">
        <v>49</v>
      </c>
      <c r="D1167" s="1" t="s">
        <v>16</v>
      </c>
      <c r="E1167" s="1">
        <v>10</v>
      </c>
      <c r="F1167" s="1">
        <v>7</v>
      </c>
      <c r="G1167" s="1">
        <v>4</v>
      </c>
      <c r="H1167" s="29">
        <v>9.9999999999999995E-7</v>
      </c>
      <c r="I1167">
        <f t="shared" si="55"/>
        <v>5.5</v>
      </c>
      <c r="J1167">
        <v>10</v>
      </c>
      <c r="K1167" s="16">
        <f t="shared" si="53"/>
        <v>550000000</v>
      </c>
    </row>
    <row r="1168" spans="1:11">
      <c r="A1168">
        <v>1</v>
      </c>
      <c r="B1168" t="s">
        <v>8</v>
      </c>
      <c r="C1168" s="1">
        <v>49.5</v>
      </c>
      <c r="D1168" s="1" t="s">
        <v>16</v>
      </c>
      <c r="E1168" s="1">
        <v>1</v>
      </c>
      <c r="F1168" s="31">
        <v>8</v>
      </c>
      <c r="G1168" s="31">
        <v>8</v>
      </c>
      <c r="H1168" s="32">
        <v>1.0000000000000001E-5</v>
      </c>
      <c r="I1168">
        <f t="shared" si="55"/>
        <v>8</v>
      </c>
      <c r="J1168">
        <v>10</v>
      </c>
      <c r="K1168" s="16">
        <f t="shared" si="53"/>
        <v>80000000</v>
      </c>
    </row>
    <row r="1169" spans="1:11">
      <c r="A1169">
        <v>1</v>
      </c>
      <c r="B1169" t="s">
        <v>8</v>
      </c>
      <c r="C1169" s="1">
        <v>49.5</v>
      </c>
      <c r="D1169" s="1" t="s">
        <v>16</v>
      </c>
      <c r="E1169" s="1">
        <v>2</v>
      </c>
      <c r="F1169" s="1">
        <v>17</v>
      </c>
      <c r="G1169" s="1">
        <v>20</v>
      </c>
      <c r="H1169" s="29">
        <v>1.0000000000000001E-5</v>
      </c>
      <c r="I1169">
        <f t="shared" si="55"/>
        <v>18.5</v>
      </c>
      <c r="J1169">
        <v>10</v>
      </c>
      <c r="K1169" s="16">
        <f t="shared" si="53"/>
        <v>184999999.99999997</v>
      </c>
    </row>
    <row r="1170" spans="1:11">
      <c r="A1170">
        <v>1</v>
      </c>
      <c r="B1170" t="s">
        <v>8</v>
      </c>
      <c r="C1170" s="1">
        <v>49.5</v>
      </c>
      <c r="D1170" s="1" t="s">
        <v>16</v>
      </c>
      <c r="E1170" s="1">
        <v>3</v>
      </c>
      <c r="F1170" s="1">
        <v>5</v>
      </c>
      <c r="G1170" s="1">
        <v>11</v>
      </c>
      <c r="H1170" s="29">
        <v>1.0000000000000001E-5</v>
      </c>
      <c r="I1170">
        <f t="shared" si="55"/>
        <v>8</v>
      </c>
      <c r="J1170">
        <v>10</v>
      </c>
      <c r="K1170" s="16">
        <f t="shared" si="53"/>
        <v>80000000</v>
      </c>
    </row>
    <row r="1171" spans="1:11">
      <c r="A1171">
        <v>1</v>
      </c>
      <c r="B1171" t="s">
        <v>8</v>
      </c>
      <c r="C1171" s="1">
        <v>49.5</v>
      </c>
      <c r="D1171" s="1" t="s">
        <v>16</v>
      </c>
      <c r="E1171" s="1">
        <v>4</v>
      </c>
      <c r="F1171" s="1">
        <v>8</v>
      </c>
      <c r="G1171" s="1">
        <v>7</v>
      </c>
      <c r="H1171" s="29">
        <v>1E-4</v>
      </c>
      <c r="I1171">
        <f t="shared" si="55"/>
        <v>7.5</v>
      </c>
      <c r="J1171">
        <v>10</v>
      </c>
      <c r="K1171" s="16">
        <f t="shared" ref="K1171:K1234" si="56">I1171/(H1171*(J1171/1000))</f>
        <v>7499999.9999999991</v>
      </c>
    </row>
    <row r="1172" spans="1:11">
      <c r="A1172">
        <v>1</v>
      </c>
      <c r="B1172" t="s">
        <v>8</v>
      </c>
      <c r="C1172" s="1">
        <v>49.5</v>
      </c>
      <c r="D1172" s="1" t="s">
        <v>16</v>
      </c>
      <c r="E1172" s="1">
        <v>5</v>
      </c>
      <c r="F1172" s="1">
        <v>1</v>
      </c>
      <c r="G1172" s="1">
        <v>3</v>
      </c>
      <c r="H1172" s="29">
        <v>1.0000000000000001E-5</v>
      </c>
      <c r="I1172">
        <f t="shared" si="55"/>
        <v>2</v>
      </c>
      <c r="J1172">
        <v>10</v>
      </c>
      <c r="K1172" s="16">
        <f t="shared" si="56"/>
        <v>20000000</v>
      </c>
    </row>
    <row r="1173" spans="1:11">
      <c r="A1173">
        <v>1</v>
      </c>
      <c r="B1173" t="s">
        <v>8</v>
      </c>
      <c r="C1173" s="1">
        <v>49.5</v>
      </c>
      <c r="D1173" s="1" t="s">
        <v>16</v>
      </c>
      <c r="E1173" s="1">
        <v>6</v>
      </c>
      <c r="F1173" s="1">
        <v>10</v>
      </c>
      <c r="G1173" s="1">
        <v>6</v>
      </c>
      <c r="H1173" s="29">
        <v>1E-4</v>
      </c>
      <c r="I1173">
        <f t="shared" si="55"/>
        <v>8</v>
      </c>
      <c r="J1173">
        <v>10</v>
      </c>
      <c r="K1173" s="16">
        <f t="shared" si="56"/>
        <v>7999999.9999999991</v>
      </c>
    </row>
    <row r="1174" spans="1:11">
      <c r="A1174">
        <v>1</v>
      </c>
      <c r="B1174" t="s">
        <v>8</v>
      </c>
      <c r="C1174" s="1">
        <v>49.5</v>
      </c>
      <c r="D1174" s="1" t="s">
        <v>16</v>
      </c>
      <c r="E1174" s="1">
        <v>7</v>
      </c>
      <c r="F1174" s="1">
        <v>7</v>
      </c>
      <c r="G1174" s="1">
        <v>10</v>
      </c>
      <c r="H1174" s="29">
        <v>1E-4</v>
      </c>
      <c r="I1174">
        <f t="shared" si="55"/>
        <v>8.5</v>
      </c>
      <c r="J1174">
        <v>10</v>
      </c>
      <c r="K1174" s="16">
        <f t="shared" si="56"/>
        <v>8499999.9999999981</v>
      </c>
    </row>
    <row r="1175" spans="1:11">
      <c r="A1175">
        <v>1</v>
      </c>
      <c r="B1175" t="s">
        <v>8</v>
      </c>
      <c r="C1175" s="1">
        <v>49.5</v>
      </c>
      <c r="D1175" s="1" t="s">
        <v>16</v>
      </c>
      <c r="E1175" s="1">
        <v>8</v>
      </c>
      <c r="F1175" s="1">
        <v>3</v>
      </c>
      <c r="G1175" s="1">
        <v>6</v>
      </c>
      <c r="H1175" s="29">
        <v>1.0000000000000001E-5</v>
      </c>
      <c r="I1175">
        <f t="shared" si="55"/>
        <v>4.5</v>
      </c>
      <c r="J1175">
        <v>10</v>
      </c>
      <c r="K1175" s="16">
        <f t="shared" si="56"/>
        <v>44999999.999999993</v>
      </c>
    </row>
    <row r="1176" spans="1:11">
      <c r="A1176">
        <v>1</v>
      </c>
      <c r="B1176" t="s">
        <v>8</v>
      </c>
      <c r="C1176" s="1">
        <v>49.5</v>
      </c>
      <c r="D1176" s="1" t="s">
        <v>16</v>
      </c>
      <c r="E1176" s="1">
        <v>9</v>
      </c>
      <c r="F1176" s="1">
        <v>6</v>
      </c>
      <c r="G1176" s="1">
        <v>4</v>
      </c>
      <c r="H1176" s="29">
        <v>1.0000000000000001E-5</v>
      </c>
      <c r="I1176">
        <f t="shared" si="55"/>
        <v>5</v>
      </c>
      <c r="J1176">
        <v>10</v>
      </c>
      <c r="K1176" s="16">
        <f t="shared" si="56"/>
        <v>49999999.999999993</v>
      </c>
    </row>
    <row r="1177" spans="1:11">
      <c r="A1177">
        <v>1</v>
      </c>
      <c r="B1177" t="s">
        <v>8</v>
      </c>
      <c r="C1177" s="1">
        <v>49.5</v>
      </c>
      <c r="D1177" s="1" t="s">
        <v>16</v>
      </c>
      <c r="E1177" s="1">
        <v>10</v>
      </c>
      <c r="F1177" s="1">
        <v>8</v>
      </c>
      <c r="G1177" s="1">
        <v>7</v>
      </c>
      <c r="H1177" s="29">
        <v>1.0000000000000001E-5</v>
      </c>
      <c r="I1177">
        <f t="shared" si="55"/>
        <v>7.5</v>
      </c>
      <c r="J1177">
        <v>10</v>
      </c>
      <c r="K1177" s="16">
        <f t="shared" si="56"/>
        <v>75000000</v>
      </c>
    </row>
    <row r="1178" spans="1:11">
      <c r="A1178">
        <v>1</v>
      </c>
      <c r="B1178" t="s">
        <v>8</v>
      </c>
      <c r="C1178" s="1">
        <v>50</v>
      </c>
      <c r="D1178" s="1" t="s">
        <v>16</v>
      </c>
      <c r="E1178" s="1" t="s">
        <v>19</v>
      </c>
      <c r="F1178" s="1">
        <v>6</v>
      </c>
      <c r="G1178" s="1">
        <v>6</v>
      </c>
      <c r="H1178" s="29">
        <v>9.9999999999999995E-7</v>
      </c>
      <c r="I1178">
        <f t="shared" si="55"/>
        <v>6</v>
      </c>
      <c r="J1178">
        <v>10</v>
      </c>
      <c r="K1178" s="16">
        <f t="shared" si="56"/>
        <v>600000000</v>
      </c>
    </row>
    <row r="1179" spans="1:11">
      <c r="A1179">
        <v>1</v>
      </c>
      <c r="B1179" t="s">
        <v>8</v>
      </c>
      <c r="C1179" s="1">
        <v>50</v>
      </c>
      <c r="D1179" s="1" t="s">
        <v>16</v>
      </c>
      <c r="E1179" s="1" t="s">
        <v>20</v>
      </c>
      <c r="F1179" s="1">
        <v>7</v>
      </c>
      <c r="G1179" s="1">
        <v>10</v>
      </c>
      <c r="H1179" s="29">
        <v>9.9999999999999995E-7</v>
      </c>
      <c r="I1179">
        <f t="shared" si="55"/>
        <v>8.5</v>
      </c>
      <c r="J1179">
        <v>10</v>
      </c>
      <c r="K1179" s="16">
        <f t="shared" si="56"/>
        <v>850000000</v>
      </c>
    </row>
    <row r="1180" spans="1:11">
      <c r="A1180">
        <v>1</v>
      </c>
      <c r="B1180" t="s">
        <v>8</v>
      </c>
      <c r="C1180" s="1">
        <v>50</v>
      </c>
      <c r="D1180" s="1" t="s">
        <v>16</v>
      </c>
      <c r="E1180" s="1" t="s">
        <v>21</v>
      </c>
      <c r="F1180" s="1">
        <v>10</v>
      </c>
      <c r="G1180" s="1">
        <v>11</v>
      </c>
      <c r="H1180" s="29">
        <v>9.9999999999999995E-7</v>
      </c>
      <c r="I1180">
        <f t="shared" si="55"/>
        <v>10.5</v>
      </c>
      <c r="J1180">
        <v>10</v>
      </c>
      <c r="K1180" s="16">
        <f t="shared" si="56"/>
        <v>1050000000</v>
      </c>
    </row>
    <row r="1181" spans="1:11">
      <c r="A1181">
        <v>1</v>
      </c>
      <c r="B1181" t="s">
        <v>8</v>
      </c>
      <c r="C1181" s="1">
        <v>50</v>
      </c>
      <c r="D1181" s="1" t="s">
        <v>16</v>
      </c>
      <c r="E1181" s="1" t="s">
        <v>22</v>
      </c>
      <c r="F1181" s="1">
        <v>5</v>
      </c>
      <c r="G1181" s="1">
        <v>9</v>
      </c>
      <c r="H1181" s="29">
        <v>9.9999999999999995E-7</v>
      </c>
      <c r="I1181">
        <f t="shared" si="55"/>
        <v>7</v>
      </c>
      <c r="J1181">
        <v>10</v>
      </c>
      <c r="K1181" s="16">
        <f t="shared" si="56"/>
        <v>700000000</v>
      </c>
    </row>
    <row r="1182" spans="1:11">
      <c r="A1182">
        <v>1</v>
      </c>
      <c r="B1182" t="s">
        <v>8</v>
      </c>
      <c r="C1182" s="1">
        <v>50</v>
      </c>
      <c r="D1182" s="1" t="s">
        <v>16</v>
      </c>
      <c r="E1182" s="1">
        <v>1</v>
      </c>
      <c r="F1182" s="1">
        <v>3</v>
      </c>
      <c r="G1182" s="1">
        <v>2</v>
      </c>
      <c r="H1182" s="29">
        <v>9.9999999999999995E-7</v>
      </c>
      <c r="I1182">
        <f t="shared" si="55"/>
        <v>2.5</v>
      </c>
      <c r="J1182">
        <v>10</v>
      </c>
      <c r="K1182" s="16">
        <f t="shared" si="56"/>
        <v>250000000</v>
      </c>
    </row>
    <row r="1183" spans="1:11">
      <c r="A1183">
        <v>1</v>
      </c>
      <c r="B1183" t="s">
        <v>8</v>
      </c>
      <c r="C1183" s="1">
        <v>50</v>
      </c>
      <c r="D1183" s="1" t="s">
        <v>16</v>
      </c>
      <c r="E1183" s="1">
        <v>2</v>
      </c>
      <c r="F1183" s="1">
        <v>3</v>
      </c>
      <c r="G1183" s="1">
        <v>2</v>
      </c>
      <c r="H1183" s="29">
        <v>9.9999999999999995E-7</v>
      </c>
      <c r="I1183">
        <f t="shared" si="55"/>
        <v>2.5</v>
      </c>
      <c r="J1183">
        <v>10</v>
      </c>
      <c r="K1183" s="16">
        <f t="shared" si="56"/>
        <v>250000000</v>
      </c>
    </row>
    <row r="1184" spans="1:11">
      <c r="A1184">
        <v>1</v>
      </c>
      <c r="B1184" t="s">
        <v>8</v>
      </c>
      <c r="C1184" s="1">
        <v>50</v>
      </c>
      <c r="D1184" s="1" t="s">
        <v>16</v>
      </c>
      <c r="E1184" s="1">
        <v>3</v>
      </c>
      <c r="F1184" s="1">
        <v>3</v>
      </c>
      <c r="G1184" s="1">
        <v>2</v>
      </c>
      <c r="H1184" s="29">
        <v>9.9999999999999995E-7</v>
      </c>
      <c r="I1184">
        <f t="shared" si="55"/>
        <v>2.5</v>
      </c>
      <c r="J1184">
        <v>10</v>
      </c>
      <c r="K1184" s="16">
        <f t="shared" si="56"/>
        <v>250000000</v>
      </c>
    </row>
    <row r="1185" spans="1:11">
      <c r="A1185">
        <v>1</v>
      </c>
      <c r="B1185" t="s">
        <v>8</v>
      </c>
      <c r="C1185" s="1">
        <v>50</v>
      </c>
      <c r="D1185" s="1" t="s">
        <v>16</v>
      </c>
      <c r="E1185" s="1">
        <v>4</v>
      </c>
      <c r="F1185" s="1">
        <v>3</v>
      </c>
      <c r="G1185" s="1">
        <v>5</v>
      </c>
      <c r="H1185" s="29">
        <v>9.9999999999999995E-7</v>
      </c>
      <c r="I1185">
        <f t="shared" si="55"/>
        <v>4</v>
      </c>
      <c r="J1185">
        <v>10</v>
      </c>
      <c r="K1185" s="16">
        <f t="shared" si="56"/>
        <v>400000000</v>
      </c>
    </row>
    <row r="1186" spans="1:11">
      <c r="A1186">
        <v>1</v>
      </c>
      <c r="B1186" t="s">
        <v>8</v>
      </c>
      <c r="C1186" s="1">
        <v>50</v>
      </c>
      <c r="D1186" s="1" t="s">
        <v>16</v>
      </c>
      <c r="E1186" s="1">
        <v>5</v>
      </c>
      <c r="F1186" s="1">
        <v>5</v>
      </c>
      <c r="G1186" s="1">
        <v>2</v>
      </c>
      <c r="H1186" s="29">
        <v>9.9999999999999995E-7</v>
      </c>
      <c r="I1186">
        <f t="shared" si="55"/>
        <v>3.5</v>
      </c>
      <c r="J1186">
        <v>10</v>
      </c>
      <c r="K1186" s="16">
        <f t="shared" si="56"/>
        <v>350000000</v>
      </c>
    </row>
    <row r="1187" spans="1:11">
      <c r="A1187">
        <v>1</v>
      </c>
      <c r="B1187" t="s">
        <v>8</v>
      </c>
      <c r="C1187" s="1">
        <v>50</v>
      </c>
      <c r="D1187" s="1" t="s">
        <v>16</v>
      </c>
      <c r="E1187" s="1">
        <v>6</v>
      </c>
      <c r="F1187" s="1">
        <v>7</v>
      </c>
      <c r="G1187" s="1">
        <v>1</v>
      </c>
      <c r="H1187" s="29">
        <v>9.9999999999999995E-7</v>
      </c>
      <c r="I1187">
        <f t="shared" si="55"/>
        <v>4</v>
      </c>
      <c r="J1187">
        <v>10</v>
      </c>
      <c r="K1187" s="16">
        <f t="shared" si="56"/>
        <v>400000000</v>
      </c>
    </row>
    <row r="1188" spans="1:11">
      <c r="A1188">
        <v>1</v>
      </c>
      <c r="B1188" t="s">
        <v>8</v>
      </c>
      <c r="C1188" s="1">
        <v>50</v>
      </c>
      <c r="D1188" s="1" t="s">
        <v>16</v>
      </c>
      <c r="E1188" s="1">
        <v>7</v>
      </c>
      <c r="F1188" s="1">
        <v>10</v>
      </c>
      <c r="G1188" s="1">
        <v>11</v>
      </c>
      <c r="H1188" s="29">
        <v>9.9999999999999995E-7</v>
      </c>
      <c r="I1188">
        <f t="shared" si="55"/>
        <v>10.5</v>
      </c>
      <c r="J1188">
        <v>10</v>
      </c>
      <c r="K1188" s="16">
        <f t="shared" si="56"/>
        <v>1050000000</v>
      </c>
    </row>
    <row r="1189" spans="1:11">
      <c r="A1189">
        <v>1</v>
      </c>
      <c r="B1189" t="s">
        <v>8</v>
      </c>
      <c r="C1189" s="1">
        <v>50</v>
      </c>
      <c r="D1189" s="1" t="s">
        <v>16</v>
      </c>
      <c r="E1189" s="1">
        <v>8</v>
      </c>
      <c r="F1189" s="1">
        <v>3</v>
      </c>
      <c r="G1189" s="1">
        <v>3</v>
      </c>
      <c r="H1189" s="29">
        <v>9.9999999999999995E-7</v>
      </c>
      <c r="I1189">
        <f t="shared" si="55"/>
        <v>3</v>
      </c>
      <c r="J1189">
        <v>10</v>
      </c>
      <c r="K1189" s="16">
        <f t="shared" si="56"/>
        <v>300000000</v>
      </c>
    </row>
    <row r="1190" spans="1:11">
      <c r="A1190">
        <v>1</v>
      </c>
      <c r="B1190" t="s">
        <v>8</v>
      </c>
      <c r="C1190" s="1">
        <v>50</v>
      </c>
      <c r="D1190" s="1" t="s">
        <v>16</v>
      </c>
      <c r="E1190" s="1">
        <v>9</v>
      </c>
      <c r="F1190" s="1">
        <v>4</v>
      </c>
      <c r="G1190" s="1">
        <v>3</v>
      </c>
      <c r="H1190" s="29">
        <v>9.9999999999999995E-7</v>
      </c>
      <c r="I1190">
        <f t="shared" si="55"/>
        <v>3.5</v>
      </c>
      <c r="J1190">
        <v>10</v>
      </c>
      <c r="K1190" s="16">
        <f t="shared" si="56"/>
        <v>350000000</v>
      </c>
    </row>
    <row r="1191" spans="1:11">
      <c r="A1191">
        <v>1</v>
      </c>
      <c r="B1191" t="s">
        <v>8</v>
      </c>
      <c r="C1191" s="1">
        <v>50</v>
      </c>
      <c r="D1191" s="1" t="s">
        <v>16</v>
      </c>
      <c r="E1191" s="1">
        <v>10</v>
      </c>
      <c r="F1191" s="1">
        <v>3</v>
      </c>
      <c r="G1191" s="1">
        <v>1</v>
      </c>
      <c r="H1191" s="29">
        <v>9.9999999999999995E-7</v>
      </c>
      <c r="I1191">
        <f t="shared" si="55"/>
        <v>2</v>
      </c>
      <c r="J1191">
        <v>10</v>
      </c>
      <c r="K1191" s="16">
        <f t="shared" si="56"/>
        <v>200000000</v>
      </c>
    </row>
    <row r="1192" spans="1:11">
      <c r="A1192">
        <v>1</v>
      </c>
      <c r="B1192" t="s">
        <v>8</v>
      </c>
      <c r="C1192" s="1">
        <v>50.5</v>
      </c>
      <c r="D1192" s="1" t="s">
        <v>16</v>
      </c>
      <c r="E1192" s="1">
        <v>1</v>
      </c>
      <c r="F1192" s="31">
        <v>4</v>
      </c>
      <c r="G1192" s="31">
        <v>5</v>
      </c>
      <c r="H1192" s="29">
        <v>1.0000000000000001E-5</v>
      </c>
      <c r="I1192">
        <f t="shared" ref="I1192:I1221" si="57">AVERAGE(F1192:G1192)</f>
        <v>4.5</v>
      </c>
      <c r="J1192">
        <v>10</v>
      </c>
      <c r="K1192" s="16">
        <f t="shared" si="56"/>
        <v>44999999.999999993</v>
      </c>
    </row>
    <row r="1193" spans="1:11">
      <c r="A1193">
        <v>1</v>
      </c>
      <c r="B1193" t="s">
        <v>8</v>
      </c>
      <c r="C1193" s="1">
        <v>50.5</v>
      </c>
      <c r="D1193" s="1" t="s">
        <v>16</v>
      </c>
      <c r="E1193" s="1">
        <v>2</v>
      </c>
      <c r="F1193" s="1">
        <v>12</v>
      </c>
      <c r="G1193" s="1">
        <v>14</v>
      </c>
      <c r="H1193" s="29">
        <v>1.0000000000000001E-5</v>
      </c>
      <c r="I1193">
        <f t="shared" si="57"/>
        <v>13</v>
      </c>
      <c r="J1193">
        <v>10</v>
      </c>
      <c r="K1193" s="16">
        <f t="shared" si="56"/>
        <v>129999999.99999999</v>
      </c>
    </row>
    <row r="1194" spans="1:11">
      <c r="A1194">
        <v>1</v>
      </c>
      <c r="B1194" t="s">
        <v>8</v>
      </c>
      <c r="C1194" s="1">
        <v>50.5</v>
      </c>
      <c r="D1194" s="1" t="s">
        <v>16</v>
      </c>
      <c r="E1194" s="1">
        <v>3</v>
      </c>
      <c r="F1194" s="1">
        <v>4</v>
      </c>
      <c r="G1194" s="1">
        <v>7</v>
      </c>
      <c r="H1194" s="29">
        <v>1.0000000000000001E-5</v>
      </c>
      <c r="I1194">
        <f t="shared" si="57"/>
        <v>5.5</v>
      </c>
      <c r="J1194">
        <v>10</v>
      </c>
      <c r="K1194" s="16">
        <f t="shared" si="56"/>
        <v>54999999.999999993</v>
      </c>
    </row>
    <row r="1195" spans="1:11">
      <c r="A1195">
        <v>1</v>
      </c>
      <c r="B1195" t="s">
        <v>8</v>
      </c>
      <c r="C1195" s="1">
        <v>50.5</v>
      </c>
      <c r="D1195" s="1" t="s">
        <v>16</v>
      </c>
      <c r="E1195" s="1">
        <v>4</v>
      </c>
      <c r="F1195" s="1">
        <v>11</v>
      </c>
      <c r="G1195" s="1">
        <v>16</v>
      </c>
      <c r="H1195" s="29">
        <v>1E-4</v>
      </c>
      <c r="I1195">
        <f t="shared" si="57"/>
        <v>13.5</v>
      </c>
      <c r="J1195">
        <v>10</v>
      </c>
      <c r="K1195" s="16">
        <f t="shared" si="56"/>
        <v>13499999.999999998</v>
      </c>
    </row>
    <row r="1196" spans="1:11">
      <c r="A1196">
        <v>1</v>
      </c>
      <c r="B1196" t="s">
        <v>8</v>
      </c>
      <c r="C1196" s="1">
        <v>50.5</v>
      </c>
      <c r="D1196" s="1" t="s">
        <v>16</v>
      </c>
      <c r="E1196" s="1">
        <v>5</v>
      </c>
      <c r="F1196" s="1">
        <v>13</v>
      </c>
      <c r="G1196" s="1">
        <v>8</v>
      </c>
      <c r="H1196" s="29">
        <v>1E-4</v>
      </c>
      <c r="I1196">
        <f t="shared" si="57"/>
        <v>10.5</v>
      </c>
      <c r="J1196">
        <v>10</v>
      </c>
      <c r="K1196" s="16">
        <f t="shared" si="56"/>
        <v>10499999.999999998</v>
      </c>
    </row>
    <row r="1197" spans="1:11">
      <c r="A1197">
        <v>1</v>
      </c>
      <c r="B1197" t="s">
        <v>8</v>
      </c>
      <c r="C1197" s="1">
        <v>50.5</v>
      </c>
      <c r="D1197" s="1" t="s">
        <v>16</v>
      </c>
      <c r="E1197" s="1">
        <v>6</v>
      </c>
      <c r="F1197" s="1">
        <v>19</v>
      </c>
      <c r="G1197" s="1">
        <v>14</v>
      </c>
      <c r="H1197" s="29">
        <v>1E-4</v>
      </c>
      <c r="I1197">
        <f t="shared" si="57"/>
        <v>16.5</v>
      </c>
      <c r="J1197">
        <v>10</v>
      </c>
      <c r="K1197" s="16">
        <f t="shared" si="56"/>
        <v>16499999.999999998</v>
      </c>
    </row>
    <row r="1198" spans="1:11">
      <c r="A1198">
        <v>1</v>
      </c>
      <c r="B1198" t="s">
        <v>8</v>
      </c>
      <c r="C1198" s="1">
        <v>50.5</v>
      </c>
      <c r="D1198" s="1" t="s">
        <v>16</v>
      </c>
      <c r="E1198" s="1">
        <v>7</v>
      </c>
      <c r="F1198" s="1">
        <v>15</v>
      </c>
      <c r="G1198" s="1">
        <v>10</v>
      </c>
      <c r="H1198" s="29">
        <v>1E-4</v>
      </c>
      <c r="I1198">
        <f t="shared" si="57"/>
        <v>12.5</v>
      </c>
      <c r="J1198">
        <v>10</v>
      </c>
      <c r="K1198" s="16">
        <f t="shared" si="56"/>
        <v>12499999.999999998</v>
      </c>
    </row>
    <row r="1199" spans="1:11">
      <c r="A1199">
        <v>1</v>
      </c>
      <c r="B1199" t="s">
        <v>8</v>
      </c>
      <c r="C1199" s="1">
        <v>50.5</v>
      </c>
      <c r="D1199" s="1" t="s">
        <v>16</v>
      </c>
      <c r="E1199" s="1">
        <v>8</v>
      </c>
      <c r="F1199" s="1">
        <v>3</v>
      </c>
      <c r="G1199" s="1">
        <v>1</v>
      </c>
      <c r="H1199" s="29">
        <v>1.0000000000000001E-5</v>
      </c>
      <c r="I1199">
        <f t="shared" si="57"/>
        <v>2</v>
      </c>
      <c r="J1199">
        <v>10</v>
      </c>
      <c r="K1199" s="16">
        <f t="shared" si="56"/>
        <v>20000000</v>
      </c>
    </row>
    <row r="1200" spans="1:11">
      <c r="A1200">
        <v>1</v>
      </c>
      <c r="B1200" t="s">
        <v>8</v>
      </c>
      <c r="C1200" s="1">
        <v>50.5</v>
      </c>
      <c r="D1200" s="1" t="s">
        <v>16</v>
      </c>
      <c r="E1200" s="1">
        <v>9</v>
      </c>
      <c r="F1200" s="1">
        <v>6</v>
      </c>
      <c r="G1200" s="1">
        <v>4</v>
      </c>
      <c r="H1200" s="29">
        <v>1.0000000000000001E-5</v>
      </c>
      <c r="I1200">
        <f t="shared" si="57"/>
        <v>5</v>
      </c>
      <c r="J1200">
        <v>10</v>
      </c>
      <c r="K1200" s="16">
        <f t="shared" si="56"/>
        <v>49999999.999999993</v>
      </c>
    </row>
    <row r="1201" spans="1:11">
      <c r="A1201">
        <v>1</v>
      </c>
      <c r="B1201" t="s">
        <v>8</v>
      </c>
      <c r="C1201" s="1">
        <v>50.5</v>
      </c>
      <c r="D1201" s="1" t="s">
        <v>16</v>
      </c>
      <c r="E1201" s="1">
        <v>10</v>
      </c>
      <c r="F1201" s="1">
        <v>4</v>
      </c>
      <c r="G1201" s="1">
        <v>4</v>
      </c>
      <c r="H1201" s="29">
        <v>1.0000000000000001E-5</v>
      </c>
      <c r="I1201">
        <f t="shared" si="57"/>
        <v>4</v>
      </c>
      <c r="J1201">
        <v>10</v>
      </c>
      <c r="K1201" s="16">
        <f t="shared" si="56"/>
        <v>40000000</v>
      </c>
    </row>
    <row r="1202" spans="1:11">
      <c r="A1202">
        <v>1</v>
      </c>
      <c r="B1202" t="s">
        <v>8</v>
      </c>
      <c r="C1202">
        <v>51</v>
      </c>
      <c r="D1202" s="1" t="s">
        <v>16</v>
      </c>
      <c r="E1202" s="1">
        <v>1</v>
      </c>
      <c r="F1202">
        <v>22</v>
      </c>
      <c r="G1202" s="5">
        <v>40</v>
      </c>
      <c r="H1202">
        <v>1.0000000000000001E-5</v>
      </c>
      <c r="I1202">
        <f t="shared" si="57"/>
        <v>31</v>
      </c>
      <c r="J1202">
        <v>10</v>
      </c>
      <c r="K1202" s="16">
        <f t="shared" si="56"/>
        <v>310000000</v>
      </c>
    </row>
    <row r="1203" spans="1:11">
      <c r="A1203">
        <v>1</v>
      </c>
      <c r="B1203" t="s">
        <v>8</v>
      </c>
      <c r="C1203">
        <v>51</v>
      </c>
      <c r="D1203" s="1" t="s">
        <v>16</v>
      </c>
      <c r="E1203" s="1">
        <v>2</v>
      </c>
      <c r="F1203">
        <v>18</v>
      </c>
      <c r="G1203">
        <v>14</v>
      </c>
      <c r="H1203">
        <v>1.0000000000000001E-5</v>
      </c>
      <c r="I1203">
        <f t="shared" si="57"/>
        <v>16</v>
      </c>
      <c r="J1203">
        <v>10</v>
      </c>
      <c r="K1203" s="16">
        <f t="shared" si="56"/>
        <v>160000000</v>
      </c>
    </row>
    <row r="1204" spans="1:11">
      <c r="A1204">
        <v>1</v>
      </c>
      <c r="B1204" t="s">
        <v>8</v>
      </c>
      <c r="C1204">
        <v>51</v>
      </c>
      <c r="D1204" s="1" t="s">
        <v>16</v>
      </c>
      <c r="E1204" s="1">
        <v>3</v>
      </c>
      <c r="F1204">
        <v>2</v>
      </c>
      <c r="G1204">
        <v>6</v>
      </c>
      <c r="H1204">
        <v>9.9999999999999995E-7</v>
      </c>
      <c r="I1204">
        <f t="shared" si="57"/>
        <v>4</v>
      </c>
      <c r="J1204">
        <v>10</v>
      </c>
      <c r="K1204" s="16">
        <f t="shared" si="56"/>
        <v>400000000</v>
      </c>
    </row>
    <row r="1205" spans="1:11">
      <c r="A1205">
        <v>1</v>
      </c>
      <c r="B1205" t="s">
        <v>8</v>
      </c>
      <c r="C1205">
        <v>51</v>
      </c>
      <c r="D1205" s="1" t="s">
        <v>16</v>
      </c>
      <c r="E1205" s="1">
        <v>4</v>
      </c>
      <c r="F1205">
        <v>3</v>
      </c>
      <c r="G1205">
        <v>2</v>
      </c>
      <c r="H1205">
        <v>9.9999999999999995E-7</v>
      </c>
      <c r="I1205">
        <f t="shared" si="57"/>
        <v>2.5</v>
      </c>
      <c r="J1205">
        <v>10</v>
      </c>
      <c r="K1205" s="16">
        <f t="shared" si="56"/>
        <v>250000000</v>
      </c>
    </row>
    <row r="1206" spans="1:11">
      <c r="A1206">
        <v>1</v>
      </c>
      <c r="B1206" t="s">
        <v>8</v>
      </c>
      <c r="C1206">
        <v>51</v>
      </c>
      <c r="D1206" s="1" t="s">
        <v>16</v>
      </c>
      <c r="E1206" s="1">
        <v>5</v>
      </c>
      <c r="F1206">
        <v>7</v>
      </c>
      <c r="G1206">
        <v>8</v>
      </c>
      <c r="H1206">
        <v>9.9999999999999995E-7</v>
      </c>
      <c r="I1206">
        <f t="shared" si="57"/>
        <v>7.5</v>
      </c>
      <c r="J1206">
        <v>10</v>
      </c>
      <c r="K1206" s="16">
        <f t="shared" si="56"/>
        <v>750000000</v>
      </c>
    </row>
    <row r="1207" spans="1:11">
      <c r="A1207">
        <v>1</v>
      </c>
      <c r="B1207" t="s">
        <v>8</v>
      </c>
      <c r="C1207">
        <v>51</v>
      </c>
      <c r="D1207" s="1" t="s">
        <v>16</v>
      </c>
      <c r="E1207" s="1">
        <v>6</v>
      </c>
      <c r="F1207">
        <v>31</v>
      </c>
      <c r="G1207" s="5">
        <v>30</v>
      </c>
      <c r="H1207">
        <v>1.0000000000000001E-5</v>
      </c>
      <c r="I1207">
        <f t="shared" si="57"/>
        <v>30.5</v>
      </c>
      <c r="J1207">
        <v>10</v>
      </c>
      <c r="K1207" s="16">
        <f t="shared" si="56"/>
        <v>305000000</v>
      </c>
    </row>
    <row r="1208" spans="1:11">
      <c r="A1208">
        <v>1</v>
      </c>
      <c r="B1208" t="s">
        <v>8</v>
      </c>
      <c r="C1208">
        <v>51</v>
      </c>
      <c r="D1208" s="1" t="s">
        <v>16</v>
      </c>
      <c r="E1208" s="1">
        <v>7</v>
      </c>
      <c r="F1208">
        <v>5</v>
      </c>
      <c r="G1208">
        <v>8</v>
      </c>
      <c r="H1208">
        <v>9.9999999999999995E-7</v>
      </c>
      <c r="I1208">
        <f t="shared" si="57"/>
        <v>6.5</v>
      </c>
      <c r="J1208">
        <v>10</v>
      </c>
      <c r="K1208" s="16">
        <f t="shared" si="56"/>
        <v>650000000</v>
      </c>
    </row>
    <row r="1209" spans="1:11">
      <c r="A1209">
        <v>1</v>
      </c>
      <c r="B1209" t="s">
        <v>8</v>
      </c>
      <c r="C1209">
        <v>51</v>
      </c>
      <c r="D1209" s="1" t="s">
        <v>16</v>
      </c>
      <c r="E1209" s="1">
        <v>8</v>
      </c>
      <c r="F1209">
        <v>17</v>
      </c>
      <c r="G1209" s="5">
        <v>40</v>
      </c>
      <c r="H1209">
        <v>1.0000000000000001E-5</v>
      </c>
      <c r="I1209">
        <f t="shared" si="57"/>
        <v>28.5</v>
      </c>
      <c r="J1209">
        <v>10</v>
      </c>
      <c r="K1209" s="16">
        <f t="shared" si="56"/>
        <v>285000000</v>
      </c>
    </row>
    <row r="1210" spans="1:11">
      <c r="A1210">
        <v>1</v>
      </c>
      <c r="B1210" t="s">
        <v>8</v>
      </c>
      <c r="C1210">
        <v>51</v>
      </c>
      <c r="D1210" s="1" t="s">
        <v>16</v>
      </c>
      <c r="E1210" s="1">
        <v>9</v>
      </c>
      <c r="F1210">
        <v>3</v>
      </c>
      <c r="G1210">
        <v>5</v>
      </c>
      <c r="H1210">
        <v>9.9999999999999995E-7</v>
      </c>
      <c r="I1210">
        <f t="shared" si="57"/>
        <v>4</v>
      </c>
      <c r="J1210">
        <v>10</v>
      </c>
      <c r="K1210" s="16">
        <f t="shared" si="56"/>
        <v>400000000</v>
      </c>
    </row>
    <row r="1211" spans="1:11">
      <c r="A1211">
        <v>1</v>
      </c>
      <c r="B1211" t="s">
        <v>8</v>
      </c>
      <c r="C1211">
        <v>51</v>
      </c>
      <c r="D1211" s="1" t="s">
        <v>16</v>
      </c>
      <c r="E1211" s="1">
        <v>10</v>
      </c>
      <c r="F1211">
        <v>2</v>
      </c>
      <c r="G1211">
        <v>3</v>
      </c>
      <c r="H1211">
        <v>9.9999999999999995E-7</v>
      </c>
      <c r="I1211">
        <f t="shared" si="57"/>
        <v>2.5</v>
      </c>
      <c r="J1211">
        <v>10</v>
      </c>
      <c r="K1211" s="16">
        <f t="shared" si="56"/>
        <v>250000000</v>
      </c>
    </row>
    <row r="1212" spans="1:11">
      <c r="A1212">
        <v>1</v>
      </c>
      <c r="B1212" t="s">
        <v>8</v>
      </c>
      <c r="C1212">
        <v>51.5</v>
      </c>
      <c r="D1212" s="1" t="s">
        <v>16</v>
      </c>
      <c r="E1212" s="1">
        <v>1</v>
      </c>
      <c r="F1212">
        <v>2</v>
      </c>
      <c r="G1212">
        <v>4</v>
      </c>
      <c r="H1212">
        <v>1E-4</v>
      </c>
      <c r="I1212">
        <f t="shared" si="57"/>
        <v>3</v>
      </c>
      <c r="J1212">
        <v>10</v>
      </c>
      <c r="K1212" s="16">
        <f t="shared" si="56"/>
        <v>2999999.9999999995</v>
      </c>
    </row>
    <row r="1213" spans="1:11">
      <c r="A1213">
        <v>1</v>
      </c>
      <c r="B1213" t="s">
        <v>8</v>
      </c>
      <c r="C1213">
        <v>51.5</v>
      </c>
      <c r="D1213" s="1" t="s">
        <v>16</v>
      </c>
      <c r="E1213" s="1">
        <v>2</v>
      </c>
      <c r="F1213">
        <v>1</v>
      </c>
      <c r="G1213">
        <v>4</v>
      </c>
      <c r="H1213">
        <v>1.0000000000000001E-5</v>
      </c>
      <c r="I1213">
        <f t="shared" si="57"/>
        <v>2.5</v>
      </c>
      <c r="J1213">
        <v>10</v>
      </c>
      <c r="K1213" s="16">
        <f t="shared" si="56"/>
        <v>24999999.999999996</v>
      </c>
    </row>
    <row r="1214" spans="1:11">
      <c r="A1214">
        <v>1</v>
      </c>
      <c r="B1214" t="s">
        <v>8</v>
      </c>
      <c r="C1214">
        <v>51.5</v>
      </c>
      <c r="D1214" s="1" t="s">
        <v>16</v>
      </c>
      <c r="E1214" s="1">
        <v>3</v>
      </c>
      <c r="F1214">
        <v>6</v>
      </c>
      <c r="G1214">
        <v>3</v>
      </c>
      <c r="H1214">
        <v>1E-4</v>
      </c>
      <c r="I1214">
        <f t="shared" si="57"/>
        <v>4.5</v>
      </c>
      <c r="J1214">
        <v>10</v>
      </c>
      <c r="K1214" s="16">
        <f t="shared" si="56"/>
        <v>4499999.9999999991</v>
      </c>
    </row>
    <row r="1215" spans="1:11">
      <c r="A1215">
        <v>1</v>
      </c>
      <c r="B1215" t="s">
        <v>8</v>
      </c>
      <c r="C1215">
        <v>51.5</v>
      </c>
      <c r="D1215" s="1" t="s">
        <v>16</v>
      </c>
      <c r="E1215" s="1">
        <v>4</v>
      </c>
      <c r="F1215">
        <v>3</v>
      </c>
      <c r="G1215">
        <v>3</v>
      </c>
      <c r="H1215">
        <v>1E-4</v>
      </c>
      <c r="I1215">
        <f t="shared" si="57"/>
        <v>3</v>
      </c>
      <c r="J1215">
        <v>10</v>
      </c>
      <c r="K1215" s="16">
        <f t="shared" si="56"/>
        <v>2999999.9999999995</v>
      </c>
    </row>
    <row r="1216" spans="1:11">
      <c r="A1216">
        <v>1</v>
      </c>
      <c r="B1216" t="s">
        <v>8</v>
      </c>
      <c r="C1216">
        <v>51.5</v>
      </c>
      <c r="D1216" s="1" t="s">
        <v>16</v>
      </c>
      <c r="E1216" s="1">
        <v>5</v>
      </c>
      <c r="F1216">
        <v>2</v>
      </c>
      <c r="G1216">
        <v>2</v>
      </c>
      <c r="H1216">
        <v>1E-4</v>
      </c>
      <c r="I1216">
        <f t="shared" si="57"/>
        <v>2</v>
      </c>
      <c r="J1216">
        <v>10</v>
      </c>
      <c r="K1216" s="16">
        <f t="shared" si="56"/>
        <v>1999999.9999999998</v>
      </c>
    </row>
    <row r="1217" spans="1:11">
      <c r="A1217">
        <v>1</v>
      </c>
      <c r="B1217" t="s">
        <v>8</v>
      </c>
      <c r="C1217">
        <v>51.5</v>
      </c>
      <c r="D1217" s="1" t="s">
        <v>16</v>
      </c>
      <c r="E1217" s="1">
        <v>6</v>
      </c>
      <c r="F1217">
        <v>2</v>
      </c>
      <c r="G1217">
        <v>8</v>
      </c>
      <c r="H1217">
        <v>1E-4</v>
      </c>
      <c r="I1217">
        <f t="shared" si="57"/>
        <v>5</v>
      </c>
      <c r="J1217">
        <v>10</v>
      </c>
      <c r="K1217" s="16">
        <f t="shared" si="56"/>
        <v>4999999.9999999991</v>
      </c>
    </row>
    <row r="1218" spans="1:11">
      <c r="A1218">
        <v>1</v>
      </c>
      <c r="B1218" t="s">
        <v>8</v>
      </c>
      <c r="C1218">
        <v>51.5</v>
      </c>
      <c r="D1218" s="1" t="s">
        <v>16</v>
      </c>
      <c r="E1218" s="1">
        <v>7</v>
      </c>
      <c r="F1218">
        <v>13</v>
      </c>
      <c r="G1218">
        <v>17</v>
      </c>
      <c r="H1218">
        <v>1E-4</v>
      </c>
      <c r="I1218">
        <f t="shared" si="57"/>
        <v>15</v>
      </c>
      <c r="J1218">
        <v>10</v>
      </c>
      <c r="K1218" s="16">
        <f t="shared" si="56"/>
        <v>14999999.999999998</v>
      </c>
    </row>
    <row r="1219" spans="1:11">
      <c r="A1219">
        <v>1</v>
      </c>
      <c r="B1219" t="s">
        <v>8</v>
      </c>
      <c r="C1219">
        <v>51.5</v>
      </c>
      <c r="D1219" s="1" t="s">
        <v>16</v>
      </c>
      <c r="E1219" s="1">
        <v>8</v>
      </c>
      <c r="F1219">
        <v>2</v>
      </c>
      <c r="G1219">
        <v>5</v>
      </c>
      <c r="H1219">
        <v>1E-3</v>
      </c>
      <c r="I1219">
        <f t="shared" si="57"/>
        <v>3.5</v>
      </c>
      <c r="J1219">
        <v>10</v>
      </c>
      <c r="K1219" s="16">
        <f t="shared" si="56"/>
        <v>350000</v>
      </c>
    </row>
    <row r="1220" spans="1:11">
      <c r="A1220">
        <v>1</v>
      </c>
      <c r="B1220" t="s">
        <v>8</v>
      </c>
      <c r="C1220">
        <v>51.5</v>
      </c>
      <c r="D1220" s="1" t="s">
        <v>16</v>
      </c>
      <c r="E1220" s="1">
        <v>9</v>
      </c>
      <c r="F1220">
        <v>4</v>
      </c>
      <c r="G1220">
        <v>6</v>
      </c>
      <c r="H1220">
        <v>1E-4</v>
      </c>
      <c r="I1220">
        <f t="shared" si="57"/>
        <v>5</v>
      </c>
      <c r="J1220">
        <v>10</v>
      </c>
      <c r="K1220" s="16">
        <f t="shared" si="56"/>
        <v>4999999.9999999991</v>
      </c>
    </row>
    <row r="1221" spans="1:11">
      <c r="A1221">
        <v>1</v>
      </c>
      <c r="B1221" t="s">
        <v>8</v>
      </c>
      <c r="C1221">
        <v>51.5</v>
      </c>
      <c r="D1221" s="1" t="s">
        <v>16</v>
      </c>
      <c r="E1221" s="1">
        <v>10</v>
      </c>
      <c r="F1221">
        <v>4</v>
      </c>
      <c r="G1221">
        <v>8</v>
      </c>
      <c r="H1221">
        <v>1E-3</v>
      </c>
      <c r="I1221">
        <f t="shared" si="57"/>
        <v>6</v>
      </c>
      <c r="J1221">
        <v>10</v>
      </c>
      <c r="K1221" s="16">
        <f t="shared" si="56"/>
        <v>600000</v>
      </c>
    </row>
    <row r="1222" spans="1:11">
      <c r="A1222">
        <v>1</v>
      </c>
      <c r="B1222" t="s">
        <v>8</v>
      </c>
      <c r="C1222">
        <v>52</v>
      </c>
      <c r="D1222" s="1" t="s">
        <v>16</v>
      </c>
      <c r="E1222" s="1">
        <v>1</v>
      </c>
      <c r="F1222">
        <v>5</v>
      </c>
      <c r="G1222">
        <v>1</v>
      </c>
      <c r="H1222">
        <v>9.9999999999999995E-7</v>
      </c>
      <c r="I1222">
        <f t="shared" ref="I1222:I1251" si="58">AVERAGE(F1222:G1222)</f>
        <v>3</v>
      </c>
      <c r="J1222">
        <v>10</v>
      </c>
      <c r="K1222" s="16">
        <f t="shared" si="56"/>
        <v>300000000</v>
      </c>
    </row>
    <row r="1223" spans="1:11">
      <c r="A1223">
        <v>1</v>
      </c>
      <c r="B1223" t="s">
        <v>8</v>
      </c>
      <c r="C1223">
        <v>52</v>
      </c>
      <c r="D1223" s="1" t="s">
        <v>16</v>
      </c>
      <c r="E1223" s="1">
        <v>2</v>
      </c>
      <c r="F1223">
        <v>6</v>
      </c>
      <c r="G1223">
        <v>4</v>
      </c>
      <c r="H1223">
        <v>9.9999999999999995E-7</v>
      </c>
      <c r="I1223">
        <f t="shared" si="58"/>
        <v>5</v>
      </c>
      <c r="J1223">
        <v>10</v>
      </c>
      <c r="K1223" s="16">
        <f t="shared" si="56"/>
        <v>500000000</v>
      </c>
    </row>
    <row r="1224" spans="1:11">
      <c r="A1224">
        <v>1</v>
      </c>
      <c r="B1224" t="s">
        <v>8</v>
      </c>
      <c r="C1224">
        <v>52</v>
      </c>
      <c r="D1224" s="1" t="s">
        <v>16</v>
      </c>
      <c r="E1224" s="1">
        <v>3</v>
      </c>
      <c r="F1224">
        <v>6</v>
      </c>
      <c r="G1224">
        <v>8</v>
      </c>
      <c r="H1224">
        <v>9.9999999999999995E-7</v>
      </c>
      <c r="I1224">
        <f t="shared" si="58"/>
        <v>7</v>
      </c>
      <c r="J1224">
        <v>10</v>
      </c>
      <c r="K1224" s="16">
        <f t="shared" si="56"/>
        <v>700000000</v>
      </c>
    </row>
    <row r="1225" spans="1:11">
      <c r="A1225">
        <v>1</v>
      </c>
      <c r="B1225" t="s">
        <v>8</v>
      </c>
      <c r="C1225">
        <v>52</v>
      </c>
      <c r="D1225" s="1" t="s">
        <v>16</v>
      </c>
      <c r="E1225" s="1">
        <v>4</v>
      </c>
      <c r="F1225">
        <v>2</v>
      </c>
      <c r="G1225">
        <v>4</v>
      </c>
      <c r="H1225">
        <v>9.9999999999999995E-7</v>
      </c>
      <c r="I1225">
        <f t="shared" si="58"/>
        <v>3</v>
      </c>
      <c r="J1225">
        <v>10</v>
      </c>
      <c r="K1225" s="16">
        <f t="shared" si="56"/>
        <v>300000000</v>
      </c>
    </row>
    <row r="1226" spans="1:11">
      <c r="A1226">
        <v>1</v>
      </c>
      <c r="B1226" t="s">
        <v>8</v>
      </c>
      <c r="C1226">
        <v>52</v>
      </c>
      <c r="D1226" s="1" t="s">
        <v>16</v>
      </c>
      <c r="E1226" s="1">
        <v>5</v>
      </c>
      <c r="F1226">
        <v>7</v>
      </c>
      <c r="G1226">
        <v>4</v>
      </c>
      <c r="H1226">
        <v>9.9999999999999995E-7</v>
      </c>
      <c r="I1226">
        <f t="shared" si="58"/>
        <v>5.5</v>
      </c>
      <c r="J1226">
        <v>10</v>
      </c>
      <c r="K1226" s="16">
        <f t="shared" si="56"/>
        <v>550000000</v>
      </c>
    </row>
    <row r="1227" spans="1:11">
      <c r="A1227">
        <v>1</v>
      </c>
      <c r="B1227" t="s">
        <v>8</v>
      </c>
      <c r="C1227">
        <v>52</v>
      </c>
      <c r="D1227" s="1" t="s">
        <v>16</v>
      </c>
      <c r="E1227" s="1">
        <v>6</v>
      </c>
      <c r="F1227">
        <v>2</v>
      </c>
      <c r="G1227">
        <v>1</v>
      </c>
      <c r="H1227">
        <v>9.9999999999999995E-7</v>
      </c>
      <c r="I1227">
        <f t="shared" si="58"/>
        <v>1.5</v>
      </c>
      <c r="J1227">
        <v>10</v>
      </c>
      <c r="K1227" s="16">
        <f t="shared" si="56"/>
        <v>150000000</v>
      </c>
    </row>
    <row r="1228" spans="1:11">
      <c r="A1228">
        <v>1</v>
      </c>
      <c r="B1228" t="s">
        <v>8</v>
      </c>
      <c r="C1228">
        <v>52</v>
      </c>
      <c r="D1228" s="1" t="s">
        <v>16</v>
      </c>
      <c r="E1228" s="1">
        <v>7</v>
      </c>
      <c r="F1228">
        <v>3</v>
      </c>
      <c r="G1228">
        <v>1</v>
      </c>
      <c r="H1228">
        <v>9.9999999999999995E-7</v>
      </c>
      <c r="I1228">
        <f t="shared" si="58"/>
        <v>2</v>
      </c>
      <c r="J1228">
        <v>10</v>
      </c>
      <c r="K1228" s="16">
        <f t="shared" si="56"/>
        <v>200000000</v>
      </c>
    </row>
    <row r="1229" spans="1:11">
      <c r="A1229">
        <v>1</v>
      </c>
      <c r="B1229" t="s">
        <v>8</v>
      </c>
      <c r="C1229">
        <v>52</v>
      </c>
      <c r="D1229" s="1" t="s">
        <v>16</v>
      </c>
      <c r="E1229" s="1">
        <v>8</v>
      </c>
      <c r="F1229">
        <v>1</v>
      </c>
      <c r="G1229">
        <v>1</v>
      </c>
      <c r="H1229">
        <v>9.9999999999999995E-7</v>
      </c>
      <c r="I1229">
        <f t="shared" si="58"/>
        <v>1</v>
      </c>
      <c r="J1229">
        <v>10</v>
      </c>
      <c r="K1229" s="16">
        <f t="shared" si="56"/>
        <v>100000000</v>
      </c>
    </row>
    <row r="1230" spans="1:11">
      <c r="A1230">
        <v>1</v>
      </c>
      <c r="B1230" t="s">
        <v>8</v>
      </c>
      <c r="C1230">
        <v>52</v>
      </c>
      <c r="D1230" s="1" t="s">
        <v>16</v>
      </c>
      <c r="E1230" s="1">
        <v>9</v>
      </c>
      <c r="F1230">
        <v>1</v>
      </c>
      <c r="G1230">
        <v>3</v>
      </c>
      <c r="H1230">
        <v>9.9999999999999995E-7</v>
      </c>
      <c r="I1230">
        <f t="shared" si="58"/>
        <v>2</v>
      </c>
      <c r="J1230">
        <v>10</v>
      </c>
      <c r="K1230" s="16">
        <f t="shared" si="56"/>
        <v>200000000</v>
      </c>
    </row>
    <row r="1231" spans="1:11">
      <c r="A1231">
        <v>1</v>
      </c>
      <c r="B1231" t="s">
        <v>8</v>
      </c>
      <c r="C1231">
        <v>52</v>
      </c>
      <c r="D1231" s="1" t="s">
        <v>16</v>
      </c>
      <c r="E1231" s="1">
        <v>10</v>
      </c>
      <c r="F1231">
        <v>4</v>
      </c>
      <c r="G1231">
        <v>6</v>
      </c>
      <c r="H1231">
        <v>9.9999999999999995E-7</v>
      </c>
      <c r="I1231">
        <f t="shared" si="58"/>
        <v>5</v>
      </c>
      <c r="J1231">
        <v>10</v>
      </c>
      <c r="K1231" s="16">
        <f t="shared" si="56"/>
        <v>500000000</v>
      </c>
    </row>
    <row r="1232" spans="1:11">
      <c r="A1232">
        <v>1</v>
      </c>
      <c r="B1232" t="s">
        <v>8</v>
      </c>
      <c r="C1232">
        <v>52.5</v>
      </c>
      <c r="D1232" s="1" t="s">
        <v>16</v>
      </c>
      <c r="E1232" s="1">
        <v>1</v>
      </c>
      <c r="F1232">
        <v>1</v>
      </c>
      <c r="G1232">
        <v>8</v>
      </c>
      <c r="H1232">
        <v>1E-4</v>
      </c>
      <c r="I1232">
        <f t="shared" si="58"/>
        <v>4.5</v>
      </c>
      <c r="J1232">
        <v>10</v>
      </c>
      <c r="K1232" s="16">
        <f t="shared" si="56"/>
        <v>4499999.9999999991</v>
      </c>
    </row>
    <row r="1233" spans="1:11">
      <c r="A1233">
        <v>1</v>
      </c>
      <c r="B1233" t="s">
        <v>8</v>
      </c>
      <c r="C1233">
        <v>52.5</v>
      </c>
      <c r="D1233" s="1" t="s">
        <v>16</v>
      </c>
      <c r="E1233" s="1">
        <v>2</v>
      </c>
      <c r="F1233">
        <v>7</v>
      </c>
      <c r="G1233">
        <v>2</v>
      </c>
      <c r="H1233">
        <v>1.0000000000000001E-5</v>
      </c>
      <c r="I1233">
        <f t="shared" si="58"/>
        <v>4.5</v>
      </c>
      <c r="J1233">
        <v>10</v>
      </c>
      <c r="K1233" s="16">
        <f t="shared" si="56"/>
        <v>44999999.999999993</v>
      </c>
    </row>
    <row r="1234" spans="1:11">
      <c r="A1234">
        <v>1</v>
      </c>
      <c r="B1234" t="s">
        <v>8</v>
      </c>
      <c r="C1234">
        <v>52.5</v>
      </c>
      <c r="D1234" s="1" t="s">
        <v>16</v>
      </c>
      <c r="E1234" s="1">
        <v>3</v>
      </c>
      <c r="F1234">
        <v>3</v>
      </c>
      <c r="G1234">
        <v>4</v>
      </c>
      <c r="H1234">
        <v>1E-3</v>
      </c>
      <c r="I1234">
        <f t="shared" si="58"/>
        <v>3.5</v>
      </c>
      <c r="J1234">
        <v>10</v>
      </c>
      <c r="K1234" s="16">
        <f t="shared" si="56"/>
        <v>350000</v>
      </c>
    </row>
    <row r="1235" spans="1:11">
      <c r="A1235">
        <v>1</v>
      </c>
      <c r="B1235" t="s">
        <v>8</v>
      </c>
      <c r="C1235">
        <v>52.5</v>
      </c>
      <c r="D1235" s="1" t="s">
        <v>16</v>
      </c>
      <c r="E1235" s="1">
        <v>4</v>
      </c>
      <c r="F1235">
        <v>15</v>
      </c>
      <c r="G1235">
        <v>7</v>
      </c>
      <c r="H1235">
        <v>1E-4</v>
      </c>
      <c r="I1235">
        <f t="shared" si="58"/>
        <v>11</v>
      </c>
      <c r="J1235">
        <v>10</v>
      </c>
      <c r="K1235" s="16">
        <f t="shared" ref="K1235:K1298" si="59">I1235/(H1235*(J1235/1000))</f>
        <v>10999999.999999998</v>
      </c>
    </row>
    <row r="1236" spans="1:11">
      <c r="A1236">
        <v>1</v>
      </c>
      <c r="B1236" t="s">
        <v>8</v>
      </c>
      <c r="C1236">
        <v>52.5</v>
      </c>
      <c r="D1236" s="1" t="s">
        <v>16</v>
      </c>
      <c r="E1236" s="1">
        <v>5</v>
      </c>
      <c r="F1236">
        <v>2</v>
      </c>
      <c r="G1236">
        <v>5</v>
      </c>
      <c r="H1236">
        <v>1E-3</v>
      </c>
      <c r="I1236">
        <f t="shared" si="58"/>
        <v>3.5</v>
      </c>
      <c r="J1236">
        <v>10</v>
      </c>
      <c r="K1236" s="16">
        <f t="shared" si="59"/>
        <v>350000</v>
      </c>
    </row>
    <row r="1237" spans="1:11">
      <c r="A1237">
        <v>1</v>
      </c>
      <c r="B1237" t="s">
        <v>8</v>
      </c>
      <c r="C1237">
        <v>52.5</v>
      </c>
      <c r="D1237" s="1" t="s">
        <v>16</v>
      </c>
      <c r="E1237" s="1">
        <v>6</v>
      </c>
      <c r="F1237">
        <v>5</v>
      </c>
      <c r="G1237">
        <v>9</v>
      </c>
      <c r="H1237">
        <v>1.0000000000000001E-5</v>
      </c>
      <c r="I1237">
        <f t="shared" si="58"/>
        <v>7</v>
      </c>
      <c r="J1237">
        <v>10</v>
      </c>
      <c r="K1237" s="16">
        <f t="shared" si="59"/>
        <v>70000000</v>
      </c>
    </row>
    <row r="1238" spans="1:11">
      <c r="A1238">
        <v>1</v>
      </c>
      <c r="B1238" t="s">
        <v>8</v>
      </c>
      <c r="C1238">
        <v>52.5</v>
      </c>
      <c r="D1238" s="1" t="s">
        <v>16</v>
      </c>
      <c r="E1238" s="1">
        <v>7</v>
      </c>
      <c r="F1238">
        <v>1</v>
      </c>
      <c r="G1238">
        <v>1</v>
      </c>
      <c r="H1238">
        <v>1E-4</v>
      </c>
      <c r="I1238">
        <f t="shared" si="58"/>
        <v>1</v>
      </c>
      <c r="J1238">
        <v>10</v>
      </c>
      <c r="K1238" s="16">
        <f t="shared" si="59"/>
        <v>999999.99999999988</v>
      </c>
    </row>
    <row r="1239" spans="1:11">
      <c r="A1239">
        <v>1</v>
      </c>
      <c r="B1239" t="s">
        <v>8</v>
      </c>
      <c r="C1239">
        <v>52.5</v>
      </c>
      <c r="D1239" s="1" t="s">
        <v>16</v>
      </c>
      <c r="E1239" s="1">
        <v>8</v>
      </c>
      <c r="F1239">
        <v>5</v>
      </c>
      <c r="G1239">
        <v>4</v>
      </c>
      <c r="H1239">
        <v>1E-3</v>
      </c>
      <c r="I1239">
        <f t="shared" si="58"/>
        <v>4.5</v>
      </c>
      <c r="J1239">
        <v>10</v>
      </c>
      <c r="K1239" s="16">
        <f t="shared" si="59"/>
        <v>449999.99999999994</v>
      </c>
    </row>
    <row r="1240" spans="1:11">
      <c r="A1240">
        <v>1</v>
      </c>
      <c r="B1240" t="s">
        <v>8</v>
      </c>
      <c r="C1240">
        <v>52.5</v>
      </c>
      <c r="D1240" s="1" t="s">
        <v>16</v>
      </c>
      <c r="E1240" s="1">
        <v>9</v>
      </c>
      <c r="F1240">
        <v>6</v>
      </c>
      <c r="G1240">
        <v>7</v>
      </c>
      <c r="H1240">
        <v>1E-4</v>
      </c>
      <c r="I1240">
        <f t="shared" si="58"/>
        <v>6.5</v>
      </c>
      <c r="J1240">
        <v>10</v>
      </c>
      <c r="K1240" s="16">
        <f t="shared" si="59"/>
        <v>6499999.9999999991</v>
      </c>
    </row>
    <row r="1241" spans="1:11">
      <c r="A1241">
        <v>1</v>
      </c>
      <c r="B1241" t="s">
        <v>8</v>
      </c>
      <c r="C1241">
        <v>52.5</v>
      </c>
      <c r="D1241" s="1" t="s">
        <v>16</v>
      </c>
      <c r="E1241" s="1">
        <v>10</v>
      </c>
      <c r="F1241">
        <v>3</v>
      </c>
      <c r="G1241">
        <v>5</v>
      </c>
      <c r="H1241">
        <v>1E-4</v>
      </c>
      <c r="I1241">
        <f t="shared" si="58"/>
        <v>4</v>
      </c>
      <c r="J1241">
        <v>10</v>
      </c>
      <c r="K1241" s="16">
        <f t="shared" si="59"/>
        <v>3999999.9999999995</v>
      </c>
    </row>
    <row r="1242" spans="1:11">
      <c r="A1242">
        <v>1</v>
      </c>
      <c r="B1242" t="s">
        <v>8</v>
      </c>
      <c r="C1242">
        <v>53</v>
      </c>
      <c r="D1242" s="1" t="s">
        <v>16</v>
      </c>
      <c r="E1242" s="1">
        <v>1</v>
      </c>
      <c r="F1242">
        <v>3</v>
      </c>
      <c r="G1242">
        <v>2</v>
      </c>
      <c r="H1242">
        <v>9.9999999999999995E-7</v>
      </c>
      <c r="I1242">
        <f t="shared" si="58"/>
        <v>2.5</v>
      </c>
      <c r="J1242">
        <v>10</v>
      </c>
      <c r="K1242" s="16">
        <f t="shared" si="59"/>
        <v>250000000</v>
      </c>
    </row>
    <row r="1243" spans="1:11">
      <c r="A1243">
        <v>1</v>
      </c>
      <c r="B1243" t="s">
        <v>8</v>
      </c>
      <c r="C1243">
        <v>53</v>
      </c>
      <c r="D1243" s="1" t="s">
        <v>16</v>
      </c>
      <c r="E1243" s="1">
        <v>2</v>
      </c>
      <c r="F1243">
        <v>2</v>
      </c>
      <c r="G1243">
        <v>4</v>
      </c>
      <c r="H1243">
        <v>9.9999999999999995E-7</v>
      </c>
      <c r="I1243">
        <f t="shared" si="58"/>
        <v>3</v>
      </c>
      <c r="J1243">
        <v>10</v>
      </c>
      <c r="K1243" s="16">
        <f t="shared" si="59"/>
        <v>300000000</v>
      </c>
    </row>
    <row r="1244" spans="1:11">
      <c r="A1244">
        <v>1</v>
      </c>
      <c r="B1244" t="s">
        <v>8</v>
      </c>
      <c r="C1244">
        <v>53</v>
      </c>
      <c r="D1244" s="1" t="s">
        <v>16</v>
      </c>
      <c r="E1244" s="1">
        <v>3</v>
      </c>
      <c r="F1244">
        <v>7</v>
      </c>
      <c r="G1244">
        <v>7</v>
      </c>
      <c r="H1244">
        <v>9.9999999999999995E-7</v>
      </c>
      <c r="I1244">
        <f t="shared" si="58"/>
        <v>7</v>
      </c>
      <c r="J1244">
        <v>10</v>
      </c>
      <c r="K1244" s="16">
        <f t="shared" si="59"/>
        <v>700000000</v>
      </c>
    </row>
    <row r="1245" spans="1:11">
      <c r="A1245">
        <v>1</v>
      </c>
      <c r="B1245" t="s">
        <v>8</v>
      </c>
      <c r="C1245">
        <v>53</v>
      </c>
      <c r="D1245" s="1" t="s">
        <v>16</v>
      </c>
      <c r="E1245" s="1">
        <v>4</v>
      </c>
      <c r="F1245">
        <v>4</v>
      </c>
      <c r="G1245">
        <v>4</v>
      </c>
      <c r="H1245">
        <v>9.9999999999999995E-7</v>
      </c>
      <c r="I1245">
        <f t="shared" si="58"/>
        <v>4</v>
      </c>
      <c r="J1245">
        <v>10</v>
      </c>
      <c r="K1245" s="16">
        <f t="shared" si="59"/>
        <v>400000000</v>
      </c>
    </row>
    <row r="1246" spans="1:11">
      <c r="A1246">
        <v>1</v>
      </c>
      <c r="B1246" t="s">
        <v>8</v>
      </c>
      <c r="C1246">
        <v>53</v>
      </c>
      <c r="D1246" s="1" t="s">
        <v>16</v>
      </c>
      <c r="E1246" s="1">
        <v>5</v>
      </c>
      <c r="F1246">
        <v>4</v>
      </c>
      <c r="G1246">
        <v>3</v>
      </c>
      <c r="H1246">
        <v>9.9999999999999995E-7</v>
      </c>
      <c r="I1246">
        <f t="shared" si="58"/>
        <v>3.5</v>
      </c>
      <c r="J1246">
        <v>10</v>
      </c>
      <c r="K1246" s="16">
        <f t="shared" si="59"/>
        <v>350000000</v>
      </c>
    </row>
    <row r="1247" spans="1:11">
      <c r="A1247">
        <v>1</v>
      </c>
      <c r="B1247" t="s">
        <v>8</v>
      </c>
      <c r="C1247">
        <v>53</v>
      </c>
      <c r="D1247" s="1" t="s">
        <v>16</v>
      </c>
      <c r="E1247" s="1">
        <v>6</v>
      </c>
      <c r="F1247">
        <v>2</v>
      </c>
      <c r="G1247">
        <v>2</v>
      </c>
      <c r="H1247">
        <v>9.9999999999999995E-7</v>
      </c>
      <c r="I1247">
        <f t="shared" si="58"/>
        <v>2</v>
      </c>
      <c r="J1247">
        <v>10</v>
      </c>
      <c r="K1247" s="16">
        <f t="shared" si="59"/>
        <v>200000000</v>
      </c>
    </row>
    <row r="1248" spans="1:11">
      <c r="A1248">
        <v>1</v>
      </c>
      <c r="B1248" t="s">
        <v>8</v>
      </c>
      <c r="C1248">
        <v>53</v>
      </c>
      <c r="D1248" s="1" t="s">
        <v>16</v>
      </c>
      <c r="E1248" s="1">
        <v>7</v>
      </c>
      <c r="F1248">
        <v>6</v>
      </c>
      <c r="G1248">
        <v>1</v>
      </c>
      <c r="H1248">
        <v>9.9999999999999995E-7</v>
      </c>
      <c r="I1248">
        <f t="shared" si="58"/>
        <v>3.5</v>
      </c>
      <c r="J1248">
        <v>10</v>
      </c>
      <c r="K1248" s="16">
        <f t="shared" si="59"/>
        <v>350000000</v>
      </c>
    </row>
    <row r="1249" spans="1:11">
      <c r="A1249">
        <v>1</v>
      </c>
      <c r="B1249" t="s">
        <v>8</v>
      </c>
      <c r="C1249">
        <v>53</v>
      </c>
      <c r="D1249" s="1" t="s">
        <v>16</v>
      </c>
      <c r="E1249" s="1">
        <v>8</v>
      </c>
      <c r="F1249" s="5">
        <v>20</v>
      </c>
      <c r="G1249">
        <v>11</v>
      </c>
      <c r="H1249">
        <v>1.0000000000000001E-5</v>
      </c>
      <c r="I1249">
        <f t="shared" si="58"/>
        <v>15.5</v>
      </c>
      <c r="J1249">
        <v>10</v>
      </c>
      <c r="K1249" s="16">
        <f t="shared" si="59"/>
        <v>155000000</v>
      </c>
    </row>
    <row r="1250" spans="1:11">
      <c r="A1250">
        <v>1</v>
      </c>
      <c r="B1250" t="s">
        <v>8</v>
      </c>
      <c r="C1250">
        <v>53</v>
      </c>
      <c r="D1250" s="1" t="s">
        <v>16</v>
      </c>
      <c r="E1250" s="1">
        <v>9</v>
      </c>
      <c r="F1250">
        <v>19</v>
      </c>
      <c r="G1250">
        <v>24</v>
      </c>
      <c r="H1250">
        <v>1.0000000000000001E-5</v>
      </c>
      <c r="I1250">
        <f t="shared" si="58"/>
        <v>21.5</v>
      </c>
      <c r="J1250">
        <v>10</v>
      </c>
      <c r="K1250" s="16">
        <f t="shared" si="59"/>
        <v>214999999.99999997</v>
      </c>
    </row>
    <row r="1251" spans="1:11">
      <c r="A1251">
        <v>1</v>
      </c>
      <c r="B1251" t="s">
        <v>8</v>
      </c>
      <c r="C1251">
        <v>53</v>
      </c>
      <c r="D1251" s="1" t="s">
        <v>16</v>
      </c>
      <c r="E1251" s="1">
        <v>10</v>
      </c>
      <c r="F1251">
        <v>5</v>
      </c>
      <c r="G1251">
        <v>2</v>
      </c>
      <c r="H1251">
        <v>9.9999999999999995E-7</v>
      </c>
      <c r="I1251">
        <f t="shared" si="58"/>
        <v>3.5</v>
      </c>
      <c r="J1251">
        <v>10</v>
      </c>
      <c r="K1251" s="16">
        <f t="shared" si="59"/>
        <v>350000000</v>
      </c>
    </row>
    <row r="1252" spans="1:11">
      <c r="A1252">
        <v>1</v>
      </c>
      <c r="B1252" t="s">
        <v>8</v>
      </c>
      <c r="C1252">
        <v>53.5</v>
      </c>
      <c r="D1252" s="1" t="s">
        <v>16</v>
      </c>
      <c r="E1252" s="1">
        <v>1</v>
      </c>
      <c r="F1252">
        <v>12</v>
      </c>
      <c r="G1252">
        <v>18</v>
      </c>
      <c r="H1252">
        <v>1E-3</v>
      </c>
      <c r="I1252">
        <f t="shared" ref="I1252:I1282" si="60">AVERAGE(F1252:G1252)</f>
        <v>15</v>
      </c>
      <c r="J1252">
        <v>10</v>
      </c>
      <c r="K1252" s="16">
        <f t="shared" si="59"/>
        <v>1499999.9999999998</v>
      </c>
    </row>
    <row r="1253" spans="1:11">
      <c r="A1253">
        <v>1</v>
      </c>
      <c r="B1253" t="s">
        <v>8</v>
      </c>
      <c r="C1253">
        <v>53.5</v>
      </c>
      <c r="D1253" s="1" t="s">
        <v>16</v>
      </c>
      <c r="E1253" s="1">
        <v>2</v>
      </c>
      <c r="F1253">
        <v>25</v>
      </c>
      <c r="G1253">
        <v>20</v>
      </c>
      <c r="H1253">
        <v>1E-4</v>
      </c>
      <c r="I1253">
        <f t="shared" si="60"/>
        <v>22.5</v>
      </c>
      <c r="J1253">
        <v>10</v>
      </c>
      <c r="K1253" s="16">
        <f t="shared" si="59"/>
        <v>22499999.999999996</v>
      </c>
    </row>
    <row r="1254" spans="1:11">
      <c r="A1254">
        <v>1</v>
      </c>
      <c r="B1254" t="s">
        <v>8</v>
      </c>
      <c r="C1254">
        <v>53.5</v>
      </c>
      <c r="D1254" s="1" t="s">
        <v>16</v>
      </c>
      <c r="E1254" s="1">
        <v>3</v>
      </c>
      <c r="F1254">
        <v>2</v>
      </c>
      <c r="G1254">
        <v>5</v>
      </c>
      <c r="H1254">
        <v>1E-3</v>
      </c>
      <c r="I1254">
        <f t="shared" si="60"/>
        <v>3.5</v>
      </c>
      <c r="J1254">
        <v>10</v>
      </c>
      <c r="K1254" s="16">
        <f t="shared" si="59"/>
        <v>350000</v>
      </c>
    </row>
    <row r="1255" spans="1:11">
      <c r="A1255">
        <v>1</v>
      </c>
      <c r="B1255" t="s">
        <v>8</v>
      </c>
      <c r="C1255">
        <v>53.5</v>
      </c>
      <c r="D1255" s="1" t="s">
        <v>16</v>
      </c>
      <c r="E1255" s="1">
        <v>4</v>
      </c>
      <c r="F1255">
        <v>9</v>
      </c>
      <c r="G1255">
        <v>6</v>
      </c>
      <c r="H1255">
        <v>1E-4</v>
      </c>
      <c r="I1255">
        <f t="shared" si="60"/>
        <v>7.5</v>
      </c>
      <c r="J1255">
        <v>10</v>
      </c>
      <c r="K1255" s="16">
        <f t="shared" si="59"/>
        <v>7499999.9999999991</v>
      </c>
    </row>
    <row r="1256" spans="1:11">
      <c r="A1256">
        <v>1</v>
      </c>
      <c r="B1256" t="s">
        <v>8</v>
      </c>
      <c r="C1256">
        <v>53.5</v>
      </c>
      <c r="D1256" s="1" t="s">
        <v>16</v>
      </c>
      <c r="E1256" s="1">
        <v>5</v>
      </c>
      <c r="F1256">
        <v>3</v>
      </c>
      <c r="G1256">
        <v>2</v>
      </c>
      <c r="H1256">
        <v>1E-3</v>
      </c>
      <c r="I1256">
        <f t="shared" si="60"/>
        <v>2.5</v>
      </c>
      <c r="J1256">
        <v>10</v>
      </c>
      <c r="K1256" s="16">
        <f t="shared" si="59"/>
        <v>249999.99999999997</v>
      </c>
    </row>
    <row r="1257" spans="1:11">
      <c r="A1257">
        <v>1</v>
      </c>
      <c r="B1257" t="s">
        <v>8</v>
      </c>
      <c r="C1257">
        <v>53.5</v>
      </c>
      <c r="D1257" s="1" t="s">
        <v>16</v>
      </c>
      <c r="E1257" s="1">
        <v>6</v>
      </c>
      <c r="F1257">
        <v>5</v>
      </c>
      <c r="G1257">
        <v>3</v>
      </c>
      <c r="H1257">
        <v>1E-4</v>
      </c>
      <c r="I1257">
        <f t="shared" si="60"/>
        <v>4</v>
      </c>
      <c r="J1257">
        <v>10</v>
      </c>
      <c r="K1257" s="16">
        <f t="shared" si="59"/>
        <v>3999999.9999999995</v>
      </c>
    </row>
    <row r="1258" spans="1:11">
      <c r="A1258">
        <v>1</v>
      </c>
      <c r="B1258" t="s">
        <v>8</v>
      </c>
      <c r="C1258">
        <v>53.5</v>
      </c>
      <c r="D1258" s="1" t="s">
        <v>16</v>
      </c>
      <c r="E1258" s="1">
        <v>7</v>
      </c>
      <c r="F1258">
        <v>21</v>
      </c>
      <c r="G1258">
        <v>17</v>
      </c>
      <c r="H1258">
        <v>1E-3</v>
      </c>
      <c r="I1258">
        <f t="shared" si="60"/>
        <v>19</v>
      </c>
      <c r="J1258">
        <v>10</v>
      </c>
      <c r="K1258" s="16">
        <f t="shared" si="59"/>
        <v>1899999.9999999998</v>
      </c>
    </row>
    <row r="1259" spans="1:11">
      <c r="A1259">
        <v>1</v>
      </c>
      <c r="B1259" t="s">
        <v>8</v>
      </c>
      <c r="C1259">
        <v>53.5</v>
      </c>
      <c r="D1259" s="1" t="s">
        <v>16</v>
      </c>
      <c r="E1259" s="1">
        <v>8</v>
      </c>
      <c r="F1259">
        <v>6</v>
      </c>
      <c r="G1259">
        <v>1</v>
      </c>
      <c r="H1259">
        <v>1E-3</v>
      </c>
      <c r="I1259">
        <f t="shared" si="60"/>
        <v>3.5</v>
      </c>
      <c r="J1259">
        <v>10</v>
      </c>
      <c r="K1259" s="16">
        <f t="shared" si="59"/>
        <v>350000</v>
      </c>
    </row>
    <row r="1260" spans="1:11">
      <c r="A1260">
        <v>1</v>
      </c>
      <c r="B1260" t="s">
        <v>8</v>
      </c>
      <c r="C1260">
        <v>53.5</v>
      </c>
      <c r="D1260" s="1" t="s">
        <v>16</v>
      </c>
      <c r="E1260" s="1">
        <v>9</v>
      </c>
      <c r="F1260">
        <v>7</v>
      </c>
      <c r="G1260">
        <v>6</v>
      </c>
      <c r="H1260">
        <v>1.0000000000000001E-5</v>
      </c>
      <c r="I1260">
        <f t="shared" si="60"/>
        <v>6.5</v>
      </c>
      <c r="J1260">
        <v>10</v>
      </c>
      <c r="K1260" s="16">
        <f t="shared" si="59"/>
        <v>64999999.999999993</v>
      </c>
    </row>
    <row r="1261" spans="1:11">
      <c r="A1261">
        <v>1</v>
      </c>
      <c r="B1261" t="s">
        <v>8</v>
      </c>
      <c r="C1261">
        <v>53.5</v>
      </c>
      <c r="D1261" s="1" t="s">
        <v>16</v>
      </c>
      <c r="E1261" s="1">
        <v>10</v>
      </c>
      <c r="F1261">
        <v>3</v>
      </c>
      <c r="G1261">
        <v>2</v>
      </c>
      <c r="H1261">
        <v>1E-4</v>
      </c>
      <c r="I1261">
        <f t="shared" si="60"/>
        <v>2.5</v>
      </c>
      <c r="J1261">
        <v>10</v>
      </c>
      <c r="K1261" s="16">
        <f t="shared" si="59"/>
        <v>2499999.9999999995</v>
      </c>
    </row>
    <row r="1262" spans="1:11">
      <c r="A1262">
        <v>1</v>
      </c>
      <c r="B1262" t="s">
        <v>8</v>
      </c>
      <c r="C1262">
        <v>54</v>
      </c>
      <c r="D1262" s="1" t="s">
        <v>16</v>
      </c>
      <c r="E1262" s="1">
        <v>1</v>
      </c>
      <c r="F1262">
        <v>16</v>
      </c>
      <c r="G1262">
        <v>21</v>
      </c>
      <c r="H1262">
        <v>1.0000000000000001E-5</v>
      </c>
      <c r="I1262">
        <f t="shared" si="60"/>
        <v>18.5</v>
      </c>
      <c r="J1262">
        <v>10</v>
      </c>
      <c r="K1262" s="16">
        <f t="shared" si="59"/>
        <v>184999999.99999997</v>
      </c>
    </row>
    <row r="1263" spans="1:11">
      <c r="A1263">
        <v>1</v>
      </c>
      <c r="B1263" t="s">
        <v>8</v>
      </c>
      <c r="C1263">
        <v>54</v>
      </c>
      <c r="D1263" s="1" t="s">
        <v>16</v>
      </c>
      <c r="E1263" s="1">
        <v>2</v>
      </c>
      <c r="F1263">
        <v>6</v>
      </c>
      <c r="G1263">
        <v>2</v>
      </c>
      <c r="H1263">
        <v>9.9999999999999995E-7</v>
      </c>
      <c r="I1263">
        <f t="shared" si="60"/>
        <v>4</v>
      </c>
      <c r="J1263">
        <v>10</v>
      </c>
      <c r="K1263" s="16">
        <f t="shared" si="59"/>
        <v>400000000</v>
      </c>
    </row>
    <row r="1264" spans="1:11">
      <c r="A1264">
        <v>1</v>
      </c>
      <c r="B1264" t="s">
        <v>8</v>
      </c>
      <c r="C1264">
        <v>54</v>
      </c>
      <c r="D1264" s="1" t="s">
        <v>16</v>
      </c>
      <c r="E1264" s="1">
        <v>3</v>
      </c>
      <c r="F1264">
        <v>3</v>
      </c>
      <c r="G1264">
        <v>1</v>
      </c>
      <c r="H1264">
        <v>9.9999999999999995E-7</v>
      </c>
      <c r="I1264">
        <f t="shared" si="60"/>
        <v>2</v>
      </c>
      <c r="J1264">
        <v>10</v>
      </c>
      <c r="K1264" s="16">
        <f t="shared" si="59"/>
        <v>200000000</v>
      </c>
    </row>
    <row r="1265" spans="1:11">
      <c r="A1265">
        <v>1</v>
      </c>
      <c r="B1265" t="s">
        <v>8</v>
      </c>
      <c r="C1265">
        <v>54</v>
      </c>
      <c r="D1265" s="1" t="s">
        <v>16</v>
      </c>
      <c r="E1265" s="1">
        <v>4</v>
      </c>
      <c r="F1265">
        <v>5</v>
      </c>
      <c r="G1265">
        <v>3</v>
      </c>
      <c r="H1265">
        <v>9.9999999999999995E-7</v>
      </c>
      <c r="I1265">
        <f t="shared" si="60"/>
        <v>4</v>
      </c>
      <c r="J1265">
        <v>10</v>
      </c>
      <c r="K1265" s="16">
        <f t="shared" si="59"/>
        <v>400000000</v>
      </c>
    </row>
    <row r="1266" spans="1:11">
      <c r="A1266">
        <v>1</v>
      </c>
      <c r="B1266" t="s">
        <v>8</v>
      </c>
      <c r="C1266">
        <v>54</v>
      </c>
      <c r="D1266" s="1" t="s">
        <v>16</v>
      </c>
      <c r="E1266" s="1">
        <v>5</v>
      </c>
      <c r="F1266">
        <v>3</v>
      </c>
      <c r="G1266">
        <v>5</v>
      </c>
      <c r="H1266">
        <v>9.9999999999999995E-7</v>
      </c>
      <c r="I1266">
        <f t="shared" si="60"/>
        <v>4</v>
      </c>
      <c r="J1266">
        <v>10</v>
      </c>
      <c r="K1266" s="16">
        <f t="shared" si="59"/>
        <v>400000000</v>
      </c>
    </row>
    <row r="1267" spans="1:11">
      <c r="A1267">
        <v>1</v>
      </c>
      <c r="B1267" t="s">
        <v>8</v>
      </c>
      <c r="C1267">
        <v>54</v>
      </c>
      <c r="D1267" s="1" t="s">
        <v>16</v>
      </c>
      <c r="E1267" s="1">
        <v>6</v>
      </c>
      <c r="F1267">
        <v>2</v>
      </c>
      <c r="G1267">
        <v>4</v>
      </c>
      <c r="H1267">
        <v>9.9999999999999995E-7</v>
      </c>
      <c r="I1267">
        <f t="shared" si="60"/>
        <v>3</v>
      </c>
      <c r="J1267">
        <v>10</v>
      </c>
      <c r="K1267" s="16">
        <f t="shared" si="59"/>
        <v>300000000</v>
      </c>
    </row>
    <row r="1268" spans="1:11">
      <c r="A1268">
        <v>1</v>
      </c>
      <c r="B1268" t="s">
        <v>8</v>
      </c>
      <c r="C1268">
        <v>54</v>
      </c>
      <c r="D1268" s="1" t="s">
        <v>16</v>
      </c>
      <c r="E1268" s="1">
        <v>7</v>
      </c>
      <c r="F1268">
        <v>4</v>
      </c>
      <c r="G1268">
        <v>5</v>
      </c>
      <c r="H1268">
        <v>9.9999999999999995E-7</v>
      </c>
      <c r="I1268">
        <f t="shared" si="60"/>
        <v>4.5</v>
      </c>
      <c r="J1268">
        <v>10</v>
      </c>
      <c r="K1268" s="16">
        <f t="shared" si="59"/>
        <v>450000000</v>
      </c>
    </row>
    <row r="1269" spans="1:11">
      <c r="A1269">
        <v>1</v>
      </c>
      <c r="B1269" t="s">
        <v>8</v>
      </c>
      <c r="C1269">
        <v>54</v>
      </c>
      <c r="D1269" s="1" t="s">
        <v>16</v>
      </c>
      <c r="E1269" s="1">
        <v>8</v>
      </c>
      <c r="F1269">
        <v>2</v>
      </c>
      <c r="G1269">
        <v>1</v>
      </c>
      <c r="H1269">
        <v>9.9999999999999995E-7</v>
      </c>
      <c r="I1269">
        <f t="shared" si="60"/>
        <v>1.5</v>
      </c>
      <c r="J1269">
        <v>10</v>
      </c>
      <c r="K1269" s="16">
        <f t="shared" si="59"/>
        <v>150000000</v>
      </c>
    </row>
    <row r="1270" spans="1:11">
      <c r="A1270">
        <v>1</v>
      </c>
      <c r="B1270" t="s">
        <v>8</v>
      </c>
      <c r="C1270">
        <v>54</v>
      </c>
      <c r="D1270" s="1" t="s">
        <v>16</v>
      </c>
      <c r="E1270" s="1">
        <v>9</v>
      </c>
      <c r="F1270">
        <v>1</v>
      </c>
      <c r="G1270">
        <v>2</v>
      </c>
      <c r="H1270">
        <v>9.9999999999999995E-7</v>
      </c>
      <c r="I1270">
        <f t="shared" si="60"/>
        <v>1.5</v>
      </c>
      <c r="J1270">
        <v>10</v>
      </c>
      <c r="K1270" s="16">
        <f t="shared" si="59"/>
        <v>150000000</v>
      </c>
    </row>
    <row r="1271" spans="1:11">
      <c r="A1271">
        <v>1</v>
      </c>
      <c r="B1271" t="s">
        <v>8</v>
      </c>
      <c r="C1271">
        <v>54</v>
      </c>
      <c r="D1271" s="1" t="s">
        <v>16</v>
      </c>
      <c r="E1271" s="1">
        <v>10</v>
      </c>
      <c r="F1271">
        <v>6</v>
      </c>
      <c r="G1271">
        <v>3</v>
      </c>
      <c r="H1271">
        <v>9.9999999999999995E-7</v>
      </c>
      <c r="I1271">
        <f t="shared" si="60"/>
        <v>4.5</v>
      </c>
      <c r="J1271">
        <v>10</v>
      </c>
      <c r="K1271" s="16">
        <f t="shared" si="59"/>
        <v>450000000</v>
      </c>
    </row>
    <row r="1272" spans="1:11">
      <c r="A1272">
        <v>1</v>
      </c>
      <c r="B1272" t="s">
        <v>8</v>
      </c>
      <c r="C1272">
        <v>54.5</v>
      </c>
      <c r="D1272" s="1" t="s">
        <v>16</v>
      </c>
      <c r="E1272" s="1">
        <v>1</v>
      </c>
      <c r="F1272">
        <v>2</v>
      </c>
      <c r="G1272">
        <v>3</v>
      </c>
      <c r="H1272">
        <v>1.0000000000000001E-5</v>
      </c>
      <c r="I1272">
        <f t="shared" si="60"/>
        <v>2.5</v>
      </c>
      <c r="J1272">
        <v>10</v>
      </c>
      <c r="K1272" s="16">
        <f t="shared" si="59"/>
        <v>24999999.999999996</v>
      </c>
    </row>
    <row r="1273" spans="1:11">
      <c r="A1273">
        <v>1</v>
      </c>
      <c r="B1273" t="s">
        <v>8</v>
      </c>
      <c r="C1273">
        <v>54.5</v>
      </c>
      <c r="D1273" s="1" t="s">
        <v>16</v>
      </c>
      <c r="E1273" s="1">
        <v>2</v>
      </c>
      <c r="F1273">
        <v>6</v>
      </c>
      <c r="G1273">
        <v>6</v>
      </c>
      <c r="H1273">
        <v>1.0000000000000001E-5</v>
      </c>
      <c r="I1273">
        <f t="shared" si="60"/>
        <v>6</v>
      </c>
      <c r="J1273">
        <v>10</v>
      </c>
      <c r="K1273" s="16">
        <f t="shared" si="59"/>
        <v>59999999.999999993</v>
      </c>
    </row>
    <row r="1274" spans="1:11">
      <c r="A1274">
        <v>1</v>
      </c>
      <c r="B1274" t="s">
        <v>8</v>
      </c>
      <c r="C1274">
        <v>54.5</v>
      </c>
      <c r="D1274" s="1" t="s">
        <v>16</v>
      </c>
      <c r="E1274" s="1">
        <v>3</v>
      </c>
      <c r="F1274">
        <v>19</v>
      </c>
      <c r="G1274">
        <v>13</v>
      </c>
      <c r="H1274">
        <v>1E-3</v>
      </c>
      <c r="I1274">
        <f t="shared" si="60"/>
        <v>16</v>
      </c>
      <c r="J1274">
        <v>10</v>
      </c>
      <c r="K1274" s="16">
        <f t="shared" si="59"/>
        <v>1599999.9999999998</v>
      </c>
    </row>
    <row r="1275" spans="1:11">
      <c r="A1275">
        <v>1</v>
      </c>
      <c r="B1275" t="s">
        <v>8</v>
      </c>
      <c r="C1275">
        <v>54.5</v>
      </c>
      <c r="D1275" s="1" t="s">
        <v>16</v>
      </c>
      <c r="E1275" s="1">
        <v>4</v>
      </c>
      <c r="F1275">
        <v>10</v>
      </c>
      <c r="G1275">
        <v>9</v>
      </c>
      <c r="H1275">
        <v>1E-4</v>
      </c>
      <c r="I1275">
        <f t="shared" si="60"/>
        <v>9.5</v>
      </c>
      <c r="J1275">
        <v>10</v>
      </c>
      <c r="K1275" s="16">
        <f t="shared" si="59"/>
        <v>9499999.9999999981</v>
      </c>
    </row>
    <row r="1276" spans="1:11">
      <c r="A1276">
        <v>1</v>
      </c>
      <c r="B1276" t="s">
        <v>8</v>
      </c>
      <c r="C1276">
        <v>54.5</v>
      </c>
      <c r="D1276" s="1" t="s">
        <v>16</v>
      </c>
      <c r="E1276" s="1">
        <v>5</v>
      </c>
      <c r="F1276">
        <v>15</v>
      </c>
      <c r="G1276">
        <v>7</v>
      </c>
      <c r="H1276">
        <v>1E-3</v>
      </c>
      <c r="I1276">
        <f t="shared" si="60"/>
        <v>11</v>
      </c>
      <c r="J1276">
        <v>10</v>
      </c>
      <c r="K1276" s="16">
        <f t="shared" si="59"/>
        <v>1100000</v>
      </c>
    </row>
    <row r="1277" spans="1:11">
      <c r="A1277">
        <v>1</v>
      </c>
      <c r="B1277" t="s">
        <v>8</v>
      </c>
      <c r="C1277">
        <v>54.5</v>
      </c>
      <c r="D1277" s="1" t="s">
        <v>16</v>
      </c>
      <c r="E1277" s="1">
        <v>6</v>
      </c>
      <c r="F1277">
        <v>23</v>
      </c>
      <c r="G1277">
        <v>27</v>
      </c>
      <c r="H1277">
        <v>1E-4</v>
      </c>
      <c r="I1277">
        <f t="shared" si="60"/>
        <v>25</v>
      </c>
      <c r="J1277">
        <v>10</v>
      </c>
      <c r="K1277" s="16">
        <f t="shared" si="59"/>
        <v>24999999.999999996</v>
      </c>
    </row>
    <row r="1278" spans="1:11">
      <c r="A1278">
        <v>1</v>
      </c>
      <c r="B1278" t="s">
        <v>8</v>
      </c>
      <c r="C1278">
        <v>54.5</v>
      </c>
      <c r="D1278" s="1" t="s">
        <v>16</v>
      </c>
      <c r="E1278" s="1">
        <v>7</v>
      </c>
      <c r="F1278">
        <v>24</v>
      </c>
      <c r="G1278">
        <v>23</v>
      </c>
      <c r="H1278">
        <v>1E-3</v>
      </c>
      <c r="I1278">
        <f t="shared" si="60"/>
        <v>23.5</v>
      </c>
      <c r="J1278">
        <v>10</v>
      </c>
      <c r="K1278" s="16">
        <f t="shared" si="59"/>
        <v>2350000</v>
      </c>
    </row>
    <row r="1279" spans="1:11">
      <c r="A1279">
        <v>1</v>
      </c>
      <c r="B1279" t="s">
        <v>8</v>
      </c>
      <c r="C1279">
        <v>54.5</v>
      </c>
      <c r="D1279" s="1" t="s">
        <v>16</v>
      </c>
      <c r="E1279" s="1">
        <v>8</v>
      </c>
      <c r="F1279">
        <v>8</v>
      </c>
      <c r="G1279">
        <v>6</v>
      </c>
      <c r="H1279">
        <v>1E-4</v>
      </c>
      <c r="I1279">
        <f t="shared" si="60"/>
        <v>7</v>
      </c>
      <c r="J1279">
        <v>10</v>
      </c>
      <c r="K1279" s="16">
        <f t="shared" si="59"/>
        <v>6999999.9999999991</v>
      </c>
    </row>
    <row r="1280" spans="1:11">
      <c r="A1280">
        <v>1</v>
      </c>
      <c r="B1280" t="s">
        <v>8</v>
      </c>
      <c r="C1280">
        <v>54.5</v>
      </c>
      <c r="D1280" s="1" t="s">
        <v>16</v>
      </c>
      <c r="E1280" s="1">
        <v>9</v>
      </c>
      <c r="F1280">
        <v>6</v>
      </c>
      <c r="G1280">
        <v>3</v>
      </c>
      <c r="H1280">
        <v>1E-4</v>
      </c>
      <c r="I1280">
        <f t="shared" si="60"/>
        <v>4.5</v>
      </c>
      <c r="J1280">
        <v>10</v>
      </c>
      <c r="K1280" s="16">
        <f t="shared" si="59"/>
        <v>4499999.9999999991</v>
      </c>
    </row>
    <row r="1281" spans="1:11">
      <c r="A1281">
        <v>1</v>
      </c>
      <c r="B1281" t="s">
        <v>8</v>
      </c>
      <c r="C1281">
        <v>54.5</v>
      </c>
      <c r="D1281" s="1" t="s">
        <v>16</v>
      </c>
      <c r="E1281" s="1">
        <v>10</v>
      </c>
      <c r="F1281">
        <v>6</v>
      </c>
      <c r="G1281">
        <v>7</v>
      </c>
      <c r="H1281">
        <v>1E-4</v>
      </c>
      <c r="I1281">
        <f t="shared" si="60"/>
        <v>6.5</v>
      </c>
      <c r="J1281">
        <v>10</v>
      </c>
      <c r="K1281" s="16">
        <f t="shared" si="59"/>
        <v>6499999.9999999991</v>
      </c>
    </row>
    <row r="1282" spans="1:11">
      <c r="A1282">
        <v>1</v>
      </c>
      <c r="B1282" t="s">
        <v>8</v>
      </c>
      <c r="C1282">
        <v>55</v>
      </c>
      <c r="D1282" s="1" t="s">
        <v>16</v>
      </c>
      <c r="E1282" s="1">
        <v>1</v>
      </c>
      <c r="F1282">
        <v>5</v>
      </c>
      <c r="G1282">
        <v>5</v>
      </c>
      <c r="H1282">
        <v>9.9999999999999995E-7</v>
      </c>
      <c r="I1282">
        <f t="shared" si="60"/>
        <v>5</v>
      </c>
      <c r="J1282">
        <v>10</v>
      </c>
      <c r="K1282" s="16">
        <f t="shared" si="59"/>
        <v>500000000</v>
      </c>
    </row>
    <row r="1283" spans="1:11">
      <c r="A1283">
        <v>1</v>
      </c>
      <c r="B1283" t="s">
        <v>8</v>
      </c>
      <c r="C1283">
        <v>55</v>
      </c>
      <c r="D1283" s="1" t="s">
        <v>16</v>
      </c>
      <c r="E1283" s="1">
        <v>2</v>
      </c>
      <c r="F1283">
        <v>1</v>
      </c>
      <c r="G1283">
        <v>3</v>
      </c>
      <c r="H1283">
        <v>9.9999999999999995E-7</v>
      </c>
      <c r="I1283">
        <f t="shared" ref="I1283:I1316" si="61">AVERAGE(F1283:G1283)</f>
        <v>2</v>
      </c>
      <c r="J1283">
        <v>10</v>
      </c>
      <c r="K1283" s="16">
        <f t="shared" si="59"/>
        <v>200000000</v>
      </c>
    </row>
    <row r="1284" spans="1:11">
      <c r="A1284">
        <v>1</v>
      </c>
      <c r="B1284" t="s">
        <v>8</v>
      </c>
      <c r="C1284">
        <v>55</v>
      </c>
      <c r="D1284" s="1" t="s">
        <v>16</v>
      </c>
      <c r="E1284" s="1">
        <v>3</v>
      </c>
      <c r="F1284">
        <v>13</v>
      </c>
      <c r="G1284">
        <v>21</v>
      </c>
      <c r="H1284">
        <v>1.0000000000000001E-5</v>
      </c>
      <c r="I1284">
        <f t="shared" si="61"/>
        <v>17</v>
      </c>
      <c r="J1284">
        <v>10</v>
      </c>
      <c r="K1284" s="16">
        <f t="shared" si="59"/>
        <v>170000000</v>
      </c>
    </row>
    <row r="1285" spans="1:11">
      <c r="A1285">
        <v>1</v>
      </c>
      <c r="B1285" t="s">
        <v>8</v>
      </c>
      <c r="C1285">
        <v>55</v>
      </c>
      <c r="D1285" s="1" t="s">
        <v>16</v>
      </c>
      <c r="E1285" s="1">
        <v>4</v>
      </c>
      <c r="F1285">
        <v>3</v>
      </c>
      <c r="G1285">
        <v>1</v>
      </c>
      <c r="H1285">
        <v>9.9999999999999995E-7</v>
      </c>
      <c r="I1285">
        <f t="shared" si="61"/>
        <v>2</v>
      </c>
      <c r="J1285">
        <v>10</v>
      </c>
      <c r="K1285" s="16">
        <f t="shared" si="59"/>
        <v>200000000</v>
      </c>
    </row>
    <row r="1286" spans="1:11">
      <c r="A1286">
        <v>1</v>
      </c>
      <c r="B1286" t="s">
        <v>8</v>
      </c>
      <c r="C1286">
        <v>55</v>
      </c>
      <c r="D1286" s="1" t="s">
        <v>16</v>
      </c>
      <c r="E1286" s="1">
        <v>5</v>
      </c>
      <c r="F1286">
        <v>2</v>
      </c>
      <c r="G1286">
        <v>4</v>
      </c>
      <c r="H1286">
        <v>9.9999999999999995E-7</v>
      </c>
      <c r="I1286">
        <f t="shared" si="61"/>
        <v>3</v>
      </c>
      <c r="J1286">
        <v>10</v>
      </c>
      <c r="K1286" s="16">
        <f t="shared" si="59"/>
        <v>300000000</v>
      </c>
    </row>
    <row r="1287" spans="1:11">
      <c r="A1287">
        <v>1</v>
      </c>
      <c r="B1287" t="s">
        <v>8</v>
      </c>
      <c r="C1287">
        <v>55</v>
      </c>
      <c r="D1287" s="1" t="s">
        <v>16</v>
      </c>
      <c r="E1287" s="1">
        <v>6</v>
      </c>
      <c r="F1287">
        <v>1</v>
      </c>
      <c r="G1287">
        <v>3</v>
      </c>
      <c r="H1287">
        <v>9.9999999999999995E-7</v>
      </c>
      <c r="I1287">
        <f t="shared" si="61"/>
        <v>2</v>
      </c>
      <c r="J1287">
        <v>10</v>
      </c>
      <c r="K1287" s="16">
        <f t="shared" si="59"/>
        <v>200000000</v>
      </c>
    </row>
    <row r="1288" spans="1:11">
      <c r="A1288">
        <v>1</v>
      </c>
      <c r="B1288" t="s">
        <v>8</v>
      </c>
      <c r="C1288">
        <v>55</v>
      </c>
      <c r="D1288" s="1" t="s">
        <v>16</v>
      </c>
      <c r="E1288" s="1">
        <v>7</v>
      </c>
      <c r="F1288">
        <v>2</v>
      </c>
      <c r="G1288">
        <v>4</v>
      </c>
      <c r="H1288">
        <v>9.9999999999999995E-7</v>
      </c>
      <c r="I1288">
        <f t="shared" si="61"/>
        <v>3</v>
      </c>
      <c r="J1288">
        <v>10</v>
      </c>
      <c r="K1288" s="16">
        <f t="shared" si="59"/>
        <v>300000000</v>
      </c>
    </row>
    <row r="1289" spans="1:11">
      <c r="A1289">
        <v>1</v>
      </c>
      <c r="B1289" t="s">
        <v>8</v>
      </c>
      <c r="C1289">
        <v>55</v>
      </c>
      <c r="D1289" s="1" t="s">
        <v>16</v>
      </c>
      <c r="E1289" s="1">
        <v>8</v>
      </c>
      <c r="F1289">
        <v>3</v>
      </c>
      <c r="G1289">
        <v>4</v>
      </c>
      <c r="H1289">
        <v>9.9999999999999995E-7</v>
      </c>
      <c r="I1289">
        <f t="shared" si="61"/>
        <v>3.5</v>
      </c>
      <c r="J1289">
        <v>10</v>
      </c>
      <c r="K1289" s="16">
        <f t="shared" si="59"/>
        <v>350000000</v>
      </c>
    </row>
    <row r="1290" spans="1:11">
      <c r="A1290">
        <v>1</v>
      </c>
      <c r="B1290" t="s">
        <v>8</v>
      </c>
      <c r="C1290">
        <v>55</v>
      </c>
      <c r="D1290" s="1" t="s">
        <v>16</v>
      </c>
      <c r="E1290" s="1">
        <v>9</v>
      </c>
      <c r="F1290">
        <v>4</v>
      </c>
      <c r="G1290">
        <v>3</v>
      </c>
      <c r="H1290">
        <v>9.9999999999999995E-7</v>
      </c>
      <c r="I1290">
        <f t="shared" si="61"/>
        <v>3.5</v>
      </c>
      <c r="J1290">
        <v>10</v>
      </c>
      <c r="K1290" s="16">
        <f t="shared" si="59"/>
        <v>350000000</v>
      </c>
    </row>
    <row r="1291" spans="1:11">
      <c r="A1291">
        <v>1</v>
      </c>
      <c r="B1291" t="s">
        <v>8</v>
      </c>
      <c r="C1291">
        <v>55</v>
      </c>
      <c r="D1291" s="1" t="s">
        <v>16</v>
      </c>
      <c r="E1291" s="1">
        <v>10</v>
      </c>
      <c r="F1291">
        <v>2</v>
      </c>
      <c r="G1291">
        <v>1</v>
      </c>
      <c r="H1291">
        <v>9.9999999999999995E-7</v>
      </c>
      <c r="I1291">
        <f t="shared" si="61"/>
        <v>1.5</v>
      </c>
      <c r="J1291">
        <v>10</v>
      </c>
      <c r="K1291" s="16">
        <f t="shared" si="59"/>
        <v>150000000</v>
      </c>
    </row>
    <row r="1292" spans="1:11">
      <c r="A1292">
        <v>1</v>
      </c>
      <c r="B1292" t="s">
        <v>8</v>
      </c>
      <c r="C1292">
        <v>55.5</v>
      </c>
      <c r="D1292" s="1" t="s">
        <v>16</v>
      </c>
      <c r="E1292" s="1">
        <v>1</v>
      </c>
      <c r="F1292">
        <v>5</v>
      </c>
      <c r="G1292">
        <v>9</v>
      </c>
      <c r="H1292">
        <v>1.0000000000000001E-5</v>
      </c>
      <c r="I1292">
        <f t="shared" si="61"/>
        <v>7</v>
      </c>
      <c r="J1292">
        <v>10</v>
      </c>
      <c r="K1292" s="16">
        <f t="shared" si="59"/>
        <v>70000000</v>
      </c>
    </row>
    <row r="1293" spans="1:11">
      <c r="A1293">
        <v>1</v>
      </c>
      <c r="B1293" t="s">
        <v>8</v>
      </c>
      <c r="C1293">
        <v>55.5</v>
      </c>
      <c r="D1293" s="1" t="s">
        <v>16</v>
      </c>
      <c r="E1293" s="1">
        <v>2</v>
      </c>
      <c r="F1293">
        <v>2</v>
      </c>
      <c r="G1293">
        <v>4</v>
      </c>
      <c r="H1293">
        <v>9.9999999999999995E-7</v>
      </c>
      <c r="I1293">
        <f t="shared" si="61"/>
        <v>3</v>
      </c>
      <c r="J1293">
        <v>10</v>
      </c>
      <c r="K1293" s="16">
        <f t="shared" si="59"/>
        <v>300000000</v>
      </c>
    </row>
    <row r="1294" spans="1:11">
      <c r="A1294">
        <v>1</v>
      </c>
      <c r="B1294" t="s">
        <v>8</v>
      </c>
      <c r="C1294">
        <v>55.5</v>
      </c>
      <c r="D1294" s="1" t="s">
        <v>16</v>
      </c>
      <c r="E1294" s="1">
        <v>3</v>
      </c>
      <c r="F1294">
        <v>5</v>
      </c>
      <c r="G1294">
        <v>3</v>
      </c>
      <c r="H1294">
        <v>1.0000000000000001E-5</v>
      </c>
      <c r="I1294">
        <f t="shared" si="61"/>
        <v>4</v>
      </c>
      <c r="J1294">
        <v>10</v>
      </c>
      <c r="K1294" s="16">
        <f t="shared" si="59"/>
        <v>40000000</v>
      </c>
    </row>
    <row r="1295" spans="1:11">
      <c r="A1295">
        <v>1</v>
      </c>
      <c r="B1295" t="s">
        <v>8</v>
      </c>
      <c r="C1295">
        <v>55.5</v>
      </c>
      <c r="D1295" s="1" t="s">
        <v>16</v>
      </c>
      <c r="E1295" s="1">
        <v>4</v>
      </c>
      <c r="F1295">
        <v>2</v>
      </c>
      <c r="G1295">
        <v>3</v>
      </c>
      <c r="H1295">
        <v>1.0000000000000001E-5</v>
      </c>
      <c r="I1295">
        <f t="shared" si="61"/>
        <v>2.5</v>
      </c>
      <c r="J1295">
        <v>10</v>
      </c>
      <c r="K1295" s="16">
        <f t="shared" si="59"/>
        <v>24999999.999999996</v>
      </c>
    </row>
    <row r="1296" spans="1:11">
      <c r="A1296">
        <v>1</v>
      </c>
      <c r="B1296" t="s">
        <v>8</v>
      </c>
      <c r="C1296">
        <v>55.5</v>
      </c>
      <c r="D1296" s="1" t="s">
        <v>16</v>
      </c>
      <c r="E1296" s="1">
        <v>5</v>
      </c>
      <c r="F1296">
        <v>10</v>
      </c>
      <c r="G1296">
        <v>8</v>
      </c>
      <c r="H1296">
        <v>1.0000000000000001E-5</v>
      </c>
      <c r="I1296">
        <f t="shared" si="61"/>
        <v>9</v>
      </c>
      <c r="J1296">
        <v>10</v>
      </c>
      <c r="K1296" s="16">
        <f t="shared" si="59"/>
        <v>89999999.999999985</v>
      </c>
    </row>
    <row r="1297" spans="1:11">
      <c r="A1297">
        <v>1</v>
      </c>
      <c r="B1297" t="s">
        <v>8</v>
      </c>
      <c r="C1297">
        <v>55.5</v>
      </c>
      <c r="D1297" s="1" t="s">
        <v>16</v>
      </c>
      <c r="E1297" s="1">
        <v>6</v>
      </c>
      <c r="F1297">
        <v>9</v>
      </c>
      <c r="G1297">
        <v>13</v>
      </c>
      <c r="H1297">
        <v>1.0000000000000001E-5</v>
      </c>
      <c r="I1297">
        <f t="shared" si="61"/>
        <v>11</v>
      </c>
      <c r="J1297">
        <v>10</v>
      </c>
      <c r="K1297" s="16">
        <f t="shared" si="59"/>
        <v>109999999.99999999</v>
      </c>
    </row>
    <row r="1298" spans="1:11">
      <c r="A1298">
        <v>1</v>
      </c>
      <c r="B1298" t="s">
        <v>8</v>
      </c>
      <c r="C1298">
        <v>55.5</v>
      </c>
      <c r="D1298" s="1" t="s">
        <v>16</v>
      </c>
      <c r="E1298" s="1">
        <v>7</v>
      </c>
      <c r="F1298">
        <v>34</v>
      </c>
      <c r="G1298">
        <v>19</v>
      </c>
      <c r="H1298">
        <v>1E-4</v>
      </c>
      <c r="I1298">
        <f t="shared" si="61"/>
        <v>26.5</v>
      </c>
      <c r="J1298">
        <v>10</v>
      </c>
      <c r="K1298" s="16">
        <f t="shared" si="59"/>
        <v>26499999.999999996</v>
      </c>
    </row>
    <row r="1299" spans="1:11">
      <c r="A1299">
        <v>1</v>
      </c>
      <c r="B1299" t="s">
        <v>8</v>
      </c>
      <c r="C1299">
        <v>55.5</v>
      </c>
      <c r="D1299" s="1" t="s">
        <v>16</v>
      </c>
      <c r="E1299" s="1">
        <v>8</v>
      </c>
      <c r="F1299">
        <v>12</v>
      </c>
      <c r="G1299">
        <v>13</v>
      </c>
      <c r="H1299">
        <v>1E-4</v>
      </c>
      <c r="I1299">
        <f t="shared" si="61"/>
        <v>12.5</v>
      </c>
      <c r="J1299">
        <v>10</v>
      </c>
      <c r="K1299" s="16">
        <f t="shared" ref="K1299:K1362" si="62">I1299/(H1299*(J1299/1000))</f>
        <v>12499999.999999998</v>
      </c>
    </row>
    <row r="1300" spans="1:11">
      <c r="A1300">
        <v>1</v>
      </c>
      <c r="B1300" t="s">
        <v>8</v>
      </c>
      <c r="C1300">
        <v>55.5</v>
      </c>
      <c r="D1300" s="1" t="s">
        <v>16</v>
      </c>
      <c r="E1300" s="1">
        <v>9</v>
      </c>
      <c r="F1300">
        <v>10</v>
      </c>
      <c r="G1300">
        <v>13</v>
      </c>
      <c r="H1300">
        <v>1.0000000000000001E-5</v>
      </c>
      <c r="I1300">
        <f t="shared" si="61"/>
        <v>11.5</v>
      </c>
      <c r="J1300">
        <v>10</v>
      </c>
      <c r="K1300" s="16">
        <f t="shared" si="62"/>
        <v>114999999.99999999</v>
      </c>
    </row>
    <row r="1301" spans="1:11">
      <c r="A1301">
        <v>1</v>
      </c>
      <c r="B1301" t="s">
        <v>8</v>
      </c>
      <c r="C1301">
        <v>55.5</v>
      </c>
      <c r="D1301" s="1" t="s">
        <v>16</v>
      </c>
      <c r="E1301" s="1">
        <v>10</v>
      </c>
      <c r="F1301">
        <v>15</v>
      </c>
      <c r="G1301">
        <v>12</v>
      </c>
      <c r="H1301">
        <v>1E-4</v>
      </c>
      <c r="I1301">
        <f t="shared" si="61"/>
        <v>13.5</v>
      </c>
      <c r="J1301">
        <v>10</v>
      </c>
      <c r="K1301" s="16">
        <f t="shared" si="62"/>
        <v>13499999.999999998</v>
      </c>
    </row>
    <row r="1302" spans="1:11">
      <c r="A1302">
        <v>1</v>
      </c>
      <c r="B1302" t="s">
        <v>8</v>
      </c>
      <c r="C1302">
        <v>56</v>
      </c>
      <c r="D1302" s="1" t="s">
        <v>16</v>
      </c>
      <c r="E1302" s="1">
        <v>1</v>
      </c>
      <c r="F1302">
        <v>1</v>
      </c>
      <c r="G1302">
        <v>5</v>
      </c>
      <c r="H1302">
        <v>9.9999999999999995E-7</v>
      </c>
      <c r="I1302">
        <f t="shared" si="61"/>
        <v>3</v>
      </c>
      <c r="J1302">
        <v>10</v>
      </c>
      <c r="K1302" s="16">
        <f t="shared" si="62"/>
        <v>300000000</v>
      </c>
    </row>
    <row r="1303" spans="1:11">
      <c r="A1303">
        <v>1</v>
      </c>
      <c r="B1303" t="s">
        <v>8</v>
      </c>
      <c r="C1303">
        <v>56</v>
      </c>
      <c r="D1303" s="1" t="s">
        <v>16</v>
      </c>
      <c r="E1303" s="1">
        <v>2</v>
      </c>
      <c r="F1303">
        <v>4</v>
      </c>
      <c r="G1303">
        <v>3</v>
      </c>
      <c r="H1303">
        <v>9.9999999999999995E-7</v>
      </c>
      <c r="I1303">
        <f t="shared" si="61"/>
        <v>3.5</v>
      </c>
      <c r="J1303">
        <v>10</v>
      </c>
      <c r="K1303" s="16">
        <f t="shared" si="62"/>
        <v>350000000</v>
      </c>
    </row>
    <row r="1304" spans="1:11">
      <c r="A1304">
        <v>1</v>
      </c>
      <c r="B1304" t="s">
        <v>8</v>
      </c>
      <c r="C1304">
        <v>56</v>
      </c>
      <c r="D1304" s="1" t="s">
        <v>16</v>
      </c>
      <c r="E1304" s="1">
        <v>3</v>
      </c>
      <c r="F1304">
        <v>3</v>
      </c>
      <c r="G1304">
        <v>4</v>
      </c>
      <c r="H1304">
        <v>9.9999999999999995E-7</v>
      </c>
      <c r="I1304">
        <f t="shared" si="61"/>
        <v>3.5</v>
      </c>
      <c r="J1304">
        <v>10</v>
      </c>
      <c r="K1304" s="16">
        <f t="shared" si="62"/>
        <v>350000000</v>
      </c>
    </row>
    <row r="1305" spans="1:11">
      <c r="A1305">
        <v>1</v>
      </c>
      <c r="B1305" t="s">
        <v>8</v>
      </c>
      <c r="C1305">
        <v>56</v>
      </c>
      <c r="D1305" s="1" t="s">
        <v>16</v>
      </c>
      <c r="E1305" s="1">
        <v>4</v>
      </c>
      <c r="F1305">
        <v>4</v>
      </c>
      <c r="G1305">
        <v>5</v>
      </c>
      <c r="H1305">
        <v>9.9999999999999995E-7</v>
      </c>
      <c r="I1305">
        <f t="shared" si="61"/>
        <v>4.5</v>
      </c>
      <c r="J1305">
        <v>10</v>
      </c>
      <c r="K1305" s="16">
        <f t="shared" si="62"/>
        <v>450000000</v>
      </c>
    </row>
    <row r="1306" spans="1:11">
      <c r="A1306">
        <v>1</v>
      </c>
      <c r="B1306" t="s">
        <v>8</v>
      </c>
      <c r="C1306">
        <v>56</v>
      </c>
      <c r="D1306" s="1" t="s">
        <v>16</v>
      </c>
      <c r="E1306" s="1">
        <v>5</v>
      </c>
      <c r="F1306">
        <v>6</v>
      </c>
      <c r="G1306">
        <v>4</v>
      </c>
      <c r="H1306">
        <v>9.9999999999999995E-7</v>
      </c>
      <c r="I1306">
        <f t="shared" si="61"/>
        <v>5</v>
      </c>
      <c r="J1306">
        <v>10</v>
      </c>
      <c r="K1306" s="16">
        <f t="shared" si="62"/>
        <v>500000000</v>
      </c>
    </row>
    <row r="1307" spans="1:11">
      <c r="A1307">
        <v>1</v>
      </c>
      <c r="B1307" t="s">
        <v>8</v>
      </c>
      <c r="C1307">
        <v>56</v>
      </c>
      <c r="D1307" s="1" t="s">
        <v>16</v>
      </c>
      <c r="E1307" s="1">
        <v>6</v>
      </c>
      <c r="F1307">
        <v>17</v>
      </c>
      <c r="G1307">
        <v>16</v>
      </c>
      <c r="H1307">
        <v>1.0000000000000001E-5</v>
      </c>
      <c r="I1307">
        <f t="shared" si="61"/>
        <v>16.5</v>
      </c>
      <c r="J1307">
        <v>10</v>
      </c>
      <c r="K1307" s="16">
        <f t="shared" si="62"/>
        <v>165000000</v>
      </c>
    </row>
    <row r="1308" spans="1:11">
      <c r="A1308">
        <v>1</v>
      </c>
      <c r="B1308" t="s">
        <v>8</v>
      </c>
      <c r="C1308">
        <v>56</v>
      </c>
      <c r="D1308" s="1" t="s">
        <v>16</v>
      </c>
      <c r="E1308" s="1">
        <v>7</v>
      </c>
      <c r="F1308">
        <v>4</v>
      </c>
      <c r="G1308">
        <v>8</v>
      </c>
      <c r="H1308">
        <v>9.9999999999999995E-7</v>
      </c>
      <c r="I1308">
        <f t="shared" si="61"/>
        <v>6</v>
      </c>
      <c r="J1308">
        <v>10</v>
      </c>
      <c r="K1308" s="16">
        <f t="shared" si="62"/>
        <v>600000000</v>
      </c>
    </row>
    <row r="1309" spans="1:11">
      <c r="A1309">
        <v>1</v>
      </c>
      <c r="B1309" t="s">
        <v>8</v>
      </c>
      <c r="C1309">
        <v>56</v>
      </c>
      <c r="D1309" s="1" t="s">
        <v>16</v>
      </c>
      <c r="E1309" s="1">
        <v>8</v>
      </c>
      <c r="F1309">
        <v>3</v>
      </c>
      <c r="G1309">
        <v>6</v>
      </c>
      <c r="H1309">
        <v>9.9999999999999995E-7</v>
      </c>
      <c r="I1309">
        <f t="shared" si="61"/>
        <v>4.5</v>
      </c>
      <c r="J1309">
        <v>10</v>
      </c>
      <c r="K1309" s="16">
        <f t="shared" si="62"/>
        <v>450000000</v>
      </c>
    </row>
    <row r="1310" spans="1:11">
      <c r="A1310">
        <v>1</v>
      </c>
      <c r="B1310" t="s">
        <v>8</v>
      </c>
      <c r="C1310">
        <v>56</v>
      </c>
      <c r="D1310" s="1" t="s">
        <v>16</v>
      </c>
      <c r="E1310" s="1">
        <v>9</v>
      </c>
      <c r="F1310">
        <v>2</v>
      </c>
      <c r="G1310">
        <v>2</v>
      </c>
      <c r="H1310">
        <v>9.9999999999999995E-7</v>
      </c>
      <c r="I1310">
        <f t="shared" si="61"/>
        <v>2</v>
      </c>
      <c r="J1310">
        <v>10</v>
      </c>
      <c r="K1310" s="16">
        <f t="shared" si="62"/>
        <v>200000000</v>
      </c>
    </row>
    <row r="1311" spans="1:11">
      <c r="A1311">
        <v>1</v>
      </c>
      <c r="B1311" t="s">
        <v>8</v>
      </c>
      <c r="C1311">
        <v>56</v>
      </c>
      <c r="D1311" s="1" t="s">
        <v>16</v>
      </c>
      <c r="E1311" s="1">
        <v>10</v>
      </c>
      <c r="F1311">
        <v>4</v>
      </c>
      <c r="G1311">
        <v>2</v>
      </c>
      <c r="H1311">
        <v>9.9999999999999995E-7</v>
      </c>
      <c r="I1311">
        <f t="shared" si="61"/>
        <v>3</v>
      </c>
      <c r="J1311">
        <v>10</v>
      </c>
      <c r="K1311" s="16">
        <f t="shared" si="62"/>
        <v>300000000</v>
      </c>
    </row>
    <row r="1312" spans="1:11">
      <c r="A1312">
        <v>1</v>
      </c>
      <c r="B1312" t="s">
        <v>8</v>
      </c>
      <c r="C1312">
        <v>56.5</v>
      </c>
      <c r="D1312" s="1" t="s">
        <v>16</v>
      </c>
      <c r="E1312" s="1">
        <v>1</v>
      </c>
      <c r="F1312">
        <v>3</v>
      </c>
      <c r="G1312">
        <v>3</v>
      </c>
      <c r="H1312">
        <v>1.0000000000000001E-5</v>
      </c>
      <c r="I1312">
        <f t="shared" si="61"/>
        <v>3</v>
      </c>
      <c r="J1312">
        <v>10</v>
      </c>
      <c r="K1312" s="16">
        <f t="shared" si="62"/>
        <v>29999999.999999996</v>
      </c>
    </row>
    <row r="1313" spans="1:11">
      <c r="A1313">
        <v>1</v>
      </c>
      <c r="B1313" t="s">
        <v>8</v>
      </c>
      <c r="C1313">
        <v>56.5</v>
      </c>
      <c r="D1313" s="1" t="s">
        <v>16</v>
      </c>
      <c r="E1313" s="1">
        <v>2</v>
      </c>
      <c r="F1313">
        <v>3</v>
      </c>
      <c r="G1313">
        <v>5</v>
      </c>
      <c r="H1313">
        <v>9.9999999999999995E-7</v>
      </c>
      <c r="I1313">
        <f t="shared" si="61"/>
        <v>4</v>
      </c>
      <c r="J1313">
        <v>10</v>
      </c>
      <c r="K1313" s="16">
        <f t="shared" si="62"/>
        <v>400000000</v>
      </c>
    </row>
    <row r="1314" spans="1:11">
      <c r="A1314">
        <v>1</v>
      </c>
      <c r="B1314" t="s">
        <v>8</v>
      </c>
      <c r="C1314">
        <v>56.5</v>
      </c>
      <c r="D1314" s="1" t="s">
        <v>16</v>
      </c>
      <c r="E1314" s="1">
        <v>3</v>
      </c>
      <c r="F1314">
        <v>6</v>
      </c>
      <c r="G1314">
        <v>7</v>
      </c>
      <c r="H1314">
        <v>1.0000000000000001E-5</v>
      </c>
      <c r="I1314">
        <f t="shared" si="61"/>
        <v>6.5</v>
      </c>
      <c r="J1314">
        <v>10</v>
      </c>
      <c r="K1314" s="16">
        <f t="shared" si="62"/>
        <v>64999999.999999993</v>
      </c>
    </row>
    <row r="1315" spans="1:11">
      <c r="A1315">
        <v>1</v>
      </c>
      <c r="B1315" t="s">
        <v>8</v>
      </c>
      <c r="C1315">
        <v>56.5</v>
      </c>
      <c r="D1315" s="1" t="s">
        <v>16</v>
      </c>
      <c r="E1315" s="1">
        <v>4</v>
      </c>
      <c r="F1315">
        <v>3</v>
      </c>
      <c r="G1315">
        <v>1</v>
      </c>
      <c r="H1315">
        <v>1.0000000000000001E-5</v>
      </c>
      <c r="I1315">
        <f t="shared" si="61"/>
        <v>2</v>
      </c>
      <c r="J1315">
        <v>10</v>
      </c>
      <c r="K1315" s="16">
        <f t="shared" si="62"/>
        <v>20000000</v>
      </c>
    </row>
    <row r="1316" spans="1:11">
      <c r="A1316">
        <v>1</v>
      </c>
      <c r="B1316" t="s">
        <v>8</v>
      </c>
      <c r="C1316">
        <v>56.5</v>
      </c>
      <c r="D1316" s="1" t="s">
        <v>16</v>
      </c>
      <c r="E1316" s="1">
        <v>5</v>
      </c>
      <c r="F1316">
        <v>18</v>
      </c>
      <c r="G1316">
        <v>16</v>
      </c>
      <c r="H1316">
        <v>1E-4</v>
      </c>
      <c r="I1316">
        <f t="shared" si="61"/>
        <v>17</v>
      </c>
      <c r="J1316">
        <v>10</v>
      </c>
      <c r="K1316" s="16">
        <f t="shared" si="62"/>
        <v>16999999.999999996</v>
      </c>
    </row>
    <row r="1317" spans="1:11">
      <c r="A1317">
        <v>1</v>
      </c>
      <c r="B1317" t="s">
        <v>8</v>
      </c>
      <c r="C1317">
        <v>56.5</v>
      </c>
      <c r="D1317" s="1" t="s">
        <v>16</v>
      </c>
      <c r="E1317" s="1">
        <v>6</v>
      </c>
      <c r="F1317">
        <v>3</v>
      </c>
      <c r="G1317">
        <v>1</v>
      </c>
      <c r="H1317">
        <v>1E-4</v>
      </c>
      <c r="I1317">
        <f t="shared" ref="I1317:I1350" si="63">AVERAGE(F1317:G1317)</f>
        <v>2</v>
      </c>
      <c r="J1317">
        <v>10</v>
      </c>
      <c r="K1317" s="16">
        <f t="shared" si="62"/>
        <v>1999999.9999999998</v>
      </c>
    </row>
    <row r="1318" spans="1:11">
      <c r="A1318">
        <v>1</v>
      </c>
      <c r="B1318" t="s">
        <v>8</v>
      </c>
      <c r="C1318">
        <v>56.5</v>
      </c>
      <c r="D1318" s="1" t="s">
        <v>16</v>
      </c>
      <c r="E1318" s="1">
        <v>7</v>
      </c>
      <c r="F1318">
        <v>2</v>
      </c>
      <c r="G1318">
        <v>1</v>
      </c>
      <c r="H1318">
        <v>1.0000000000000001E-5</v>
      </c>
      <c r="I1318">
        <f t="shared" si="63"/>
        <v>1.5</v>
      </c>
      <c r="J1318">
        <v>10</v>
      </c>
      <c r="K1318" s="16">
        <f t="shared" si="62"/>
        <v>14999999.999999998</v>
      </c>
    </row>
    <row r="1319" spans="1:11">
      <c r="A1319">
        <v>1</v>
      </c>
      <c r="B1319" t="s">
        <v>8</v>
      </c>
      <c r="C1319">
        <v>56.5</v>
      </c>
      <c r="D1319" s="1" t="s">
        <v>16</v>
      </c>
      <c r="E1319" s="1">
        <v>8</v>
      </c>
      <c r="F1319">
        <v>1</v>
      </c>
      <c r="G1319">
        <v>1</v>
      </c>
      <c r="H1319">
        <v>1.0000000000000001E-5</v>
      </c>
      <c r="I1319">
        <f t="shared" si="63"/>
        <v>1</v>
      </c>
      <c r="J1319">
        <v>10</v>
      </c>
      <c r="K1319" s="16">
        <f t="shared" si="62"/>
        <v>10000000</v>
      </c>
    </row>
    <row r="1320" spans="1:11">
      <c r="A1320">
        <v>1</v>
      </c>
      <c r="B1320" t="s">
        <v>8</v>
      </c>
      <c r="C1320">
        <v>56.5</v>
      </c>
      <c r="D1320" s="1" t="s">
        <v>16</v>
      </c>
      <c r="E1320" s="1">
        <v>9</v>
      </c>
      <c r="F1320">
        <v>9</v>
      </c>
      <c r="G1320">
        <v>4</v>
      </c>
      <c r="H1320">
        <v>1E-4</v>
      </c>
      <c r="I1320">
        <f t="shared" si="63"/>
        <v>6.5</v>
      </c>
      <c r="J1320">
        <v>10</v>
      </c>
      <c r="K1320" s="16">
        <f t="shared" si="62"/>
        <v>6499999.9999999991</v>
      </c>
    </row>
    <row r="1321" spans="1:11">
      <c r="A1321">
        <v>1</v>
      </c>
      <c r="B1321" t="s">
        <v>8</v>
      </c>
      <c r="C1321">
        <v>56.5</v>
      </c>
      <c r="D1321" s="1" t="s">
        <v>16</v>
      </c>
      <c r="E1321" s="1">
        <v>10</v>
      </c>
      <c r="F1321">
        <v>3</v>
      </c>
      <c r="G1321">
        <v>2</v>
      </c>
      <c r="H1321">
        <v>1E-4</v>
      </c>
      <c r="I1321">
        <f t="shared" si="63"/>
        <v>2.5</v>
      </c>
      <c r="J1321">
        <v>10</v>
      </c>
      <c r="K1321" s="16">
        <f t="shared" si="62"/>
        <v>2499999.9999999995</v>
      </c>
    </row>
    <row r="1322" spans="1:11">
      <c r="A1322">
        <v>1</v>
      </c>
      <c r="B1322" t="s">
        <v>8</v>
      </c>
      <c r="C1322">
        <v>57</v>
      </c>
      <c r="D1322" s="1" t="s">
        <v>16</v>
      </c>
      <c r="E1322" s="1">
        <v>1</v>
      </c>
      <c r="F1322">
        <v>8</v>
      </c>
      <c r="G1322">
        <v>7</v>
      </c>
      <c r="H1322">
        <v>9.9999999999999995E-7</v>
      </c>
      <c r="I1322">
        <f t="shared" si="63"/>
        <v>7.5</v>
      </c>
      <c r="J1322">
        <v>10</v>
      </c>
      <c r="K1322" s="16">
        <f t="shared" si="62"/>
        <v>750000000</v>
      </c>
    </row>
    <row r="1323" spans="1:11">
      <c r="A1323">
        <v>1</v>
      </c>
      <c r="B1323" t="s">
        <v>8</v>
      </c>
      <c r="C1323">
        <v>57</v>
      </c>
      <c r="D1323" s="1" t="s">
        <v>16</v>
      </c>
      <c r="E1323" s="1">
        <v>2</v>
      </c>
      <c r="F1323">
        <v>3</v>
      </c>
      <c r="G1323">
        <v>4</v>
      </c>
      <c r="H1323">
        <v>9.9999999999999995E-7</v>
      </c>
      <c r="I1323">
        <f t="shared" si="63"/>
        <v>3.5</v>
      </c>
      <c r="J1323">
        <v>10</v>
      </c>
      <c r="K1323" s="16">
        <f t="shared" si="62"/>
        <v>350000000</v>
      </c>
    </row>
    <row r="1324" spans="1:11">
      <c r="A1324">
        <v>1</v>
      </c>
      <c r="B1324" t="s">
        <v>8</v>
      </c>
      <c r="C1324">
        <v>57</v>
      </c>
      <c r="D1324" s="1" t="s">
        <v>16</v>
      </c>
      <c r="E1324" s="1">
        <v>3</v>
      </c>
      <c r="F1324">
        <v>19</v>
      </c>
      <c r="G1324">
        <v>19</v>
      </c>
      <c r="H1324">
        <v>1.0000000000000001E-5</v>
      </c>
      <c r="I1324">
        <f t="shared" si="63"/>
        <v>19</v>
      </c>
      <c r="J1324">
        <v>10</v>
      </c>
      <c r="K1324" s="16">
        <f t="shared" si="62"/>
        <v>189999999.99999997</v>
      </c>
    </row>
    <row r="1325" spans="1:11">
      <c r="A1325">
        <v>1</v>
      </c>
      <c r="B1325" t="s">
        <v>8</v>
      </c>
      <c r="C1325">
        <v>57</v>
      </c>
      <c r="D1325" s="1" t="s">
        <v>16</v>
      </c>
      <c r="E1325" s="1">
        <v>4</v>
      </c>
      <c r="F1325">
        <v>4</v>
      </c>
      <c r="G1325">
        <v>1</v>
      </c>
      <c r="H1325">
        <v>9.9999999999999995E-7</v>
      </c>
      <c r="I1325">
        <f t="shared" si="63"/>
        <v>2.5</v>
      </c>
      <c r="J1325">
        <v>10</v>
      </c>
      <c r="K1325" s="16">
        <f t="shared" si="62"/>
        <v>250000000</v>
      </c>
    </row>
    <row r="1326" spans="1:11">
      <c r="A1326">
        <v>1</v>
      </c>
      <c r="B1326" t="s">
        <v>8</v>
      </c>
      <c r="C1326">
        <v>57</v>
      </c>
      <c r="D1326" s="1" t="s">
        <v>16</v>
      </c>
      <c r="E1326" s="1">
        <v>5</v>
      </c>
      <c r="F1326">
        <v>18</v>
      </c>
      <c r="G1326">
        <v>18</v>
      </c>
      <c r="H1326">
        <v>1.0000000000000001E-5</v>
      </c>
      <c r="I1326">
        <f t="shared" si="63"/>
        <v>18</v>
      </c>
      <c r="J1326">
        <v>10</v>
      </c>
      <c r="K1326" s="16">
        <f t="shared" si="62"/>
        <v>179999999.99999997</v>
      </c>
    </row>
    <row r="1327" spans="1:11">
      <c r="A1327">
        <v>1</v>
      </c>
      <c r="B1327" t="s">
        <v>8</v>
      </c>
      <c r="C1327">
        <v>57</v>
      </c>
      <c r="D1327" s="1" t="s">
        <v>16</v>
      </c>
      <c r="E1327" s="1">
        <v>6</v>
      </c>
      <c r="F1327">
        <v>5</v>
      </c>
      <c r="G1327">
        <v>7</v>
      </c>
      <c r="H1327">
        <v>9.9999999999999995E-7</v>
      </c>
      <c r="I1327">
        <f t="shared" si="63"/>
        <v>6</v>
      </c>
      <c r="J1327">
        <v>10</v>
      </c>
      <c r="K1327" s="16">
        <f t="shared" si="62"/>
        <v>600000000</v>
      </c>
    </row>
    <row r="1328" spans="1:11">
      <c r="A1328">
        <v>1</v>
      </c>
      <c r="B1328" t="s">
        <v>8</v>
      </c>
      <c r="C1328">
        <v>57</v>
      </c>
      <c r="D1328" s="1" t="s">
        <v>16</v>
      </c>
      <c r="E1328" s="1">
        <v>7</v>
      </c>
      <c r="F1328">
        <v>1</v>
      </c>
      <c r="G1328">
        <v>3</v>
      </c>
      <c r="H1328">
        <v>9.9999999999999995E-7</v>
      </c>
      <c r="I1328">
        <f t="shared" si="63"/>
        <v>2</v>
      </c>
      <c r="J1328">
        <v>10</v>
      </c>
      <c r="K1328" s="16">
        <f t="shared" si="62"/>
        <v>200000000</v>
      </c>
    </row>
    <row r="1329" spans="1:11">
      <c r="A1329">
        <v>1</v>
      </c>
      <c r="B1329" t="s">
        <v>8</v>
      </c>
      <c r="C1329">
        <v>57</v>
      </c>
      <c r="D1329" s="1" t="s">
        <v>16</v>
      </c>
      <c r="E1329" s="1">
        <v>8</v>
      </c>
      <c r="F1329">
        <v>3</v>
      </c>
      <c r="G1329">
        <v>1</v>
      </c>
      <c r="H1329">
        <v>9.9999999999999995E-7</v>
      </c>
      <c r="I1329">
        <f t="shared" si="63"/>
        <v>2</v>
      </c>
      <c r="J1329">
        <v>10</v>
      </c>
      <c r="K1329" s="16">
        <f t="shared" si="62"/>
        <v>200000000</v>
      </c>
    </row>
    <row r="1330" spans="1:11">
      <c r="A1330">
        <v>1</v>
      </c>
      <c r="B1330" t="s">
        <v>8</v>
      </c>
      <c r="C1330">
        <v>57</v>
      </c>
      <c r="D1330" s="1" t="s">
        <v>16</v>
      </c>
      <c r="E1330" s="1">
        <v>9</v>
      </c>
      <c r="F1330">
        <v>2</v>
      </c>
      <c r="G1330">
        <v>1</v>
      </c>
      <c r="H1330">
        <v>9.9999999999999995E-7</v>
      </c>
      <c r="I1330">
        <f t="shared" si="63"/>
        <v>1.5</v>
      </c>
      <c r="J1330">
        <v>10</v>
      </c>
      <c r="K1330" s="16">
        <f t="shared" si="62"/>
        <v>150000000</v>
      </c>
    </row>
    <row r="1331" spans="1:11">
      <c r="A1331">
        <v>1</v>
      </c>
      <c r="B1331" t="s">
        <v>8</v>
      </c>
      <c r="C1331">
        <v>57</v>
      </c>
      <c r="D1331" s="1" t="s">
        <v>16</v>
      </c>
      <c r="E1331" s="1">
        <v>10</v>
      </c>
      <c r="F1331">
        <v>5</v>
      </c>
      <c r="G1331">
        <v>2</v>
      </c>
      <c r="H1331">
        <v>9.9999999999999995E-7</v>
      </c>
      <c r="I1331">
        <f t="shared" si="63"/>
        <v>3.5</v>
      </c>
      <c r="J1331">
        <v>10</v>
      </c>
      <c r="K1331" s="16">
        <f t="shared" si="62"/>
        <v>350000000</v>
      </c>
    </row>
    <row r="1332" spans="1:11">
      <c r="A1332">
        <v>1</v>
      </c>
      <c r="B1332" t="s">
        <v>8</v>
      </c>
      <c r="C1332">
        <v>57.5</v>
      </c>
      <c r="D1332" s="1" t="s">
        <v>16</v>
      </c>
      <c r="E1332" s="1">
        <v>1</v>
      </c>
      <c r="F1332">
        <v>12</v>
      </c>
      <c r="G1332">
        <v>12</v>
      </c>
      <c r="H1332">
        <v>1E-4</v>
      </c>
      <c r="I1332">
        <f t="shared" si="63"/>
        <v>12</v>
      </c>
      <c r="J1332">
        <v>10</v>
      </c>
      <c r="K1332" s="16">
        <f t="shared" si="62"/>
        <v>11999999.999999998</v>
      </c>
    </row>
    <row r="1333" spans="1:11">
      <c r="A1333">
        <v>1</v>
      </c>
      <c r="B1333" t="s">
        <v>8</v>
      </c>
      <c r="C1333">
        <v>57.5</v>
      </c>
      <c r="D1333" s="1" t="s">
        <v>16</v>
      </c>
      <c r="E1333" s="1">
        <v>2</v>
      </c>
      <c r="F1333">
        <v>5</v>
      </c>
      <c r="G1333">
        <v>5</v>
      </c>
      <c r="H1333">
        <v>1.0000000000000001E-5</v>
      </c>
      <c r="I1333">
        <f t="shared" si="63"/>
        <v>5</v>
      </c>
      <c r="J1333">
        <v>10</v>
      </c>
      <c r="K1333" s="16">
        <f t="shared" si="62"/>
        <v>49999999.999999993</v>
      </c>
    </row>
    <row r="1334" spans="1:11">
      <c r="A1334">
        <v>1</v>
      </c>
      <c r="B1334" t="s">
        <v>8</v>
      </c>
      <c r="C1334">
        <v>57.5</v>
      </c>
      <c r="D1334" s="1" t="s">
        <v>16</v>
      </c>
      <c r="E1334" s="1">
        <v>3</v>
      </c>
      <c r="F1334">
        <v>12</v>
      </c>
      <c r="G1334">
        <v>6</v>
      </c>
      <c r="H1334">
        <v>1.0000000000000001E-5</v>
      </c>
      <c r="I1334">
        <f t="shared" si="63"/>
        <v>9</v>
      </c>
      <c r="J1334">
        <v>10</v>
      </c>
      <c r="K1334" s="16">
        <f t="shared" si="62"/>
        <v>89999999.999999985</v>
      </c>
    </row>
    <row r="1335" spans="1:11">
      <c r="A1335">
        <v>1</v>
      </c>
      <c r="B1335" t="s">
        <v>8</v>
      </c>
      <c r="C1335">
        <v>57.5</v>
      </c>
      <c r="D1335" s="1" t="s">
        <v>16</v>
      </c>
      <c r="E1335" s="1">
        <v>4</v>
      </c>
      <c r="F1335">
        <v>4</v>
      </c>
      <c r="G1335">
        <v>2</v>
      </c>
      <c r="H1335">
        <v>1.0000000000000001E-5</v>
      </c>
      <c r="I1335">
        <f t="shared" si="63"/>
        <v>3</v>
      </c>
      <c r="J1335">
        <v>10</v>
      </c>
      <c r="K1335" s="16">
        <f t="shared" si="62"/>
        <v>29999999.999999996</v>
      </c>
    </row>
    <row r="1336" spans="1:11">
      <c r="A1336">
        <v>1</v>
      </c>
      <c r="B1336" t="s">
        <v>8</v>
      </c>
      <c r="C1336">
        <v>57.5</v>
      </c>
      <c r="D1336" s="1" t="s">
        <v>16</v>
      </c>
      <c r="E1336" s="1">
        <v>5</v>
      </c>
      <c r="F1336">
        <v>4</v>
      </c>
      <c r="G1336">
        <v>6</v>
      </c>
      <c r="H1336">
        <v>1.0000000000000001E-5</v>
      </c>
      <c r="I1336">
        <f t="shared" si="63"/>
        <v>5</v>
      </c>
      <c r="J1336">
        <v>10</v>
      </c>
      <c r="K1336" s="16">
        <f t="shared" si="62"/>
        <v>49999999.999999993</v>
      </c>
    </row>
    <row r="1337" spans="1:11">
      <c r="A1337">
        <v>1</v>
      </c>
      <c r="B1337" t="s">
        <v>8</v>
      </c>
      <c r="C1337">
        <v>57.5</v>
      </c>
      <c r="D1337" s="1" t="s">
        <v>16</v>
      </c>
      <c r="E1337" s="1">
        <v>6</v>
      </c>
      <c r="F1337">
        <v>9</v>
      </c>
      <c r="G1337">
        <v>10</v>
      </c>
      <c r="H1337">
        <v>1E-4</v>
      </c>
      <c r="I1337">
        <f t="shared" si="63"/>
        <v>9.5</v>
      </c>
      <c r="J1337">
        <v>10</v>
      </c>
      <c r="K1337" s="16">
        <f t="shared" si="62"/>
        <v>9499999.9999999981</v>
      </c>
    </row>
    <row r="1338" spans="1:11">
      <c r="A1338">
        <v>1</v>
      </c>
      <c r="B1338" t="s">
        <v>8</v>
      </c>
      <c r="C1338">
        <v>57.5</v>
      </c>
      <c r="D1338" s="1" t="s">
        <v>16</v>
      </c>
      <c r="E1338" s="1">
        <v>7</v>
      </c>
      <c r="F1338">
        <v>4</v>
      </c>
      <c r="G1338">
        <v>2</v>
      </c>
      <c r="H1338">
        <v>1.0000000000000001E-5</v>
      </c>
      <c r="I1338">
        <f t="shared" si="63"/>
        <v>3</v>
      </c>
      <c r="J1338">
        <v>10</v>
      </c>
      <c r="K1338" s="16">
        <f t="shared" si="62"/>
        <v>29999999.999999996</v>
      </c>
    </row>
    <row r="1339" spans="1:11">
      <c r="A1339">
        <v>1</v>
      </c>
      <c r="B1339" t="s">
        <v>8</v>
      </c>
      <c r="C1339">
        <v>57.5</v>
      </c>
      <c r="D1339" s="1" t="s">
        <v>16</v>
      </c>
      <c r="E1339" s="1">
        <v>8</v>
      </c>
      <c r="F1339">
        <v>5</v>
      </c>
      <c r="G1339">
        <v>2</v>
      </c>
      <c r="H1339">
        <v>1E-4</v>
      </c>
      <c r="I1339">
        <f t="shared" si="63"/>
        <v>3.5</v>
      </c>
      <c r="J1339">
        <v>10</v>
      </c>
      <c r="K1339" s="16">
        <f t="shared" si="62"/>
        <v>3499999.9999999995</v>
      </c>
    </row>
    <row r="1340" spans="1:11">
      <c r="A1340">
        <v>1</v>
      </c>
      <c r="B1340" t="s">
        <v>8</v>
      </c>
      <c r="C1340">
        <v>57.5</v>
      </c>
      <c r="D1340" s="1" t="s">
        <v>16</v>
      </c>
      <c r="E1340" s="1">
        <v>9</v>
      </c>
      <c r="F1340">
        <v>2</v>
      </c>
      <c r="G1340">
        <v>2</v>
      </c>
      <c r="H1340">
        <v>1.0000000000000001E-5</v>
      </c>
      <c r="I1340">
        <f t="shared" si="63"/>
        <v>2</v>
      </c>
      <c r="J1340">
        <v>10</v>
      </c>
      <c r="K1340" s="16">
        <f t="shared" si="62"/>
        <v>20000000</v>
      </c>
    </row>
    <row r="1341" spans="1:11">
      <c r="A1341">
        <v>1</v>
      </c>
      <c r="B1341" t="s">
        <v>8</v>
      </c>
      <c r="C1341">
        <v>57.5</v>
      </c>
      <c r="D1341" s="1" t="s">
        <v>16</v>
      </c>
      <c r="E1341" s="1">
        <v>10</v>
      </c>
      <c r="F1341">
        <v>5</v>
      </c>
      <c r="G1341">
        <v>6</v>
      </c>
      <c r="H1341">
        <v>1.0000000000000001E-5</v>
      </c>
      <c r="I1341">
        <f t="shared" si="63"/>
        <v>5.5</v>
      </c>
      <c r="J1341">
        <v>10</v>
      </c>
      <c r="K1341" s="16">
        <f t="shared" si="62"/>
        <v>54999999.999999993</v>
      </c>
    </row>
    <row r="1342" spans="1:11">
      <c r="A1342">
        <v>1</v>
      </c>
      <c r="B1342" t="s">
        <v>8</v>
      </c>
      <c r="C1342">
        <v>58</v>
      </c>
      <c r="D1342" s="1" t="s">
        <v>16</v>
      </c>
      <c r="E1342" s="1">
        <v>1</v>
      </c>
      <c r="F1342">
        <v>7</v>
      </c>
      <c r="G1342">
        <v>4</v>
      </c>
      <c r="H1342">
        <v>9.9999999999999995E-7</v>
      </c>
      <c r="I1342">
        <f t="shared" si="63"/>
        <v>5.5</v>
      </c>
      <c r="J1342">
        <v>10</v>
      </c>
      <c r="K1342" s="16">
        <f t="shared" si="62"/>
        <v>550000000</v>
      </c>
    </row>
    <row r="1343" spans="1:11">
      <c r="A1343">
        <v>1</v>
      </c>
      <c r="B1343" t="s">
        <v>8</v>
      </c>
      <c r="C1343">
        <v>58</v>
      </c>
      <c r="D1343" s="1" t="s">
        <v>16</v>
      </c>
      <c r="E1343" s="1">
        <v>2</v>
      </c>
      <c r="F1343">
        <v>5</v>
      </c>
      <c r="G1343">
        <v>3</v>
      </c>
      <c r="H1343">
        <v>9.9999999999999995E-7</v>
      </c>
      <c r="I1343">
        <f t="shared" si="63"/>
        <v>4</v>
      </c>
      <c r="J1343">
        <v>10</v>
      </c>
      <c r="K1343" s="16">
        <f t="shared" si="62"/>
        <v>400000000</v>
      </c>
    </row>
    <row r="1344" spans="1:11">
      <c r="A1344">
        <v>1</v>
      </c>
      <c r="B1344" t="s">
        <v>8</v>
      </c>
      <c r="C1344">
        <v>58</v>
      </c>
      <c r="D1344" s="1" t="s">
        <v>16</v>
      </c>
      <c r="E1344" s="1">
        <v>3</v>
      </c>
      <c r="F1344">
        <v>4</v>
      </c>
      <c r="G1344">
        <v>4</v>
      </c>
      <c r="H1344">
        <v>9.9999999999999995E-7</v>
      </c>
      <c r="I1344">
        <f t="shared" si="63"/>
        <v>4</v>
      </c>
      <c r="J1344">
        <v>10</v>
      </c>
      <c r="K1344" s="16">
        <f t="shared" si="62"/>
        <v>400000000</v>
      </c>
    </row>
    <row r="1345" spans="1:11">
      <c r="A1345">
        <v>1</v>
      </c>
      <c r="B1345" t="s">
        <v>8</v>
      </c>
      <c r="C1345">
        <v>58</v>
      </c>
      <c r="D1345" s="1" t="s">
        <v>16</v>
      </c>
      <c r="E1345" s="1">
        <v>4</v>
      </c>
      <c r="F1345">
        <v>8</v>
      </c>
      <c r="G1345">
        <v>3</v>
      </c>
      <c r="H1345">
        <v>9.9999999999999995E-7</v>
      </c>
      <c r="I1345">
        <f t="shared" si="63"/>
        <v>5.5</v>
      </c>
      <c r="J1345">
        <v>10</v>
      </c>
      <c r="K1345" s="16">
        <f t="shared" si="62"/>
        <v>550000000</v>
      </c>
    </row>
    <row r="1346" spans="1:11">
      <c r="A1346">
        <v>1</v>
      </c>
      <c r="B1346" t="s">
        <v>8</v>
      </c>
      <c r="C1346">
        <v>58</v>
      </c>
      <c r="D1346" s="1" t="s">
        <v>16</v>
      </c>
      <c r="E1346" s="1">
        <v>5</v>
      </c>
      <c r="F1346">
        <v>4</v>
      </c>
      <c r="G1346">
        <v>3</v>
      </c>
      <c r="H1346">
        <v>9.9999999999999995E-7</v>
      </c>
      <c r="I1346">
        <f t="shared" si="63"/>
        <v>3.5</v>
      </c>
      <c r="J1346">
        <v>10</v>
      </c>
      <c r="K1346" s="16">
        <f t="shared" si="62"/>
        <v>350000000</v>
      </c>
    </row>
    <row r="1347" spans="1:11">
      <c r="A1347">
        <v>1</v>
      </c>
      <c r="B1347" t="s">
        <v>8</v>
      </c>
      <c r="C1347">
        <v>58</v>
      </c>
      <c r="D1347" s="1" t="s">
        <v>16</v>
      </c>
      <c r="E1347" s="1">
        <v>6</v>
      </c>
      <c r="F1347">
        <v>9</v>
      </c>
      <c r="G1347">
        <v>3</v>
      </c>
      <c r="H1347">
        <v>9.9999999999999995E-7</v>
      </c>
      <c r="I1347">
        <f t="shared" si="63"/>
        <v>6</v>
      </c>
      <c r="J1347">
        <v>10</v>
      </c>
      <c r="K1347" s="16">
        <f t="shared" si="62"/>
        <v>600000000</v>
      </c>
    </row>
    <row r="1348" spans="1:11">
      <c r="A1348">
        <v>1</v>
      </c>
      <c r="B1348" t="s">
        <v>8</v>
      </c>
      <c r="C1348">
        <v>58</v>
      </c>
      <c r="D1348" s="1" t="s">
        <v>16</v>
      </c>
      <c r="E1348" s="1">
        <v>7</v>
      </c>
      <c r="F1348">
        <v>10</v>
      </c>
      <c r="G1348">
        <v>9</v>
      </c>
      <c r="H1348">
        <v>9.9999999999999995E-7</v>
      </c>
      <c r="I1348">
        <f t="shared" si="63"/>
        <v>9.5</v>
      </c>
      <c r="J1348">
        <v>10</v>
      </c>
      <c r="K1348" s="16">
        <f t="shared" si="62"/>
        <v>950000000</v>
      </c>
    </row>
    <row r="1349" spans="1:11">
      <c r="A1349">
        <v>1</v>
      </c>
      <c r="B1349" t="s">
        <v>8</v>
      </c>
      <c r="C1349">
        <v>58</v>
      </c>
      <c r="D1349" s="1" t="s">
        <v>16</v>
      </c>
      <c r="E1349" s="1">
        <v>8</v>
      </c>
      <c r="F1349">
        <v>4</v>
      </c>
      <c r="G1349">
        <v>7</v>
      </c>
      <c r="H1349">
        <v>9.9999999999999995E-7</v>
      </c>
      <c r="I1349">
        <f t="shared" si="63"/>
        <v>5.5</v>
      </c>
      <c r="J1349">
        <v>10</v>
      </c>
      <c r="K1349" s="16">
        <f t="shared" si="62"/>
        <v>550000000</v>
      </c>
    </row>
    <row r="1350" spans="1:11">
      <c r="A1350">
        <v>1</v>
      </c>
      <c r="B1350" t="s">
        <v>8</v>
      </c>
      <c r="C1350">
        <v>58</v>
      </c>
      <c r="D1350" s="1" t="s">
        <v>16</v>
      </c>
      <c r="E1350" s="1">
        <v>9</v>
      </c>
      <c r="F1350">
        <v>4</v>
      </c>
      <c r="G1350">
        <v>5</v>
      </c>
      <c r="H1350">
        <v>9.9999999999999995E-7</v>
      </c>
      <c r="I1350">
        <f t="shared" si="63"/>
        <v>4.5</v>
      </c>
      <c r="J1350">
        <v>10</v>
      </c>
      <c r="K1350" s="16">
        <f t="shared" si="62"/>
        <v>450000000</v>
      </c>
    </row>
    <row r="1351" spans="1:11">
      <c r="A1351">
        <v>1</v>
      </c>
      <c r="B1351" t="s">
        <v>8</v>
      </c>
      <c r="C1351">
        <v>58</v>
      </c>
      <c r="D1351" s="1" t="s">
        <v>16</v>
      </c>
      <c r="E1351" s="1">
        <v>10</v>
      </c>
      <c r="F1351">
        <v>3</v>
      </c>
      <c r="G1351">
        <v>2</v>
      </c>
      <c r="H1351">
        <v>9.9999999999999995E-7</v>
      </c>
      <c r="I1351">
        <f t="shared" ref="I1351:I1381" si="64">AVERAGE(F1351:G1351)</f>
        <v>2.5</v>
      </c>
      <c r="J1351">
        <v>10</v>
      </c>
      <c r="K1351" s="16">
        <f t="shared" si="62"/>
        <v>250000000</v>
      </c>
    </row>
    <row r="1352" spans="1:11">
      <c r="A1352">
        <v>1</v>
      </c>
      <c r="B1352" t="s">
        <v>8</v>
      </c>
      <c r="C1352">
        <v>58.5</v>
      </c>
      <c r="D1352" s="1" t="s">
        <v>16</v>
      </c>
      <c r="E1352" s="1">
        <v>1</v>
      </c>
      <c r="F1352">
        <v>19</v>
      </c>
      <c r="G1352">
        <v>15</v>
      </c>
      <c r="H1352">
        <v>1E-3</v>
      </c>
      <c r="I1352">
        <f t="shared" si="64"/>
        <v>17</v>
      </c>
      <c r="J1352">
        <v>10</v>
      </c>
      <c r="K1352" s="16">
        <f t="shared" si="62"/>
        <v>1699999.9999999998</v>
      </c>
    </row>
    <row r="1353" spans="1:11">
      <c r="A1353">
        <v>1</v>
      </c>
      <c r="B1353" t="s">
        <v>8</v>
      </c>
      <c r="C1353">
        <v>58.5</v>
      </c>
      <c r="D1353" s="1" t="s">
        <v>16</v>
      </c>
      <c r="E1353" s="1">
        <v>2</v>
      </c>
      <c r="F1353">
        <v>4</v>
      </c>
      <c r="G1353">
        <v>6</v>
      </c>
      <c r="H1353">
        <v>1.0000000000000001E-5</v>
      </c>
      <c r="I1353">
        <f t="shared" si="64"/>
        <v>5</v>
      </c>
      <c r="J1353">
        <v>10</v>
      </c>
      <c r="K1353" s="16">
        <f t="shared" si="62"/>
        <v>49999999.999999993</v>
      </c>
    </row>
    <row r="1354" spans="1:11">
      <c r="A1354">
        <v>1</v>
      </c>
      <c r="B1354" t="s">
        <v>8</v>
      </c>
      <c r="C1354">
        <v>58.5</v>
      </c>
      <c r="D1354" s="1" t="s">
        <v>16</v>
      </c>
      <c r="E1354" s="1">
        <v>3</v>
      </c>
      <c r="F1354">
        <v>2</v>
      </c>
      <c r="G1354">
        <v>1</v>
      </c>
      <c r="H1354">
        <v>1E-4</v>
      </c>
      <c r="I1354">
        <f t="shared" si="64"/>
        <v>1.5</v>
      </c>
      <c r="J1354">
        <v>10</v>
      </c>
      <c r="K1354" s="16">
        <f t="shared" si="62"/>
        <v>1499999.9999999998</v>
      </c>
    </row>
    <row r="1355" spans="1:11">
      <c r="A1355">
        <v>1</v>
      </c>
      <c r="B1355" t="s">
        <v>8</v>
      </c>
      <c r="C1355">
        <v>58.5</v>
      </c>
      <c r="D1355" s="1" t="s">
        <v>16</v>
      </c>
      <c r="E1355" s="1">
        <v>4</v>
      </c>
      <c r="F1355">
        <v>3</v>
      </c>
      <c r="G1355">
        <v>5</v>
      </c>
      <c r="H1355">
        <v>1E-4</v>
      </c>
      <c r="I1355">
        <f t="shared" si="64"/>
        <v>4</v>
      </c>
      <c r="J1355">
        <v>10</v>
      </c>
      <c r="K1355" s="16">
        <f t="shared" si="62"/>
        <v>3999999.9999999995</v>
      </c>
    </row>
    <row r="1356" spans="1:11">
      <c r="A1356">
        <v>1</v>
      </c>
      <c r="B1356" t="s">
        <v>8</v>
      </c>
      <c r="C1356">
        <v>58.5</v>
      </c>
      <c r="D1356" s="1" t="s">
        <v>16</v>
      </c>
      <c r="E1356" s="1">
        <v>5</v>
      </c>
      <c r="F1356">
        <v>2</v>
      </c>
      <c r="G1356">
        <v>2</v>
      </c>
      <c r="H1356">
        <v>1.0000000000000001E-5</v>
      </c>
      <c r="I1356">
        <f t="shared" si="64"/>
        <v>2</v>
      </c>
      <c r="J1356">
        <v>10</v>
      </c>
      <c r="K1356" s="16">
        <f t="shared" si="62"/>
        <v>20000000</v>
      </c>
    </row>
    <row r="1357" spans="1:11">
      <c r="A1357">
        <v>1</v>
      </c>
      <c r="B1357" t="s">
        <v>8</v>
      </c>
      <c r="C1357">
        <v>58.5</v>
      </c>
      <c r="D1357" s="1" t="s">
        <v>16</v>
      </c>
      <c r="E1357" s="1">
        <v>6</v>
      </c>
      <c r="F1357">
        <v>8</v>
      </c>
      <c r="G1357">
        <v>4</v>
      </c>
      <c r="H1357">
        <v>1E-3</v>
      </c>
      <c r="I1357">
        <f t="shared" si="64"/>
        <v>6</v>
      </c>
      <c r="J1357">
        <v>10</v>
      </c>
      <c r="K1357" s="16">
        <f t="shared" si="62"/>
        <v>600000</v>
      </c>
    </row>
    <row r="1358" spans="1:11">
      <c r="A1358">
        <v>1</v>
      </c>
      <c r="B1358" t="s">
        <v>8</v>
      </c>
      <c r="C1358">
        <v>58.5</v>
      </c>
      <c r="D1358" s="1" t="s">
        <v>16</v>
      </c>
      <c r="E1358" s="1">
        <v>7</v>
      </c>
      <c r="F1358">
        <v>13</v>
      </c>
      <c r="G1358">
        <v>13</v>
      </c>
      <c r="H1358">
        <v>1E-4</v>
      </c>
      <c r="I1358">
        <f t="shared" si="64"/>
        <v>13</v>
      </c>
      <c r="J1358">
        <v>10</v>
      </c>
      <c r="K1358" s="16">
        <f t="shared" si="62"/>
        <v>12999999.999999998</v>
      </c>
    </row>
    <row r="1359" spans="1:11">
      <c r="A1359">
        <v>1</v>
      </c>
      <c r="B1359" t="s">
        <v>8</v>
      </c>
      <c r="C1359">
        <v>58.5</v>
      </c>
      <c r="D1359" s="1" t="s">
        <v>16</v>
      </c>
      <c r="E1359" s="1">
        <v>8</v>
      </c>
      <c r="F1359">
        <v>7</v>
      </c>
      <c r="G1359">
        <v>5</v>
      </c>
      <c r="H1359">
        <v>1E-4</v>
      </c>
      <c r="I1359">
        <f t="shared" si="64"/>
        <v>6</v>
      </c>
      <c r="J1359">
        <v>10</v>
      </c>
      <c r="K1359" s="16">
        <f t="shared" si="62"/>
        <v>5999999.9999999991</v>
      </c>
    </row>
    <row r="1360" spans="1:11">
      <c r="A1360">
        <v>1</v>
      </c>
      <c r="B1360" t="s">
        <v>8</v>
      </c>
      <c r="C1360">
        <v>58.5</v>
      </c>
      <c r="D1360" s="1" t="s">
        <v>16</v>
      </c>
      <c r="E1360" s="1">
        <v>9</v>
      </c>
      <c r="F1360">
        <v>13</v>
      </c>
      <c r="G1360">
        <v>9</v>
      </c>
      <c r="H1360">
        <v>1E-3</v>
      </c>
      <c r="I1360">
        <f t="shared" si="64"/>
        <v>11</v>
      </c>
      <c r="J1360">
        <v>10</v>
      </c>
      <c r="K1360" s="16">
        <f t="shared" si="62"/>
        <v>1100000</v>
      </c>
    </row>
    <row r="1361" spans="1:11">
      <c r="A1361">
        <v>1</v>
      </c>
      <c r="B1361" t="s">
        <v>8</v>
      </c>
      <c r="C1361">
        <v>58.5</v>
      </c>
      <c r="D1361" s="1" t="s">
        <v>16</v>
      </c>
      <c r="E1361" s="1">
        <v>10</v>
      </c>
      <c r="F1361">
        <v>3</v>
      </c>
      <c r="G1361">
        <v>5</v>
      </c>
      <c r="H1361">
        <v>1.0000000000000001E-5</v>
      </c>
      <c r="I1361">
        <f t="shared" si="64"/>
        <v>4</v>
      </c>
      <c r="J1361">
        <v>10</v>
      </c>
      <c r="K1361" s="16">
        <f t="shared" si="62"/>
        <v>40000000</v>
      </c>
    </row>
    <row r="1362" spans="1:11">
      <c r="A1362">
        <v>1</v>
      </c>
      <c r="B1362" t="s">
        <v>8</v>
      </c>
      <c r="C1362">
        <v>59</v>
      </c>
      <c r="D1362" s="1" t="s">
        <v>16</v>
      </c>
      <c r="E1362" s="1">
        <v>1</v>
      </c>
      <c r="F1362">
        <v>4</v>
      </c>
      <c r="G1362">
        <v>5</v>
      </c>
      <c r="H1362">
        <v>9.9999999999999995E-7</v>
      </c>
      <c r="I1362">
        <f t="shared" si="64"/>
        <v>4.5</v>
      </c>
      <c r="J1362">
        <v>10</v>
      </c>
      <c r="K1362" s="16">
        <f t="shared" si="62"/>
        <v>450000000</v>
      </c>
    </row>
    <row r="1363" spans="1:11">
      <c r="A1363">
        <v>1</v>
      </c>
      <c r="B1363" t="s">
        <v>8</v>
      </c>
      <c r="C1363">
        <v>59</v>
      </c>
      <c r="D1363" s="1" t="s">
        <v>16</v>
      </c>
      <c r="E1363" s="1">
        <v>2</v>
      </c>
      <c r="F1363">
        <v>3</v>
      </c>
      <c r="G1363">
        <v>6</v>
      </c>
      <c r="H1363">
        <v>9.9999999999999995E-7</v>
      </c>
      <c r="I1363">
        <f t="shared" si="64"/>
        <v>4.5</v>
      </c>
      <c r="J1363">
        <v>10</v>
      </c>
      <c r="K1363" s="16">
        <f t="shared" ref="K1363:K1426" si="65">I1363/(H1363*(J1363/1000))</f>
        <v>450000000</v>
      </c>
    </row>
    <row r="1364" spans="1:11">
      <c r="A1364">
        <v>1</v>
      </c>
      <c r="B1364" t="s">
        <v>8</v>
      </c>
      <c r="C1364">
        <v>59</v>
      </c>
      <c r="D1364" s="1" t="s">
        <v>16</v>
      </c>
      <c r="E1364" s="1">
        <v>3</v>
      </c>
      <c r="F1364">
        <v>1</v>
      </c>
      <c r="G1364">
        <v>5</v>
      </c>
      <c r="H1364">
        <v>9.9999999999999995E-7</v>
      </c>
      <c r="I1364">
        <f t="shared" si="64"/>
        <v>3</v>
      </c>
      <c r="J1364">
        <v>10</v>
      </c>
      <c r="K1364" s="16">
        <f t="shared" si="65"/>
        <v>300000000</v>
      </c>
    </row>
    <row r="1365" spans="1:11">
      <c r="A1365">
        <v>1</v>
      </c>
      <c r="B1365" t="s">
        <v>8</v>
      </c>
      <c r="C1365">
        <v>59</v>
      </c>
      <c r="D1365" s="1" t="s">
        <v>16</v>
      </c>
      <c r="E1365" s="1">
        <v>4</v>
      </c>
      <c r="F1365">
        <v>1</v>
      </c>
      <c r="G1365">
        <v>2</v>
      </c>
      <c r="H1365">
        <v>9.9999999999999995E-7</v>
      </c>
      <c r="I1365">
        <f t="shared" si="64"/>
        <v>1.5</v>
      </c>
      <c r="J1365">
        <v>10</v>
      </c>
      <c r="K1365" s="16">
        <f t="shared" si="65"/>
        <v>150000000</v>
      </c>
    </row>
    <row r="1366" spans="1:11">
      <c r="A1366">
        <v>1</v>
      </c>
      <c r="B1366" t="s">
        <v>8</v>
      </c>
      <c r="C1366">
        <v>59</v>
      </c>
      <c r="D1366" s="1" t="s">
        <v>16</v>
      </c>
      <c r="E1366" s="1">
        <v>5</v>
      </c>
      <c r="F1366">
        <v>3</v>
      </c>
      <c r="G1366">
        <v>1</v>
      </c>
      <c r="H1366">
        <v>9.9999999999999995E-7</v>
      </c>
      <c r="I1366">
        <f t="shared" si="64"/>
        <v>2</v>
      </c>
      <c r="J1366">
        <v>10</v>
      </c>
      <c r="K1366" s="16">
        <f t="shared" si="65"/>
        <v>200000000</v>
      </c>
    </row>
    <row r="1367" spans="1:11">
      <c r="A1367">
        <v>1</v>
      </c>
      <c r="B1367" t="s">
        <v>8</v>
      </c>
      <c r="C1367">
        <v>59</v>
      </c>
      <c r="D1367" s="1" t="s">
        <v>16</v>
      </c>
      <c r="E1367" s="1">
        <v>6</v>
      </c>
      <c r="F1367">
        <v>4</v>
      </c>
      <c r="G1367">
        <v>3</v>
      </c>
      <c r="H1367">
        <v>9.9999999999999995E-7</v>
      </c>
      <c r="I1367">
        <f t="shared" si="64"/>
        <v>3.5</v>
      </c>
      <c r="J1367">
        <v>10</v>
      </c>
      <c r="K1367" s="16">
        <f t="shared" si="65"/>
        <v>350000000</v>
      </c>
    </row>
    <row r="1368" spans="1:11">
      <c r="A1368">
        <v>1</v>
      </c>
      <c r="B1368" t="s">
        <v>8</v>
      </c>
      <c r="C1368">
        <v>59</v>
      </c>
      <c r="D1368" s="1" t="s">
        <v>16</v>
      </c>
      <c r="E1368" s="1">
        <v>7</v>
      </c>
      <c r="F1368">
        <v>4</v>
      </c>
      <c r="G1368">
        <v>2</v>
      </c>
      <c r="H1368">
        <v>9.9999999999999995E-7</v>
      </c>
      <c r="I1368">
        <f t="shared" si="64"/>
        <v>3</v>
      </c>
      <c r="J1368">
        <v>10</v>
      </c>
      <c r="K1368" s="16">
        <f t="shared" si="65"/>
        <v>300000000</v>
      </c>
    </row>
    <row r="1369" spans="1:11">
      <c r="A1369">
        <v>1</v>
      </c>
      <c r="B1369" t="s">
        <v>8</v>
      </c>
      <c r="C1369">
        <v>59</v>
      </c>
      <c r="D1369" s="1" t="s">
        <v>16</v>
      </c>
      <c r="E1369" s="1">
        <v>8</v>
      </c>
      <c r="F1369">
        <v>5</v>
      </c>
      <c r="G1369">
        <v>3</v>
      </c>
      <c r="H1369">
        <v>9.9999999999999995E-7</v>
      </c>
      <c r="I1369">
        <f t="shared" si="64"/>
        <v>4</v>
      </c>
      <c r="J1369">
        <v>10</v>
      </c>
      <c r="K1369" s="16">
        <f t="shared" si="65"/>
        <v>400000000</v>
      </c>
    </row>
    <row r="1370" spans="1:11">
      <c r="A1370">
        <v>1</v>
      </c>
      <c r="B1370" t="s">
        <v>8</v>
      </c>
      <c r="C1370">
        <v>59</v>
      </c>
      <c r="D1370" s="1" t="s">
        <v>16</v>
      </c>
      <c r="E1370" s="1">
        <v>9</v>
      </c>
      <c r="F1370">
        <v>6</v>
      </c>
      <c r="G1370">
        <v>4</v>
      </c>
      <c r="H1370">
        <v>9.9999999999999995E-7</v>
      </c>
      <c r="I1370">
        <f t="shared" si="64"/>
        <v>5</v>
      </c>
      <c r="J1370">
        <v>10</v>
      </c>
      <c r="K1370" s="16">
        <f t="shared" si="65"/>
        <v>500000000</v>
      </c>
    </row>
    <row r="1371" spans="1:11">
      <c r="A1371">
        <v>1</v>
      </c>
      <c r="B1371" t="s">
        <v>8</v>
      </c>
      <c r="C1371">
        <v>59</v>
      </c>
      <c r="D1371" s="1" t="s">
        <v>16</v>
      </c>
      <c r="E1371" s="1">
        <v>10</v>
      </c>
      <c r="F1371">
        <v>4</v>
      </c>
      <c r="G1371">
        <v>4</v>
      </c>
      <c r="H1371">
        <v>9.9999999999999995E-7</v>
      </c>
      <c r="I1371">
        <f t="shared" si="64"/>
        <v>4</v>
      </c>
      <c r="J1371">
        <v>10</v>
      </c>
      <c r="K1371" s="16">
        <f t="shared" si="65"/>
        <v>400000000</v>
      </c>
    </row>
    <row r="1372" spans="1:11">
      <c r="A1372">
        <v>1</v>
      </c>
      <c r="B1372" t="s">
        <v>8</v>
      </c>
      <c r="C1372">
        <v>59.5</v>
      </c>
      <c r="D1372" s="1" t="s">
        <v>16</v>
      </c>
      <c r="E1372" s="1">
        <v>1</v>
      </c>
      <c r="F1372">
        <v>4</v>
      </c>
      <c r="G1372">
        <v>3</v>
      </c>
      <c r="H1372">
        <v>1E-4</v>
      </c>
      <c r="I1372">
        <f t="shared" si="64"/>
        <v>3.5</v>
      </c>
      <c r="J1372">
        <v>10</v>
      </c>
      <c r="K1372" s="16">
        <f t="shared" si="65"/>
        <v>3499999.9999999995</v>
      </c>
    </row>
    <row r="1373" spans="1:11">
      <c r="A1373">
        <v>1</v>
      </c>
      <c r="B1373" t="s">
        <v>8</v>
      </c>
      <c r="C1373">
        <v>59.5</v>
      </c>
      <c r="D1373" s="1" t="s">
        <v>16</v>
      </c>
      <c r="E1373" s="1">
        <v>2</v>
      </c>
      <c r="F1373">
        <v>10</v>
      </c>
      <c r="G1373">
        <v>7</v>
      </c>
      <c r="H1373">
        <v>1.0000000000000001E-5</v>
      </c>
      <c r="I1373">
        <f t="shared" si="64"/>
        <v>8.5</v>
      </c>
      <c r="J1373">
        <v>10</v>
      </c>
      <c r="K1373" s="16">
        <f t="shared" si="65"/>
        <v>85000000</v>
      </c>
    </row>
    <row r="1374" spans="1:11">
      <c r="A1374">
        <v>1</v>
      </c>
      <c r="B1374" t="s">
        <v>8</v>
      </c>
      <c r="C1374">
        <v>59.5</v>
      </c>
      <c r="D1374" s="1" t="s">
        <v>16</v>
      </c>
      <c r="E1374" s="1">
        <v>3</v>
      </c>
      <c r="F1374">
        <v>14</v>
      </c>
      <c r="G1374">
        <v>7</v>
      </c>
      <c r="H1374">
        <v>1.0000000000000001E-5</v>
      </c>
      <c r="I1374">
        <f t="shared" si="64"/>
        <v>10.5</v>
      </c>
      <c r="J1374">
        <v>10</v>
      </c>
      <c r="K1374" s="16">
        <f t="shared" si="65"/>
        <v>104999999.99999999</v>
      </c>
    </row>
    <row r="1375" spans="1:11">
      <c r="A1375">
        <v>1</v>
      </c>
      <c r="B1375" t="s">
        <v>8</v>
      </c>
      <c r="C1375">
        <v>59.5</v>
      </c>
      <c r="D1375" s="1" t="s">
        <v>16</v>
      </c>
      <c r="E1375" s="1">
        <v>4</v>
      </c>
      <c r="F1375">
        <v>2</v>
      </c>
      <c r="G1375">
        <v>3</v>
      </c>
      <c r="H1375">
        <v>1.0000000000000001E-5</v>
      </c>
      <c r="I1375">
        <f t="shared" si="64"/>
        <v>2.5</v>
      </c>
      <c r="J1375">
        <v>10</v>
      </c>
      <c r="K1375" s="16">
        <f t="shared" si="65"/>
        <v>24999999.999999996</v>
      </c>
    </row>
    <row r="1376" spans="1:11">
      <c r="A1376">
        <v>1</v>
      </c>
      <c r="B1376" t="s">
        <v>8</v>
      </c>
      <c r="C1376">
        <v>59.5</v>
      </c>
      <c r="D1376" s="1" t="s">
        <v>16</v>
      </c>
      <c r="E1376" s="1">
        <v>5</v>
      </c>
      <c r="F1376">
        <v>9</v>
      </c>
      <c r="G1376">
        <v>13</v>
      </c>
      <c r="H1376">
        <v>1E-4</v>
      </c>
      <c r="I1376">
        <f t="shared" si="64"/>
        <v>11</v>
      </c>
      <c r="J1376">
        <v>10</v>
      </c>
      <c r="K1376" s="16">
        <f t="shared" si="65"/>
        <v>10999999.999999998</v>
      </c>
    </row>
    <row r="1377" spans="1:11">
      <c r="A1377">
        <v>1</v>
      </c>
      <c r="B1377" t="s">
        <v>8</v>
      </c>
      <c r="C1377">
        <v>59.5</v>
      </c>
      <c r="D1377" s="1" t="s">
        <v>16</v>
      </c>
      <c r="E1377" s="1">
        <v>6</v>
      </c>
      <c r="F1377">
        <v>8</v>
      </c>
      <c r="G1377">
        <v>4</v>
      </c>
      <c r="H1377">
        <v>1.0000000000000001E-5</v>
      </c>
      <c r="I1377">
        <f t="shared" si="64"/>
        <v>6</v>
      </c>
      <c r="J1377">
        <v>10</v>
      </c>
      <c r="K1377" s="16">
        <f t="shared" si="65"/>
        <v>59999999.999999993</v>
      </c>
    </row>
    <row r="1378" spans="1:11">
      <c r="A1378">
        <v>1</v>
      </c>
      <c r="B1378" t="s">
        <v>8</v>
      </c>
      <c r="C1378">
        <v>59.5</v>
      </c>
      <c r="D1378" s="1" t="s">
        <v>16</v>
      </c>
      <c r="E1378" s="1">
        <v>7</v>
      </c>
      <c r="F1378">
        <v>3</v>
      </c>
      <c r="G1378">
        <v>1</v>
      </c>
      <c r="H1378">
        <v>1.0000000000000001E-5</v>
      </c>
      <c r="I1378">
        <f t="shared" si="64"/>
        <v>2</v>
      </c>
      <c r="J1378">
        <v>10</v>
      </c>
      <c r="K1378" s="16">
        <f t="shared" si="65"/>
        <v>20000000</v>
      </c>
    </row>
    <row r="1379" spans="1:11">
      <c r="A1379">
        <v>1</v>
      </c>
      <c r="B1379" t="s">
        <v>8</v>
      </c>
      <c r="C1379">
        <v>59.5</v>
      </c>
      <c r="D1379" s="1" t="s">
        <v>16</v>
      </c>
      <c r="E1379" s="1">
        <v>8</v>
      </c>
      <c r="F1379">
        <v>9</v>
      </c>
      <c r="G1379">
        <v>10</v>
      </c>
      <c r="H1379">
        <v>1E-4</v>
      </c>
      <c r="I1379">
        <f t="shared" si="64"/>
        <v>9.5</v>
      </c>
      <c r="J1379">
        <v>10</v>
      </c>
      <c r="K1379" s="16">
        <f t="shared" si="65"/>
        <v>9499999.9999999981</v>
      </c>
    </row>
    <row r="1380" spans="1:11">
      <c r="A1380">
        <v>1</v>
      </c>
      <c r="B1380" t="s">
        <v>8</v>
      </c>
      <c r="C1380">
        <v>59.5</v>
      </c>
      <c r="D1380" s="1" t="s">
        <v>16</v>
      </c>
      <c r="E1380" s="1">
        <v>9</v>
      </c>
      <c r="F1380">
        <v>3</v>
      </c>
      <c r="G1380">
        <v>4</v>
      </c>
      <c r="H1380">
        <v>1E-4</v>
      </c>
      <c r="I1380">
        <f t="shared" si="64"/>
        <v>3.5</v>
      </c>
      <c r="J1380">
        <v>10</v>
      </c>
      <c r="K1380" s="16">
        <f t="shared" si="65"/>
        <v>3499999.9999999995</v>
      </c>
    </row>
    <row r="1381" spans="1:11">
      <c r="A1381">
        <v>1</v>
      </c>
      <c r="B1381" t="s">
        <v>8</v>
      </c>
      <c r="C1381">
        <v>59.5</v>
      </c>
      <c r="D1381" s="1" t="s">
        <v>16</v>
      </c>
      <c r="E1381" s="1">
        <v>10</v>
      </c>
      <c r="F1381">
        <v>6</v>
      </c>
      <c r="G1381">
        <v>3</v>
      </c>
      <c r="H1381">
        <v>1E-4</v>
      </c>
      <c r="I1381">
        <f t="shared" si="64"/>
        <v>4.5</v>
      </c>
      <c r="J1381">
        <v>10</v>
      </c>
      <c r="K1381" s="16">
        <f t="shared" si="65"/>
        <v>4499999.9999999991</v>
      </c>
    </row>
    <row r="1382" spans="1:11">
      <c r="A1382">
        <v>1</v>
      </c>
      <c r="B1382" t="s">
        <v>8</v>
      </c>
      <c r="C1382">
        <v>60</v>
      </c>
      <c r="D1382" s="1" t="s">
        <v>16</v>
      </c>
      <c r="E1382" s="1">
        <v>1</v>
      </c>
      <c r="F1382">
        <v>5</v>
      </c>
      <c r="G1382">
        <v>6</v>
      </c>
      <c r="H1382">
        <v>9.9999999999999995E-7</v>
      </c>
      <c r="I1382">
        <f t="shared" ref="I1382:I1411" si="66">AVERAGE(F1382:G1382)</f>
        <v>5.5</v>
      </c>
      <c r="J1382">
        <v>10</v>
      </c>
      <c r="K1382" s="16">
        <f t="shared" si="65"/>
        <v>550000000</v>
      </c>
    </row>
    <row r="1383" spans="1:11">
      <c r="A1383">
        <v>1</v>
      </c>
      <c r="B1383" t="s">
        <v>8</v>
      </c>
      <c r="C1383">
        <v>60</v>
      </c>
      <c r="D1383" s="1" t="s">
        <v>16</v>
      </c>
      <c r="E1383" s="1">
        <v>2</v>
      </c>
      <c r="F1383">
        <v>4</v>
      </c>
      <c r="G1383">
        <v>2</v>
      </c>
      <c r="H1383">
        <v>9.9999999999999995E-7</v>
      </c>
      <c r="I1383">
        <f t="shared" si="66"/>
        <v>3</v>
      </c>
      <c r="J1383">
        <v>10</v>
      </c>
      <c r="K1383" s="16">
        <f t="shared" si="65"/>
        <v>300000000</v>
      </c>
    </row>
    <row r="1384" spans="1:11">
      <c r="A1384">
        <v>1</v>
      </c>
      <c r="B1384" t="s">
        <v>8</v>
      </c>
      <c r="C1384">
        <v>60</v>
      </c>
      <c r="D1384" s="1" t="s">
        <v>16</v>
      </c>
      <c r="E1384" s="1">
        <v>3</v>
      </c>
      <c r="F1384">
        <v>2</v>
      </c>
      <c r="G1384">
        <v>3</v>
      </c>
      <c r="H1384">
        <v>9.9999999999999995E-7</v>
      </c>
      <c r="I1384">
        <f t="shared" si="66"/>
        <v>2.5</v>
      </c>
      <c r="J1384">
        <v>10</v>
      </c>
      <c r="K1384" s="16">
        <f t="shared" si="65"/>
        <v>250000000</v>
      </c>
    </row>
    <row r="1385" spans="1:11">
      <c r="A1385">
        <v>1</v>
      </c>
      <c r="B1385" t="s">
        <v>8</v>
      </c>
      <c r="C1385">
        <v>60</v>
      </c>
      <c r="D1385" s="1" t="s">
        <v>16</v>
      </c>
      <c r="E1385" s="1">
        <v>4</v>
      </c>
      <c r="F1385">
        <v>1</v>
      </c>
      <c r="G1385">
        <v>4</v>
      </c>
      <c r="H1385">
        <v>9.9999999999999995E-7</v>
      </c>
      <c r="I1385">
        <f t="shared" si="66"/>
        <v>2.5</v>
      </c>
      <c r="J1385">
        <v>10</v>
      </c>
      <c r="K1385" s="16">
        <f t="shared" si="65"/>
        <v>250000000</v>
      </c>
    </row>
    <row r="1386" spans="1:11">
      <c r="A1386">
        <v>1</v>
      </c>
      <c r="B1386" t="s">
        <v>8</v>
      </c>
      <c r="C1386">
        <v>60</v>
      </c>
      <c r="D1386" s="1" t="s">
        <v>16</v>
      </c>
      <c r="E1386" s="1">
        <v>5</v>
      </c>
      <c r="F1386">
        <v>3</v>
      </c>
      <c r="G1386">
        <v>3</v>
      </c>
      <c r="H1386">
        <v>9.9999999999999995E-7</v>
      </c>
      <c r="I1386">
        <f t="shared" si="66"/>
        <v>3</v>
      </c>
      <c r="J1386">
        <v>10</v>
      </c>
      <c r="K1386" s="16">
        <f t="shared" si="65"/>
        <v>300000000</v>
      </c>
    </row>
    <row r="1387" spans="1:11">
      <c r="A1387">
        <v>1</v>
      </c>
      <c r="B1387" t="s">
        <v>8</v>
      </c>
      <c r="C1387">
        <v>60</v>
      </c>
      <c r="D1387" s="1" t="s">
        <v>16</v>
      </c>
      <c r="E1387" s="1">
        <v>6</v>
      </c>
      <c r="F1387">
        <v>3</v>
      </c>
      <c r="G1387">
        <v>5</v>
      </c>
      <c r="H1387">
        <v>9.9999999999999995E-7</v>
      </c>
      <c r="I1387">
        <f t="shared" si="66"/>
        <v>4</v>
      </c>
      <c r="J1387">
        <v>10</v>
      </c>
      <c r="K1387" s="16">
        <f t="shared" si="65"/>
        <v>400000000</v>
      </c>
    </row>
    <row r="1388" spans="1:11">
      <c r="A1388">
        <v>1</v>
      </c>
      <c r="B1388" t="s">
        <v>8</v>
      </c>
      <c r="C1388">
        <v>60</v>
      </c>
      <c r="D1388" s="1" t="s">
        <v>16</v>
      </c>
      <c r="E1388" s="1">
        <v>7</v>
      </c>
      <c r="F1388">
        <v>7</v>
      </c>
      <c r="G1388">
        <v>2</v>
      </c>
      <c r="H1388">
        <v>9.9999999999999995E-7</v>
      </c>
      <c r="I1388">
        <f t="shared" si="66"/>
        <v>4.5</v>
      </c>
      <c r="J1388">
        <v>10</v>
      </c>
      <c r="K1388" s="16">
        <f t="shared" si="65"/>
        <v>450000000</v>
      </c>
    </row>
    <row r="1389" spans="1:11">
      <c r="A1389">
        <v>1</v>
      </c>
      <c r="B1389" t="s">
        <v>8</v>
      </c>
      <c r="C1389">
        <v>60</v>
      </c>
      <c r="D1389" s="1" t="s">
        <v>16</v>
      </c>
      <c r="E1389" s="1">
        <v>8</v>
      </c>
      <c r="F1389">
        <v>6</v>
      </c>
      <c r="G1389">
        <v>2</v>
      </c>
      <c r="H1389">
        <v>9.9999999999999995E-7</v>
      </c>
      <c r="I1389">
        <f t="shared" si="66"/>
        <v>4</v>
      </c>
      <c r="J1389">
        <v>10</v>
      </c>
      <c r="K1389" s="16">
        <f t="shared" si="65"/>
        <v>400000000</v>
      </c>
    </row>
    <row r="1390" spans="1:11">
      <c r="A1390">
        <v>1</v>
      </c>
      <c r="B1390" t="s">
        <v>8</v>
      </c>
      <c r="C1390">
        <v>60</v>
      </c>
      <c r="D1390" s="1" t="s">
        <v>16</v>
      </c>
      <c r="E1390" s="1">
        <v>9</v>
      </c>
      <c r="F1390">
        <v>6</v>
      </c>
      <c r="G1390">
        <v>3</v>
      </c>
      <c r="H1390">
        <v>9.9999999999999995E-7</v>
      </c>
      <c r="I1390">
        <f t="shared" si="66"/>
        <v>4.5</v>
      </c>
      <c r="J1390">
        <v>10</v>
      </c>
      <c r="K1390" s="16">
        <f t="shared" si="65"/>
        <v>450000000</v>
      </c>
    </row>
    <row r="1391" spans="1:11">
      <c r="A1391">
        <v>1</v>
      </c>
      <c r="B1391" t="s">
        <v>8</v>
      </c>
      <c r="C1391">
        <v>60</v>
      </c>
      <c r="D1391" s="1" t="s">
        <v>16</v>
      </c>
      <c r="E1391" s="1">
        <v>10</v>
      </c>
      <c r="F1391">
        <v>1</v>
      </c>
      <c r="G1391">
        <v>3</v>
      </c>
      <c r="H1391">
        <v>9.9999999999999995E-7</v>
      </c>
      <c r="I1391">
        <f t="shared" si="66"/>
        <v>2</v>
      </c>
      <c r="J1391">
        <v>10</v>
      </c>
      <c r="K1391" s="16">
        <f t="shared" si="65"/>
        <v>200000000</v>
      </c>
    </row>
    <row r="1392" spans="1:11">
      <c r="A1392">
        <v>1</v>
      </c>
      <c r="B1392" t="s">
        <v>8</v>
      </c>
      <c r="C1392">
        <v>60.5</v>
      </c>
      <c r="D1392" s="1" t="s">
        <v>16</v>
      </c>
      <c r="E1392" s="1">
        <v>1</v>
      </c>
      <c r="F1392">
        <v>6</v>
      </c>
      <c r="G1392">
        <v>5</v>
      </c>
      <c r="H1392">
        <v>1E-4</v>
      </c>
      <c r="I1392">
        <f t="shared" si="66"/>
        <v>5.5</v>
      </c>
      <c r="J1392">
        <v>10</v>
      </c>
      <c r="K1392" s="16">
        <f t="shared" si="65"/>
        <v>5499999.9999999991</v>
      </c>
    </row>
    <row r="1393" spans="1:11">
      <c r="A1393">
        <v>1</v>
      </c>
      <c r="B1393" t="s">
        <v>8</v>
      </c>
      <c r="C1393">
        <v>60.5</v>
      </c>
      <c r="D1393" s="1" t="s">
        <v>16</v>
      </c>
      <c r="E1393" s="1">
        <v>2</v>
      </c>
      <c r="F1393">
        <v>5</v>
      </c>
      <c r="G1393">
        <v>3</v>
      </c>
      <c r="H1393">
        <v>1.0000000000000001E-5</v>
      </c>
      <c r="I1393">
        <f t="shared" si="66"/>
        <v>4</v>
      </c>
      <c r="J1393">
        <v>10</v>
      </c>
      <c r="K1393" s="16">
        <f t="shared" si="65"/>
        <v>40000000</v>
      </c>
    </row>
    <row r="1394" spans="1:11">
      <c r="A1394">
        <v>1</v>
      </c>
      <c r="B1394" t="s">
        <v>8</v>
      </c>
      <c r="C1394">
        <v>60.5</v>
      </c>
      <c r="D1394" s="1" t="s">
        <v>16</v>
      </c>
      <c r="E1394" s="1">
        <v>3</v>
      </c>
      <c r="F1394">
        <v>8</v>
      </c>
      <c r="G1394">
        <v>8</v>
      </c>
      <c r="H1394">
        <v>1.0000000000000001E-5</v>
      </c>
      <c r="I1394">
        <f t="shared" si="66"/>
        <v>8</v>
      </c>
      <c r="J1394">
        <v>10</v>
      </c>
      <c r="K1394" s="16">
        <f t="shared" si="65"/>
        <v>80000000</v>
      </c>
    </row>
    <row r="1395" spans="1:11">
      <c r="A1395">
        <v>1</v>
      </c>
      <c r="B1395" t="s">
        <v>8</v>
      </c>
      <c r="C1395">
        <v>60.5</v>
      </c>
      <c r="D1395" s="1" t="s">
        <v>16</v>
      </c>
      <c r="E1395" s="1">
        <v>4</v>
      </c>
      <c r="F1395">
        <v>1</v>
      </c>
      <c r="G1395">
        <v>2</v>
      </c>
      <c r="H1395">
        <v>1.0000000000000001E-5</v>
      </c>
      <c r="I1395">
        <f t="shared" si="66"/>
        <v>1.5</v>
      </c>
      <c r="J1395">
        <v>10</v>
      </c>
      <c r="K1395" s="16">
        <f t="shared" si="65"/>
        <v>14999999.999999998</v>
      </c>
    </row>
    <row r="1396" spans="1:11">
      <c r="A1396">
        <v>1</v>
      </c>
      <c r="B1396" t="s">
        <v>8</v>
      </c>
      <c r="C1396">
        <v>60.5</v>
      </c>
      <c r="D1396" s="1" t="s">
        <v>16</v>
      </c>
      <c r="E1396" s="1">
        <v>5</v>
      </c>
      <c r="F1396">
        <v>5</v>
      </c>
      <c r="G1396">
        <v>7</v>
      </c>
      <c r="H1396">
        <v>1E-4</v>
      </c>
      <c r="I1396">
        <f t="shared" si="66"/>
        <v>6</v>
      </c>
      <c r="J1396">
        <v>10</v>
      </c>
      <c r="K1396" s="16">
        <f t="shared" si="65"/>
        <v>5999999.9999999991</v>
      </c>
    </row>
    <row r="1397" spans="1:11">
      <c r="A1397">
        <v>1</v>
      </c>
      <c r="B1397" t="s">
        <v>8</v>
      </c>
      <c r="C1397">
        <v>60.5</v>
      </c>
      <c r="D1397" s="1" t="s">
        <v>16</v>
      </c>
      <c r="E1397" s="1">
        <v>6</v>
      </c>
      <c r="F1397">
        <v>9</v>
      </c>
      <c r="G1397">
        <v>8</v>
      </c>
      <c r="H1397">
        <v>1.0000000000000001E-5</v>
      </c>
      <c r="I1397">
        <f t="shared" si="66"/>
        <v>8.5</v>
      </c>
      <c r="J1397">
        <v>10</v>
      </c>
      <c r="K1397" s="16">
        <f t="shared" si="65"/>
        <v>85000000</v>
      </c>
    </row>
    <row r="1398" spans="1:11">
      <c r="A1398">
        <v>1</v>
      </c>
      <c r="B1398" t="s">
        <v>8</v>
      </c>
      <c r="C1398">
        <v>60.5</v>
      </c>
      <c r="D1398" s="1" t="s">
        <v>16</v>
      </c>
      <c r="E1398" s="1">
        <v>7</v>
      </c>
      <c r="F1398">
        <v>1</v>
      </c>
      <c r="G1398">
        <v>4</v>
      </c>
      <c r="H1398">
        <v>1.0000000000000001E-5</v>
      </c>
      <c r="I1398">
        <f t="shared" si="66"/>
        <v>2.5</v>
      </c>
      <c r="J1398">
        <v>10</v>
      </c>
      <c r="K1398" s="16">
        <f t="shared" si="65"/>
        <v>24999999.999999996</v>
      </c>
    </row>
    <row r="1399" spans="1:11">
      <c r="A1399">
        <v>1</v>
      </c>
      <c r="B1399" t="s">
        <v>8</v>
      </c>
      <c r="C1399">
        <v>60.5</v>
      </c>
      <c r="D1399" s="1" t="s">
        <v>16</v>
      </c>
      <c r="E1399" s="1">
        <v>8</v>
      </c>
      <c r="F1399">
        <v>3</v>
      </c>
      <c r="G1399">
        <v>4</v>
      </c>
      <c r="H1399">
        <v>1.0000000000000001E-5</v>
      </c>
      <c r="I1399">
        <f t="shared" si="66"/>
        <v>3.5</v>
      </c>
      <c r="J1399">
        <v>10</v>
      </c>
      <c r="K1399" s="16">
        <f t="shared" si="65"/>
        <v>35000000</v>
      </c>
    </row>
    <row r="1400" spans="1:11">
      <c r="A1400">
        <v>1</v>
      </c>
      <c r="B1400" t="s">
        <v>8</v>
      </c>
      <c r="C1400">
        <v>60.5</v>
      </c>
      <c r="D1400" s="1" t="s">
        <v>16</v>
      </c>
      <c r="E1400" s="1">
        <v>9</v>
      </c>
      <c r="F1400">
        <v>1</v>
      </c>
      <c r="G1400">
        <v>6</v>
      </c>
      <c r="H1400">
        <v>1E-4</v>
      </c>
      <c r="I1400">
        <f t="shared" si="66"/>
        <v>3.5</v>
      </c>
      <c r="J1400">
        <v>10</v>
      </c>
      <c r="K1400" s="16">
        <f t="shared" si="65"/>
        <v>3499999.9999999995</v>
      </c>
    </row>
    <row r="1401" spans="1:11">
      <c r="A1401">
        <v>1</v>
      </c>
      <c r="B1401" t="s">
        <v>8</v>
      </c>
      <c r="C1401">
        <v>60.5</v>
      </c>
      <c r="D1401" s="1" t="s">
        <v>16</v>
      </c>
      <c r="E1401" s="1">
        <v>10</v>
      </c>
      <c r="F1401">
        <v>9</v>
      </c>
      <c r="G1401">
        <v>13</v>
      </c>
      <c r="H1401">
        <v>1E-4</v>
      </c>
      <c r="I1401">
        <f t="shared" si="66"/>
        <v>11</v>
      </c>
      <c r="J1401">
        <v>10</v>
      </c>
      <c r="K1401" s="16">
        <f t="shared" si="65"/>
        <v>10999999.999999998</v>
      </c>
    </row>
    <row r="1402" spans="1:11">
      <c r="A1402">
        <v>1</v>
      </c>
      <c r="B1402" t="s">
        <v>8</v>
      </c>
      <c r="C1402">
        <v>61</v>
      </c>
      <c r="D1402" s="1" t="s">
        <v>16</v>
      </c>
      <c r="E1402" s="1">
        <v>1</v>
      </c>
      <c r="F1402">
        <v>2</v>
      </c>
      <c r="G1402">
        <v>2</v>
      </c>
      <c r="H1402">
        <v>9.9999999999999995E-7</v>
      </c>
      <c r="I1402">
        <f t="shared" si="66"/>
        <v>2</v>
      </c>
      <c r="J1402">
        <v>10</v>
      </c>
      <c r="K1402" s="16">
        <f t="shared" si="65"/>
        <v>200000000</v>
      </c>
    </row>
    <row r="1403" spans="1:11">
      <c r="A1403">
        <v>1</v>
      </c>
      <c r="B1403" t="s">
        <v>8</v>
      </c>
      <c r="C1403">
        <v>61</v>
      </c>
      <c r="D1403" s="1" t="s">
        <v>16</v>
      </c>
      <c r="E1403" s="1">
        <v>2</v>
      </c>
      <c r="F1403" s="5">
        <v>30</v>
      </c>
      <c r="G1403">
        <v>19</v>
      </c>
      <c r="H1403">
        <v>1.0000000000000001E-5</v>
      </c>
      <c r="I1403">
        <f t="shared" si="66"/>
        <v>24.5</v>
      </c>
      <c r="J1403">
        <v>10</v>
      </c>
      <c r="K1403" s="16">
        <f t="shared" si="65"/>
        <v>244999999.99999997</v>
      </c>
    </row>
    <row r="1404" spans="1:11">
      <c r="A1404">
        <v>1</v>
      </c>
      <c r="B1404" t="s">
        <v>8</v>
      </c>
      <c r="C1404">
        <v>61</v>
      </c>
      <c r="D1404" s="1" t="s">
        <v>16</v>
      </c>
      <c r="E1404" s="1">
        <v>3</v>
      </c>
      <c r="F1404">
        <v>3</v>
      </c>
      <c r="G1404">
        <v>3</v>
      </c>
      <c r="H1404">
        <v>9.9999999999999995E-7</v>
      </c>
      <c r="I1404">
        <f t="shared" si="66"/>
        <v>3</v>
      </c>
      <c r="J1404">
        <v>10</v>
      </c>
      <c r="K1404" s="16">
        <f t="shared" si="65"/>
        <v>300000000</v>
      </c>
    </row>
    <row r="1405" spans="1:11">
      <c r="A1405">
        <v>1</v>
      </c>
      <c r="B1405" t="s">
        <v>8</v>
      </c>
      <c r="C1405">
        <v>61</v>
      </c>
      <c r="D1405" s="1" t="s">
        <v>16</v>
      </c>
      <c r="E1405" s="1">
        <v>4</v>
      </c>
      <c r="F1405">
        <v>9</v>
      </c>
      <c r="G1405">
        <v>2</v>
      </c>
      <c r="H1405">
        <v>9.9999999999999995E-7</v>
      </c>
      <c r="I1405">
        <f t="shared" si="66"/>
        <v>5.5</v>
      </c>
      <c r="J1405">
        <v>10</v>
      </c>
      <c r="K1405" s="16">
        <f t="shared" si="65"/>
        <v>550000000</v>
      </c>
    </row>
    <row r="1406" spans="1:11">
      <c r="A1406">
        <v>1</v>
      </c>
      <c r="B1406" t="s">
        <v>8</v>
      </c>
      <c r="C1406">
        <v>61</v>
      </c>
      <c r="D1406" s="1" t="s">
        <v>16</v>
      </c>
      <c r="E1406" s="1">
        <v>5</v>
      </c>
      <c r="F1406">
        <v>4</v>
      </c>
      <c r="G1406">
        <v>2</v>
      </c>
      <c r="H1406">
        <v>9.9999999999999995E-7</v>
      </c>
      <c r="I1406">
        <f t="shared" si="66"/>
        <v>3</v>
      </c>
      <c r="J1406">
        <v>10</v>
      </c>
      <c r="K1406" s="16">
        <f t="shared" si="65"/>
        <v>300000000</v>
      </c>
    </row>
    <row r="1407" spans="1:11">
      <c r="A1407">
        <v>1</v>
      </c>
      <c r="B1407" t="s">
        <v>8</v>
      </c>
      <c r="C1407">
        <v>61</v>
      </c>
      <c r="D1407" s="1" t="s">
        <v>16</v>
      </c>
      <c r="E1407" s="1">
        <v>6</v>
      </c>
      <c r="F1407">
        <v>20</v>
      </c>
      <c r="G1407" s="5">
        <v>40</v>
      </c>
      <c r="H1407">
        <v>1.0000000000000001E-5</v>
      </c>
      <c r="I1407">
        <f t="shared" si="66"/>
        <v>30</v>
      </c>
      <c r="J1407">
        <v>10</v>
      </c>
      <c r="K1407" s="16">
        <f t="shared" si="65"/>
        <v>300000000</v>
      </c>
    </row>
    <row r="1408" spans="1:11">
      <c r="A1408">
        <v>1</v>
      </c>
      <c r="B1408" t="s">
        <v>8</v>
      </c>
      <c r="C1408">
        <v>61</v>
      </c>
      <c r="D1408" s="1" t="s">
        <v>16</v>
      </c>
      <c r="E1408" s="1">
        <v>7</v>
      </c>
      <c r="F1408">
        <v>6</v>
      </c>
      <c r="G1408">
        <v>6</v>
      </c>
      <c r="H1408">
        <v>9.9999999999999995E-7</v>
      </c>
      <c r="I1408">
        <f t="shared" si="66"/>
        <v>6</v>
      </c>
      <c r="J1408">
        <v>10</v>
      </c>
      <c r="K1408" s="16">
        <f t="shared" si="65"/>
        <v>600000000</v>
      </c>
    </row>
    <row r="1409" spans="1:11">
      <c r="A1409">
        <v>1</v>
      </c>
      <c r="B1409" t="s">
        <v>8</v>
      </c>
      <c r="C1409">
        <v>61</v>
      </c>
      <c r="D1409" s="1" t="s">
        <v>16</v>
      </c>
      <c r="E1409" s="1">
        <v>8</v>
      </c>
      <c r="F1409">
        <v>1</v>
      </c>
      <c r="G1409">
        <v>2</v>
      </c>
      <c r="H1409">
        <v>9.9999999999999995E-7</v>
      </c>
      <c r="I1409">
        <f t="shared" si="66"/>
        <v>1.5</v>
      </c>
      <c r="J1409">
        <v>10</v>
      </c>
      <c r="K1409" s="16">
        <f t="shared" si="65"/>
        <v>150000000</v>
      </c>
    </row>
    <row r="1410" spans="1:11">
      <c r="A1410">
        <v>1</v>
      </c>
      <c r="B1410" t="s">
        <v>8</v>
      </c>
      <c r="C1410">
        <v>61</v>
      </c>
      <c r="D1410" s="1" t="s">
        <v>16</v>
      </c>
      <c r="E1410" s="1">
        <v>9</v>
      </c>
      <c r="F1410">
        <v>3</v>
      </c>
      <c r="G1410">
        <v>3</v>
      </c>
      <c r="H1410">
        <v>9.9999999999999995E-7</v>
      </c>
      <c r="I1410">
        <f t="shared" si="66"/>
        <v>3</v>
      </c>
      <c r="J1410">
        <v>10</v>
      </c>
      <c r="K1410" s="16">
        <f t="shared" si="65"/>
        <v>300000000</v>
      </c>
    </row>
    <row r="1411" spans="1:11">
      <c r="A1411">
        <v>1</v>
      </c>
      <c r="B1411" t="s">
        <v>8</v>
      </c>
      <c r="C1411">
        <v>61</v>
      </c>
      <c r="D1411" s="1" t="s">
        <v>16</v>
      </c>
      <c r="E1411" s="1">
        <v>10</v>
      </c>
      <c r="F1411">
        <v>3</v>
      </c>
      <c r="G1411">
        <v>1</v>
      </c>
      <c r="H1411">
        <v>9.9999999999999995E-7</v>
      </c>
      <c r="I1411">
        <f t="shared" si="66"/>
        <v>2</v>
      </c>
      <c r="J1411">
        <v>10</v>
      </c>
      <c r="K1411" s="16">
        <f t="shared" si="65"/>
        <v>200000000</v>
      </c>
    </row>
    <row r="1412" spans="1:11">
      <c r="A1412">
        <v>1</v>
      </c>
      <c r="B1412" t="s">
        <v>8</v>
      </c>
      <c r="C1412">
        <v>61.5</v>
      </c>
      <c r="D1412" s="1" t="s">
        <v>16</v>
      </c>
      <c r="E1412" s="1">
        <v>1</v>
      </c>
      <c r="F1412">
        <v>15</v>
      </c>
      <c r="G1412">
        <v>9</v>
      </c>
      <c r="H1412">
        <v>1.0000000000000001E-5</v>
      </c>
      <c r="I1412">
        <f t="shared" ref="I1412:I1442" si="67">AVERAGE(F1412:G1412)</f>
        <v>12</v>
      </c>
      <c r="J1412">
        <v>10</v>
      </c>
      <c r="K1412" s="16">
        <f t="shared" si="65"/>
        <v>119999999.99999999</v>
      </c>
    </row>
    <row r="1413" spans="1:11">
      <c r="A1413">
        <v>1</v>
      </c>
      <c r="B1413" t="s">
        <v>8</v>
      </c>
      <c r="C1413">
        <v>61.5</v>
      </c>
      <c r="D1413" s="1" t="s">
        <v>16</v>
      </c>
      <c r="E1413" s="1">
        <v>2</v>
      </c>
      <c r="F1413">
        <v>4</v>
      </c>
      <c r="G1413">
        <v>7</v>
      </c>
      <c r="H1413">
        <v>1.0000000000000001E-5</v>
      </c>
      <c r="I1413">
        <f t="shared" si="67"/>
        <v>5.5</v>
      </c>
      <c r="J1413">
        <v>10</v>
      </c>
      <c r="K1413" s="16">
        <f t="shared" si="65"/>
        <v>54999999.999999993</v>
      </c>
    </row>
    <row r="1414" spans="1:11">
      <c r="A1414">
        <v>1</v>
      </c>
      <c r="B1414" t="s">
        <v>8</v>
      </c>
      <c r="C1414">
        <v>61.5</v>
      </c>
      <c r="D1414" s="1" t="s">
        <v>16</v>
      </c>
      <c r="E1414" s="1">
        <v>3</v>
      </c>
      <c r="F1414">
        <v>12</v>
      </c>
      <c r="G1414">
        <v>11</v>
      </c>
      <c r="H1414">
        <v>1.0000000000000001E-5</v>
      </c>
      <c r="I1414">
        <f t="shared" si="67"/>
        <v>11.5</v>
      </c>
      <c r="J1414">
        <v>10</v>
      </c>
      <c r="K1414" s="16">
        <f t="shared" si="65"/>
        <v>114999999.99999999</v>
      </c>
    </row>
    <row r="1415" spans="1:11">
      <c r="A1415">
        <v>1</v>
      </c>
      <c r="B1415" t="s">
        <v>8</v>
      </c>
      <c r="C1415">
        <v>61.5</v>
      </c>
      <c r="D1415" s="1" t="s">
        <v>16</v>
      </c>
      <c r="E1415" s="1">
        <v>4</v>
      </c>
      <c r="F1415">
        <v>11</v>
      </c>
      <c r="G1415">
        <v>9</v>
      </c>
      <c r="H1415">
        <v>1E-4</v>
      </c>
      <c r="I1415">
        <f t="shared" si="67"/>
        <v>10</v>
      </c>
      <c r="J1415">
        <v>10</v>
      </c>
      <c r="K1415" s="16">
        <f t="shared" si="65"/>
        <v>9999999.9999999981</v>
      </c>
    </row>
    <row r="1416" spans="1:11">
      <c r="A1416">
        <v>1</v>
      </c>
      <c r="B1416" t="s">
        <v>8</v>
      </c>
      <c r="C1416">
        <v>61.5</v>
      </c>
      <c r="D1416" s="1" t="s">
        <v>16</v>
      </c>
      <c r="E1416" s="1">
        <v>5</v>
      </c>
      <c r="F1416">
        <v>7</v>
      </c>
      <c r="G1416">
        <v>12</v>
      </c>
      <c r="H1416">
        <v>1E-4</v>
      </c>
      <c r="I1416">
        <f t="shared" si="67"/>
        <v>9.5</v>
      </c>
      <c r="J1416">
        <v>10</v>
      </c>
      <c r="K1416" s="16">
        <f t="shared" si="65"/>
        <v>9499999.9999999981</v>
      </c>
    </row>
    <row r="1417" spans="1:11">
      <c r="A1417">
        <v>1</v>
      </c>
      <c r="B1417" t="s">
        <v>8</v>
      </c>
      <c r="C1417">
        <v>61.5</v>
      </c>
      <c r="D1417" s="1" t="s">
        <v>16</v>
      </c>
      <c r="E1417" s="1">
        <v>6</v>
      </c>
      <c r="F1417">
        <v>6</v>
      </c>
      <c r="G1417">
        <v>4</v>
      </c>
      <c r="H1417">
        <v>1.0000000000000001E-5</v>
      </c>
      <c r="I1417">
        <f t="shared" si="67"/>
        <v>5</v>
      </c>
      <c r="J1417">
        <v>10</v>
      </c>
      <c r="K1417" s="16">
        <f t="shared" si="65"/>
        <v>49999999.999999993</v>
      </c>
    </row>
    <row r="1418" spans="1:11">
      <c r="A1418">
        <v>1</v>
      </c>
      <c r="B1418" t="s">
        <v>8</v>
      </c>
      <c r="C1418">
        <v>61.5</v>
      </c>
      <c r="D1418" s="1" t="s">
        <v>16</v>
      </c>
      <c r="E1418" s="1">
        <v>7</v>
      </c>
      <c r="F1418">
        <v>3</v>
      </c>
      <c r="G1418">
        <v>2</v>
      </c>
      <c r="H1418">
        <v>1.0000000000000001E-5</v>
      </c>
      <c r="I1418">
        <f t="shared" si="67"/>
        <v>2.5</v>
      </c>
      <c r="J1418">
        <v>10</v>
      </c>
      <c r="K1418" s="16">
        <f t="shared" si="65"/>
        <v>24999999.999999996</v>
      </c>
    </row>
    <row r="1419" spans="1:11">
      <c r="A1419">
        <v>1</v>
      </c>
      <c r="B1419" t="s">
        <v>8</v>
      </c>
      <c r="C1419">
        <v>61.5</v>
      </c>
      <c r="D1419" s="1" t="s">
        <v>16</v>
      </c>
      <c r="E1419" s="1">
        <v>8</v>
      </c>
      <c r="F1419">
        <v>1</v>
      </c>
      <c r="G1419">
        <v>1</v>
      </c>
      <c r="H1419">
        <v>1.0000000000000001E-5</v>
      </c>
      <c r="I1419">
        <f t="shared" si="67"/>
        <v>1</v>
      </c>
      <c r="J1419">
        <v>10</v>
      </c>
      <c r="K1419" s="16">
        <f t="shared" si="65"/>
        <v>10000000</v>
      </c>
    </row>
    <row r="1420" spans="1:11">
      <c r="A1420">
        <v>1</v>
      </c>
      <c r="B1420" t="s">
        <v>8</v>
      </c>
      <c r="C1420">
        <v>61.5</v>
      </c>
      <c r="D1420" s="1" t="s">
        <v>16</v>
      </c>
      <c r="E1420" s="1">
        <v>9</v>
      </c>
      <c r="F1420">
        <v>4</v>
      </c>
      <c r="G1420">
        <v>2</v>
      </c>
      <c r="H1420">
        <v>1E-4</v>
      </c>
      <c r="I1420">
        <f t="shared" si="67"/>
        <v>3</v>
      </c>
      <c r="J1420">
        <v>10</v>
      </c>
      <c r="K1420" s="16">
        <f t="shared" si="65"/>
        <v>2999999.9999999995</v>
      </c>
    </row>
    <row r="1421" spans="1:11">
      <c r="A1421">
        <v>1</v>
      </c>
      <c r="B1421" t="s">
        <v>8</v>
      </c>
      <c r="C1421">
        <v>61.5</v>
      </c>
      <c r="D1421" s="1" t="s">
        <v>16</v>
      </c>
      <c r="E1421" s="1">
        <v>10</v>
      </c>
      <c r="F1421">
        <v>3</v>
      </c>
      <c r="G1421">
        <v>3</v>
      </c>
      <c r="H1421">
        <v>1.0000000000000001E-5</v>
      </c>
      <c r="I1421">
        <f t="shared" si="67"/>
        <v>3</v>
      </c>
      <c r="J1421">
        <v>10</v>
      </c>
      <c r="K1421" s="16">
        <f t="shared" si="65"/>
        <v>29999999.999999996</v>
      </c>
    </row>
    <row r="1422" spans="1:11">
      <c r="A1422">
        <v>1</v>
      </c>
      <c r="B1422" t="s">
        <v>8</v>
      </c>
      <c r="C1422">
        <v>62</v>
      </c>
      <c r="D1422" s="1" t="s">
        <v>16</v>
      </c>
      <c r="E1422" s="1">
        <v>1</v>
      </c>
      <c r="F1422">
        <v>1</v>
      </c>
      <c r="G1422">
        <v>3</v>
      </c>
      <c r="H1422">
        <v>9.9999999999999995E-7</v>
      </c>
      <c r="I1422">
        <f t="shared" si="67"/>
        <v>2</v>
      </c>
      <c r="J1422">
        <v>10</v>
      </c>
      <c r="K1422" s="16">
        <f t="shared" si="65"/>
        <v>200000000</v>
      </c>
    </row>
    <row r="1423" spans="1:11">
      <c r="A1423">
        <v>1</v>
      </c>
      <c r="B1423" t="s">
        <v>8</v>
      </c>
      <c r="C1423">
        <v>62</v>
      </c>
      <c r="D1423" s="1" t="s">
        <v>16</v>
      </c>
      <c r="E1423" s="1">
        <v>2</v>
      </c>
      <c r="F1423" s="5">
        <v>60</v>
      </c>
      <c r="G1423">
        <v>21</v>
      </c>
      <c r="H1423">
        <v>1.0000000000000001E-5</v>
      </c>
      <c r="I1423">
        <f t="shared" si="67"/>
        <v>40.5</v>
      </c>
      <c r="J1423">
        <v>10</v>
      </c>
      <c r="K1423" s="16">
        <f t="shared" si="65"/>
        <v>404999999.99999994</v>
      </c>
    </row>
    <row r="1424" spans="1:11">
      <c r="A1424">
        <v>1</v>
      </c>
      <c r="B1424" t="s">
        <v>8</v>
      </c>
      <c r="C1424">
        <v>62</v>
      </c>
      <c r="D1424" s="1" t="s">
        <v>16</v>
      </c>
      <c r="E1424" s="1">
        <v>3</v>
      </c>
      <c r="F1424">
        <v>1</v>
      </c>
      <c r="G1424">
        <v>3</v>
      </c>
      <c r="H1424">
        <v>9.9999999999999995E-7</v>
      </c>
      <c r="I1424">
        <f t="shared" si="67"/>
        <v>2</v>
      </c>
      <c r="J1424">
        <v>10</v>
      </c>
      <c r="K1424" s="16">
        <f t="shared" si="65"/>
        <v>200000000</v>
      </c>
    </row>
    <row r="1425" spans="1:11">
      <c r="A1425">
        <v>1</v>
      </c>
      <c r="B1425" t="s">
        <v>8</v>
      </c>
      <c r="C1425">
        <v>62</v>
      </c>
      <c r="D1425" s="1" t="s">
        <v>16</v>
      </c>
      <c r="E1425" s="1">
        <v>4</v>
      </c>
      <c r="F1425">
        <v>1</v>
      </c>
      <c r="G1425">
        <v>3</v>
      </c>
      <c r="H1425">
        <v>9.9999999999999995E-7</v>
      </c>
      <c r="I1425">
        <f t="shared" si="67"/>
        <v>2</v>
      </c>
      <c r="J1425">
        <v>10</v>
      </c>
      <c r="K1425" s="16">
        <f t="shared" si="65"/>
        <v>200000000</v>
      </c>
    </row>
    <row r="1426" spans="1:11">
      <c r="A1426">
        <v>1</v>
      </c>
      <c r="B1426" t="s">
        <v>8</v>
      </c>
      <c r="C1426">
        <v>62</v>
      </c>
      <c r="D1426" s="1" t="s">
        <v>16</v>
      </c>
      <c r="E1426" s="1">
        <v>5</v>
      </c>
      <c r="F1426">
        <v>3</v>
      </c>
      <c r="G1426">
        <v>4</v>
      </c>
      <c r="H1426">
        <v>9.9999999999999995E-7</v>
      </c>
      <c r="I1426">
        <f t="shared" si="67"/>
        <v>3.5</v>
      </c>
      <c r="J1426">
        <v>10</v>
      </c>
      <c r="K1426" s="16">
        <f t="shared" si="65"/>
        <v>350000000</v>
      </c>
    </row>
    <row r="1427" spans="1:11">
      <c r="A1427">
        <v>1</v>
      </c>
      <c r="B1427" t="s">
        <v>8</v>
      </c>
      <c r="C1427">
        <v>62</v>
      </c>
      <c r="D1427" s="1" t="s">
        <v>16</v>
      </c>
      <c r="E1427" s="1">
        <v>6</v>
      </c>
      <c r="F1427">
        <v>4</v>
      </c>
      <c r="G1427">
        <v>2</v>
      </c>
      <c r="H1427">
        <v>9.9999999999999995E-7</v>
      </c>
      <c r="I1427">
        <f t="shared" si="67"/>
        <v>3</v>
      </c>
      <c r="J1427">
        <v>10</v>
      </c>
      <c r="K1427" s="16">
        <f t="shared" ref="K1427:K1490" si="68">I1427/(H1427*(J1427/1000))</f>
        <v>300000000</v>
      </c>
    </row>
    <row r="1428" spans="1:11">
      <c r="A1428">
        <v>1</v>
      </c>
      <c r="B1428" t="s">
        <v>8</v>
      </c>
      <c r="C1428">
        <v>62</v>
      </c>
      <c r="D1428" s="1" t="s">
        <v>16</v>
      </c>
      <c r="E1428" s="1">
        <v>7</v>
      </c>
      <c r="F1428">
        <v>3</v>
      </c>
      <c r="G1428">
        <v>5</v>
      </c>
      <c r="H1428">
        <v>9.9999999999999995E-7</v>
      </c>
      <c r="I1428">
        <f t="shared" si="67"/>
        <v>4</v>
      </c>
      <c r="J1428">
        <v>10</v>
      </c>
      <c r="K1428" s="16">
        <f t="shared" si="68"/>
        <v>400000000</v>
      </c>
    </row>
    <row r="1429" spans="1:11">
      <c r="A1429">
        <v>1</v>
      </c>
      <c r="B1429" t="s">
        <v>8</v>
      </c>
      <c r="C1429">
        <v>62</v>
      </c>
      <c r="D1429" s="1" t="s">
        <v>16</v>
      </c>
      <c r="E1429" s="1">
        <v>8</v>
      </c>
      <c r="F1429">
        <v>3</v>
      </c>
      <c r="G1429">
        <v>1</v>
      </c>
      <c r="H1429">
        <v>9.9999999999999995E-7</v>
      </c>
      <c r="I1429">
        <f t="shared" si="67"/>
        <v>2</v>
      </c>
      <c r="J1429">
        <v>10</v>
      </c>
      <c r="K1429" s="16">
        <f t="shared" si="68"/>
        <v>200000000</v>
      </c>
    </row>
    <row r="1430" spans="1:11">
      <c r="A1430">
        <v>1</v>
      </c>
      <c r="B1430" t="s">
        <v>8</v>
      </c>
      <c r="C1430">
        <v>62</v>
      </c>
      <c r="D1430" s="1" t="s">
        <v>16</v>
      </c>
      <c r="E1430" s="1">
        <v>9</v>
      </c>
      <c r="F1430">
        <v>2</v>
      </c>
      <c r="G1430">
        <v>4</v>
      </c>
      <c r="H1430">
        <v>9.9999999999999995E-7</v>
      </c>
      <c r="I1430">
        <f t="shared" si="67"/>
        <v>3</v>
      </c>
      <c r="J1430">
        <v>10</v>
      </c>
      <c r="K1430" s="16">
        <f t="shared" si="68"/>
        <v>300000000</v>
      </c>
    </row>
    <row r="1431" spans="1:11">
      <c r="A1431">
        <v>1</v>
      </c>
      <c r="B1431" t="s">
        <v>8</v>
      </c>
      <c r="C1431">
        <v>62</v>
      </c>
      <c r="D1431" s="1" t="s">
        <v>16</v>
      </c>
      <c r="E1431" s="1">
        <v>10</v>
      </c>
      <c r="F1431">
        <v>6</v>
      </c>
      <c r="G1431">
        <v>11</v>
      </c>
      <c r="H1431">
        <v>1.0000000000000001E-5</v>
      </c>
      <c r="I1431">
        <f t="shared" si="67"/>
        <v>8.5</v>
      </c>
      <c r="J1431">
        <v>10</v>
      </c>
      <c r="K1431" s="16">
        <f t="shared" si="68"/>
        <v>85000000</v>
      </c>
    </row>
    <row r="1432" spans="1:11">
      <c r="A1432">
        <v>1</v>
      </c>
      <c r="B1432" t="s">
        <v>8</v>
      </c>
      <c r="C1432">
        <v>62.5</v>
      </c>
      <c r="D1432" s="1" t="s">
        <v>16</v>
      </c>
      <c r="E1432" s="1">
        <v>1</v>
      </c>
      <c r="F1432">
        <v>13</v>
      </c>
      <c r="G1432">
        <v>12</v>
      </c>
      <c r="H1432">
        <v>1.0000000000000001E-5</v>
      </c>
      <c r="I1432">
        <f t="shared" si="67"/>
        <v>12.5</v>
      </c>
      <c r="J1432">
        <v>10</v>
      </c>
      <c r="K1432" s="16">
        <f t="shared" si="68"/>
        <v>124999999.99999999</v>
      </c>
    </row>
    <row r="1433" spans="1:11">
      <c r="A1433">
        <v>1</v>
      </c>
      <c r="B1433" t="s">
        <v>8</v>
      </c>
      <c r="C1433">
        <v>62.5</v>
      </c>
      <c r="D1433" s="1" t="s">
        <v>16</v>
      </c>
      <c r="E1433" s="1">
        <v>2</v>
      </c>
      <c r="F1433">
        <v>4</v>
      </c>
      <c r="G1433">
        <v>2</v>
      </c>
      <c r="H1433">
        <v>9.9999999999999995E-7</v>
      </c>
      <c r="I1433">
        <f t="shared" si="67"/>
        <v>3</v>
      </c>
      <c r="J1433">
        <v>10</v>
      </c>
      <c r="K1433" s="16">
        <f t="shared" si="68"/>
        <v>300000000</v>
      </c>
    </row>
    <row r="1434" spans="1:11">
      <c r="A1434">
        <v>1</v>
      </c>
      <c r="B1434" t="s">
        <v>8</v>
      </c>
      <c r="C1434">
        <v>62.5</v>
      </c>
      <c r="D1434" s="1" t="s">
        <v>16</v>
      </c>
      <c r="E1434" s="1">
        <v>3</v>
      </c>
      <c r="F1434">
        <v>11</v>
      </c>
      <c r="G1434">
        <v>10</v>
      </c>
      <c r="H1434">
        <v>1.0000000000000001E-5</v>
      </c>
      <c r="I1434">
        <f t="shared" si="67"/>
        <v>10.5</v>
      </c>
      <c r="J1434">
        <v>10</v>
      </c>
      <c r="K1434" s="16">
        <f t="shared" si="68"/>
        <v>104999999.99999999</v>
      </c>
    </row>
    <row r="1435" spans="1:11">
      <c r="A1435">
        <v>1</v>
      </c>
      <c r="B1435" t="s">
        <v>8</v>
      </c>
      <c r="C1435">
        <v>62.5</v>
      </c>
      <c r="D1435" s="1" t="s">
        <v>16</v>
      </c>
      <c r="E1435" s="1">
        <v>4</v>
      </c>
      <c r="F1435">
        <v>4</v>
      </c>
      <c r="G1435">
        <v>5</v>
      </c>
      <c r="H1435">
        <v>1.0000000000000001E-5</v>
      </c>
      <c r="I1435">
        <f t="shared" si="67"/>
        <v>4.5</v>
      </c>
      <c r="J1435">
        <v>10</v>
      </c>
      <c r="K1435" s="16">
        <f t="shared" si="68"/>
        <v>44999999.999999993</v>
      </c>
    </row>
    <row r="1436" spans="1:11">
      <c r="A1436">
        <v>1</v>
      </c>
      <c r="B1436" t="s">
        <v>8</v>
      </c>
      <c r="C1436">
        <v>62.5</v>
      </c>
      <c r="D1436" s="1" t="s">
        <v>16</v>
      </c>
      <c r="E1436" s="1">
        <v>5</v>
      </c>
      <c r="F1436">
        <v>14</v>
      </c>
      <c r="G1436">
        <v>22</v>
      </c>
      <c r="H1436">
        <v>1E-4</v>
      </c>
      <c r="I1436">
        <f t="shared" si="67"/>
        <v>18</v>
      </c>
      <c r="J1436">
        <v>10</v>
      </c>
      <c r="K1436" s="16">
        <f t="shared" si="68"/>
        <v>17999999.999999996</v>
      </c>
    </row>
    <row r="1437" spans="1:11">
      <c r="A1437">
        <v>1</v>
      </c>
      <c r="B1437" t="s">
        <v>8</v>
      </c>
      <c r="C1437">
        <v>62.5</v>
      </c>
      <c r="D1437" s="1" t="s">
        <v>16</v>
      </c>
      <c r="E1437" s="1">
        <v>6</v>
      </c>
      <c r="F1437">
        <v>10</v>
      </c>
      <c r="G1437">
        <v>18</v>
      </c>
      <c r="H1437">
        <v>1E-4</v>
      </c>
      <c r="I1437">
        <f t="shared" si="67"/>
        <v>14</v>
      </c>
      <c r="J1437">
        <v>10</v>
      </c>
      <c r="K1437" s="16">
        <f t="shared" si="68"/>
        <v>13999999.999999998</v>
      </c>
    </row>
    <row r="1438" spans="1:11">
      <c r="A1438">
        <v>1</v>
      </c>
      <c r="B1438" t="s">
        <v>8</v>
      </c>
      <c r="C1438">
        <v>62.5</v>
      </c>
      <c r="D1438" s="1" t="s">
        <v>16</v>
      </c>
      <c r="E1438" s="1">
        <v>7</v>
      </c>
      <c r="F1438">
        <v>6</v>
      </c>
      <c r="G1438">
        <v>4</v>
      </c>
      <c r="H1438">
        <v>1.0000000000000001E-5</v>
      </c>
      <c r="I1438">
        <f t="shared" si="67"/>
        <v>5</v>
      </c>
      <c r="J1438">
        <v>10</v>
      </c>
      <c r="K1438" s="16">
        <f t="shared" si="68"/>
        <v>49999999.999999993</v>
      </c>
    </row>
    <row r="1439" spans="1:11">
      <c r="A1439">
        <v>1</v>
      </c>
      <c r="B1439" t="s">
        <v>8</v>
      </c>
      <c r="C1439">
        <v>62.5</v>
      </c>
      <c r="D1439" s="1" t="s">
        <v>16</v>
      </c>
      <c r="E1439" s="1">
        <v>8</v>
      </c>
      <c r="F1439">
        <v>9</v>
      </c>
      <c r="G1439">
        <v>2</v>
      </c>
      <c r="H1439">
        <v>1.0000000000000001E-5</v>
      </c>
      <c r="I1439">
        <f t="shared" si="67"/>
        <v>5.5</v>
      </c>
      <c r="J1439">
        <v>10</v>
      </c>
      <c r="K1439" s="16">
        <f t="shared" si="68"/>
        <v>54999999.999999993</v>
      </c>
    </row>
    <row r="1440" spans="1:11">
      <c r="A1440">
        <v>1</v>
      </c>
      <c r="B1440" t="s">
        <v>8</v>
      </c>
      <c r="C1440">
        <v>62.5</v>
      </c>
      <c r="D1440" s="1" t="s">
        <v>16</v>
      </c>
      <c r="E1440" s="1">
        <v>9</v>
      </c>
      <c r="F1440">
        <v>6</v>
      </c>
      <c r="G1440">
        <v>3</v>
      </c>
      <c r="H1440">
        <v>1E-4</v>
      </c>
      <c r="I1440">
        <f t="shared" si="67"/>
        <v>4.5</v>
      </c>
      <c r="J1440">
        <v>10</v>
      </c>
      <c r="K1440" s="16">
        <f t="shared" si="68"/>
        <v>4499999.9999999991</v>
      </c>
    </row>
    <row r="1441" spans="1:11">
      <c r="A1441">
        <v>1</v>
      </c>
      <c r="B1441" t="s">
        <v>8</v>
      </c>
      <c r="C1441">
        <v>62.5</v>
      </c>
      <c r="D1441" s="1" t="s">
        <v>16</v>
      </c>
      <c r="E1441" s="1">
        <v>10</v>
      </c>
      <c r="F1441">
        <v>3</v>
      </c>
      <c r="G1441">
        <v>3</v>
      </c>
      <c r="H1441">
        <v>1.0000000000000001E-5</v>
      </c>
      <c r="I1441">
        <f t="shared" si="67"/>
        <v>3</v>
      </c>
      <c r="J1441">
        <v>10</v>
      </c>
      <c r="K1441" s="16">
        <f t="shared" si="68"/>
        <v>29999999.999999996</v>
      </c>
    </row>
    <row r="1442" spans="1:11">
      <c r="A1442">
        <v>1</v>
      </c>
      <c r="B1442" t="s">
        <v>8</v>
      </c>
      <c r="C1442">
        <v>63</v>
      </c>
      <c r="D1442" s="1" t="s">
        <v>16</v>
      </c>
      <c r="E1442" s="1">
        <v>1</v>
      </c>
      <c r="F1442">
        <v>2</v>
      </c>
      <c r="G1442">
        <v>2</v>
      </c>
      <c r="H1442">
        <v>9.9999999999999995E-7</v>
      </c>
      <c r="I1442">
        <f t="shared" si="67"/>
        <v>2</v>
      </c>
      <c r="J1442">
        <v>10</v>
      </c>
      <c r="K1442" s="16">
        <f t="shared" si="68"/>
        <v>200000000</v>
      </c>
    </row>
    <row r="1443" spans="1:11">
      <c r="A1443">
        <v>1</v>
      </c>
      <c r="B1443" t="s">
        <v>8</v>
      </c>
      <c r="C1443">
        <v>63</v>
      </c>
      <c r="D1443" s="1" t="s">
        <v>16</v>
      </c>
      <c r="E1443" s="1">
        <v>2</v>
      </c>
      <c r="F1443">
        <v>2</v>
      </c>
      <c r="G1443">
        <v>4</v>
      </c>
      <c r="H1443">
        <v>9.9999999999999995E-7</v>
      </c>
      <c r="I1443">
        <f t="shared" ref="I1443:I1476" si="69">AVERAGE(F1443:G1443)</f>
        <v>3</v>
      </c>
      <c r="J1443">
        <v>10</v>
      </c>
      <c r="K1443" s="16">
        <f t="shared" si="68"/>
        <v>300000000</v>
      </c>
    </row>
    <row r="1444" spans="1:11">
      <c r="A1444">
        <v>1</v>
      </c>
      <c r="B1444" t="s">
        <v>8</v>
      </c>
      <c r="C1444">
        <v>63</v>
      </c>
      <c r="D1444" s="1" t="s">
        <v>16</v>
      </c>
      <c r="E1444" s="1">
        <v>3</v>
      </c>
      <c r="F1444">
        <v>3</v>
      </c>
      <c r="G1444">
        <v>1</v>
      </c>
      <c r="H1444">
        <v>9.9999999999999995E-7</v>
      </c>
      <c r="I1444">
        <f t="shared" si="69"/>
        <v>2</v>
      </c>
      <c r="J1444">
        <v>10</v>
      </c>
      <c r="K1444" s="16">
        <f t="shared" si="68"/>
        <v>200000000</v>
      </c>
    </row>
    <row r="1445" spans="1:11">
      <c r="A1445">
        <v>1</v>
      </c>
      <c r="B1445" t="s">
        <v>8</v>
      </c>
      <c r="C1445">
        <v>63</v>
      </c>
      <c r="D1445" s="1" t="s">
        <v>16</v>
      </c>
      <c r="E1445" s="1">
        <v>4</v>
      </c>
      <c r="F1445">
        <v>3</v>
      </c>
      <c r="G1445">
        <v>2</v>
      </c>
      <c r="H1445">
        <v>9.9999999999999995E-7</v>
      </c>
      <c r="I1445">
        <f t="shared" si="69"/>
        <v>2.5</v>
      </c>
      <c r="J1445">
        <v>10</v>
      </c>
      <c r="K1445" s="16">
        <f t="shared" si="68"/>
        <v>250000000</v>
      </c>
    </row>
    <row r="1446" spans="1:11">
      <c r="A1446">
        <v>1</v>
      </c>
      <c r="B1446" t="s">
        <v>8</v>
      </c>
      <c r="C1446">
        <v>63</v>
      </c>
      <c r="D1446" s="1" t="s">
        <v>16</v>
      </c>
      <c r="E1446" s="1">
        <v>5</v>
      </c>
      <c r="F1446" s="5">
        <v>20</v>
      </c>
      <c r="G1446">
        <v>22</v>
      </c>
      <c r="H1446">
        <v>1.0000000000000001E-5</v>
      </c>
      <c r="I1446">
        <f t="shared" si="69"/>
        <v>21</v>
      </c>
      <c r="J1446">
        <v>10</v>
      </c>
      <c r="K1446" s="16">
        <f t="shared" si="68"/>
        <v>209999999.99999997</v>
      </c>
    </row>
    <row r="1447" spans="1:11">
      <c r="A1447">
        <v>1</v>
      </c>
      <c r="B1447" t="s">
        <v>8</v>
      </c>
      <c r="C1447">
        <v>63</v>
      </c>
      <c r="D1447" s="1" t="s">
        <v>16</v>
      </c>
      <c r="E1447" s="1">
        <v>6</v>
      </c>
      <c r="F1447">
        <v>4</v>
      </c>
      <c r="G1447">
        <v>2</v>
      </c>
      <c r="H1447">
        <v>9.9999999999999995E-7</v>
      </c>
      <c r="I1447">
        <f t="shared" si="69"/>
        <v>3</v>
      </c>
      <c r="J1447">
        <v>10</v>
      </c>
      <c r="K1447" s="16">
        <f t="shared" si="68"/>
        <v>300000000</v>
      </c>
    </row>
    <row r="1448" spans="1:11">
      <c r="A1448">
        <v>1</v>
      </c>
      <c r="B1448" t="s">
        <v>8</v>
      </c>
      <c r="C1448">
        <v>63</v>
      </c>
      <c r="D1448" s="1" t="s">
        <v>16</v>
      </c>
      <c r="E1448" s="1">
        <v>7</v>
      </c>
      <c r="F1448">
        <v>4</v>
      </c>
      <c r="G1448">
        <v>6</v>
      </c>
      <c r="H1448">
        <v>9.9999999999999995E-7</v>
      </c>
      <c r="I1448">
        <f t="shared" si="69"/>
        <v>5</v>
      </c>
      <c r="J1448">
        <v>10</v>
      </c>
      <c r="K1448" s="16">
        <f t="shared" si="68"/>
        <v>500000000</v>
      </c>
    </row>
    <row r="1449" spans="1:11">
      <c r="A1449">
        <v>1</v>
      </c>
      <c r="B1449" t="s">
        <v>8</v>
      </c>
      <c r="C1449">
        <v>63</v>
      </c>
      <c r="D1449" s="1" t="s">
        <v>16</v>
      </c>
      <c r="E1449" s="1">
        <v>8</v>
      </c>
      <c r="F1449">
        <v>32</v>
      </c>
      <c r="G1449" s="5">
        <v>10</v>
      </c>
      <c r="H1449">
        <v>1.0000000000000001E-5</v>
      </c>
      <c r="I1449">
        <f t="shared" si="69"/>
        <v>21</v>
      </c>
      <c r="J1449">
        <v>10</v>
      </c>
      <c r="K1449" s="16">
        <f t="shared" si="68"/>
        <v>209999999.99999997</v>
      </c>
    </row>
    <row r="1450" spans="1:11">
      <c r="A1450">
        <v>1</v>
      </c>
      <c r="B1450" t="s">
        <v>8</v>
      </c>
      <c r="C1450">
        <v>63</v>
      </c>
      <c r="D1450" s="1" t="s">
        <v>16</v>
      </c>
      <c r="E1450" s="1">
        <v>9</v>
      </c>
      <c r="F1450">
        <v>1</v>
      </c>
      <c r="G1450">
        <v>1</v>
      </c>
      <c r="H1450">
        <v>9.9999999999999995E-7</v>
      </c>
      <c r="I1450">
        <f t="shared" si="69"/>
        <v>1</v>
      </c>
      <c r="J1450">
        <v>10</v>
      </c>
      <c r="K1450" s="16">
        <f t="shared" si="68"/>
        <v>100000000</v>
      </c>
    </row>
    <row r="1451" spans="1:11">
      <c r="A1451">
        <v>1</v>
      </c>
      <c r="B1451" t="s">
        <v>8</v>
      </c>
      <c r="C1451">
        <v>63</v>
      </c>
      <c r="D1451" s="1" t="s">
        <v>16</v>
      </c>
      <c r="E1451" s="1">
        <v>10</v>
      </c>
      <c r="F1451">
        <v>1</v>
      </c>
      <c r="G1451">
        <v>5</v>
      </c>
      <c r="H1451">
        <v>9.9999999999999995E-7</v>
      </c>
      <c r="I1451">
        <f t="shared" si="69"/>
        <v>3</v>
      </c>
      <c r="J1451">
        <v>10</v>
      </c>
      <c r="K1451" s="16">
        <f t="shared" si="68"/>
        <v>300000000</v>
      </c>
    </row>
    <row r="1452" spans="1:11">
      <c r="A1452">
        <v>1</v>
      </c>
      <c r="B1452" t="s">
        <v>8</v>
      </c>
      <c r="C1452">
        <v>63.5</v>
      </c>
      <c r="D1452" s="1" t="s">
        <v>16</v>
      </c>
      <c r="E1452" s="1">
        <v>1</v>
      </c>
      <c r="F1452">
        <v>6</v>
      </c>
      <c r="G1452">
        <v>10</v>
      </c>
      <c r="H1452">
        <v>1.0000000000000001E-5</v>
      </c>
      <c r="I1452">
        <f t="shared" si="69"/>
        <v>8</v>
      </c>
      <c r="J1452">
        <v>10</v>
      </c>
      <c r="K1452" s="16">
        <f t="shared" si="68"/>
        <v>80000000</v>
      </c>
    </row>
    <row r="1453" spans="1:11">
      <c r="A1453">
        <v>1</v>
      </c>
      <c r="B1453" t="s">
        <v>8</v>
      </c>
      <c r="C1453">
        <v>63.5</v>
      </c>
      <c r="D1453" s="1" t="s">
        <v>16</v>
      </c>
      <c r="E1453" s="1">
        <v>2</v>
      </c>
      <c r="F1453">
        <v>9</v>
      </c>
      <c r="G1453">
        <v>9</v>
      </c>
      <c r="H1453">
        <v>1.0000000000000001E-5</v>
      </c>
      <c r="I1453">
        <f t="shared" si="69"/>
        <v>9</v>
      </c>
      <c r="J1453">
        <v>10</v>
      </c>
      <c r="K1453" s="16">
        <f t="shared" si="68"/>
        <v>89999999.999999985</v>
      </c>
    </row>
    <row r="1454" spans="1:11">
      <c r="A1454">
        <v>1</v>
      </c>
      <c r="B1454" t="s">
        <v>8</v>
      </c>
      <c r="C1454">
        <v>63.5</v>
      </c>
      <c r="D1454" s="1" t="s">
        <v>16</v>
      </c>
      <c r="E1454" s="1">
        <v>3</v>
      </c>
      <c r="F1454">
        <v>7</v>
      </c>
      <c r="G1454">
        <v>8</v>
      </c>
      <c r="H1454">
        <v>1.0000000000000001E-5</v>
      </c>
      <c r="I1454">
        <f t="shared" si="69"/>
        <v>7.5</v>
      </c>
      <c r="J1454">
        <v>10</v>
      </c>
      <c r="K1454" s="16">
        <f t="shared" si="68"/>
        <v>75000000</v>
      </c>
    </row>
    <row r="1455" spans="1:11">
      <c r="A1455">
        <v>1</v>
      </c>
      <c r="B1455" t="s">
        <v>8</v>
      </c>
      <c r="C1455">
        <v>63.5</v>
      </c>
      <c r="D1455" s="1" t="s">
        <v>16</v>
      </c>
      <c r="E1455" s="1">
        <v>4</v>
      </c>
      <c r="F1455">
        <v>4</v>
      </c>
      <c r="G1455">
        <v>2</v>
      </c>
      <c r="H1455">
        <v>1.0000000000000001E-5</v>
      </c>
      <c r="I1455">
        <f t="shared" si="69"/>
        <v>3</v>
      </c>
      <c r="J1455">
        <v>10</v>
      </c>
      <c r="K1455" s="16">
        <f t="shared" si="68"/>
        <v>29999999.999999996</v>
      </c>
    </row>
    <row r="1456" spans="1:11">
      <c r="A1456">
        <v>1</v>
      </c>
      <c r="B1456" t="s">
        <v>8</v>
      </c>
      <c r="C1456">
        <v>63.5</v>
      </c>
      <c r="D1456" s="1" t="s">
        <v>16</v>
      </c>
      <c r="E1456" s="1">
        <v>5</v>
      </c>
      <c r="F1456">
        <v>3</v>
      </c>
      <c r="G1456">
        <v>4</v>
      </c>
      <c r="H1456">
        <v>1.0000000000000001E-5</v>
      </c>
      <c r="I1456">
        <f t="shared" si="69"/>
        <v>3.5</v>
      </c>
      <c r="J1456">
        <v>10</v>
      </c>
      <c r="K1456" s="16">
        <f t="shared" si="68"/>
        <v>35000000</v>
      </c>
    </row>
    <row r="1457" spans="1:11">
      <c r="A1457">
        <v>1</v>
      </c>
      <c r="B1457" t="s">
        <v>8</v>
      </c>
      <c r="C1457">
        <v>63.5</v>
      </c>
      <c r="D1457" s="1" t="s">
        <v>16</v>
      </c>
      <c r="E1457" s="1">
        <v>6</v>
      </c>
      <c r="F1457">
        <v>1</v>
      </c>
      <c r="G1457">
        <v>1</v>
      </c>
      <c r="H1457">
        <v>1E-4</v>
      </c>
      <c r="I1457">
        <f t="shared" si="69"/>
        <v>1</v>
      </c>
      <c r="J1457">
        <v>10</v>
      </c>
      <c r="K1457" s="16">
        <f t="shared" si="68"/>
        <v>999999.99999999988</v>
      </c>
    </row>
    <row r="1458" spans="1:11">
      <c r="A1458">
        <v>1</v>
      </c>
      <c r="B1458" t="s">
        <v>8</v>
      </c>
      <c r="C1458">
        <v>63.5</v>
      </c>
      <c r="D1458" s="1" t="s">
        <v>16</v>
      </c>
      <c r="E1458" s="1">
        <v>7</v>
      </c>
      <c r="F1458">
        <v>1</v>
      </c>
      <c r="G1458">
        <v>3</v>
      </c>
      <c r="H1458">
        <v>1.0000000000000001E-5</v>
      </c>
      <c r="I1458">
        <f t="shared" si="69"/>
        <v>2</v>
      </c>
      <c r="J1458">
        <v>10</v>
      </c>
      <c r="K1458" s="16">
        <f t="shared" si="68"/>
        <v>20000000</v>
      </c>
    </row>
    <row r="1459" spans="1:11">
      <c r="A1459">
        <v>1</v>
      </c>
      <c r="B1459" t="s">
        <v>8</v>
      </c>
      <c r="C1459">
        <v>63.5</v>
      </c>
      <c r="D1459" s="1" t="s">
        <v>16</v>
      </c>
      <c r="E1459" s="1">
        <v>8</v>
      </c>
      <c r="F1459">
        <v>6</v>
      </c>
      <c r="G1459">
        <v>6</v>
      </c>
      <c r="H1459">
        <v>1.0000000000000001E-5</v>
      </c>
      <c r="I1459">
        <f t="shared" si="69"/>
        <v>6</v>
      </c>
      <c r="J1459">
        <v>10</v>
      </c>
      <c r="K1459" s="16">
        <f t="shared" si="68"/>
        <v>59999999.999999993</v>
      </c>
    </row>
    <row r="1460" spans="1:11">
      <c r="A1460">
        <v>1</v>
      </c>
      <c r="B1460" t="s">
        <v>8</v>
      </c>
      <c r="C1460">
        <v>63.5</v>
      </c>
      <c r="D1460" s="1" t="s">
        <v>16</v>
      </c>
      <c r="E1460" s="1">
        <v>9</v>
      </c>
      <c r="F1460">
        <v>1</v>
      </c>
      <c r="G1460">
        <v>3</v>
      </c>
      <c r="H1460">
        <v>1.0000000000000001E-5</v>
      </c>
      <c r="I1460">
        <f t="shared" si="69"/>
        <v>2</v>
      </c>
      <c r="J1460">
        <v>10</v>
      </c>
      <c r="K1460" s="16">
        <f t="shared" si="68"/>
        <v>20000000</v>
      </c>
    </row>
    <row r="1461" spans="1:11">
      <c r="A1461">
        <v>1</v>
      </c>
      <c r="B1461" t="s">
        <v>8</v>
      </c>
      <c r="C1461">
        <v>63.5</v>
      </c>
      <c r="D1461" s="1" t="s">
        <v>16</v>
      </c>
      <c r="E1461" s="1">
        <v>10</v>
      </c>
      <c r="F1461">
        <v>1</v>
      </c>
      <c r="G1461">
        <v>2</v>
      </c>
      <c r="H1461">
        <v>1.0000000000000001E-5</v>
      </c>
      <c r="I1461">
        <f t="shared" si="69"/>
        <v>1.5</v>
      </c>
      <c r="J1461">
        <v>10</v>
      </c>
      <c r="K1461" s="16">
        <f t="shared" si="68"/>
        <v>14999999.999999998</v>
      </c>
    </row>
    <row r="1462" spans="1:11">
      <c r="A1462">
        <v>1</v>
      </c>
      <c r="B1462" t="s">
        <v>8</v>
      </c>
      <c r="C1462">
        <v>64</v>
      </c>
      <c r="D1462" s="1" t="s">
        <v>16</v>
      </c>
      <c r="E1462" s="1">
        <v>1</v>
      </c>
      <c r="F1462">
        <v>7</v>
      </c>
      <c r="G1462">
        <v>2</v>
      </c>
      <c r="H1462">
        <v>9.9999999999999995E-7</v>
      </c>
      <c r="I1462">
        <f t="shared" si="69"/>
        <v>4.5</v>
      </c>
      <c r="J1462">
        <v>10</v>
      </c>
      <c r="K1462" s="16">
        <f t="shared" si="68"/>
        <v>450000000</v>
      </c>
    </row>
    <row r="1463" spans="1:11">
      <c r="A1463">
        <v>1</v>
      </c>
      <c r="B1463" t="s">
        <v>8</v>
      </c>
      <c r="C1463">
        <v>64</v>
      </c>
      <c r="D1463" s="1" t="s">
        <v>16</v>
      </c>
      <c r="E1463" s="1">
        <v>2</v>
      </c>
      <c r="F1463">
        <v>6</v>
      </c>
      <c r="G1463">
        <v>5</v>
      </c>
      <c r="H1463">
        <v>9.9999999999999995E-7</v>
      </c>
      <c r="I1463">
        <f t="shared" si="69"/>
        <v>5.5</v>
      </c>
      <c r="J1463">
        <v>10</v>
      </c>
      <c r="K1463" s="16">
        <f t="shared" si="68"/>
        <v>550000000</v>
      </c>
    </row>
    <row r="1464" spans="1:11">
      <c r="A1464">
        <v>1</v>
      </c>
      <c r="B1464" t="s">
        <v>8</v>
      </c>
      <c r="C1464">
        <v>64</v>
      </c>
      <c r="D1464" s="1" t="s">
        <v>16</v>
      </c>
      <c r="E1464" s="1">
        <v>3</v>
      </c>
      <c r="F1464">
        <v>9</v>
      </c>
      <c r="G1464">
        <v>7</v>
      </c>
      <c r="H1464">
        <v>9.9999999999999995E-7</v>
      </c>
      <c r="I1464">
        <f t="shared" si="69"/>
        <v>8</v>
      </c>
      <c r="J1464">
        <v>10</v>
      </c>
      <c r="K1464" s="16">
        <f t="shared" si="68"/>
        <v>800000000</v>
      </c>
    </row>
    <row r="1465" spans="1:11">
      <c r="A1465">
        <v>1</v>
      </c>
      <c r="B1465" t="s">
        <v>8</v>
      </c>
      <c r="C1465">
        <v>64</v>
      </c>
      <c r="D1465" s="1" t="s">
        <v>16</v>
      </c>
      <c r="E1465" s="1">
        <v>4</v>
      </c>
      <c r="F1465">
        <v>2</v>
      </c>
      <c r="G1465">
        <v>5</v>
      </c>
      <c r="H1465">
        <v>9.9999999999999995E-7</v>
      </c>
      <c r="I1465">
        <f t="shared" si="69"/>
        <v>3.5</v>
      </c>
      <c r="J1465">
        <v>10</v>
      </c>
      <c r="K1465" s="16">
        <f t="shared" si="68"/>
        <v>350000000</v>
      </c>
    </row>
    <row r="1466" spans="1:11">
      <c r="A1466">
        <v>1</v>
      </c>
      <c r="B1466" t="s">
        <v>8</v>
      </c>
      <c r="C1466">
        <v>64</v>
      </c>
      <c r="D1466" s="1" t="s">
        <v>16</v>
      </c>
      <c r="E1466" s="1">
        <v>5</v>
      </c>
      <c r="F1466">
        <v>1</v>
      </c>
      <c r="G1466">
        <v>2</v>
      </c>
      <c r="H1466">
        <v>9.9999999999999995E-7</v>
      </c>
      <c r="I1466">
        <f t="shared" si="69"/>
        <v>1.5</v>
      </c>
      <c r="J1466">
        <v>10</v>
      </c>
      <c r="K1466" s="16">
        <f t="shared" si="68"/>
        <v>150000000</v>
      </c>
    </row>
    <row r="1467" spans="1:11">
      <c r="A1467">
        <v>1</v>
      </c>
      <c r="B1467" t="s">
        <v>8</v>
      </c>
      <c r="C1467">
        <v>64</v>
      </c>
      <c r="D1467" s="1" t="s">
        <v>16</v>
      </c>
      <c r="E1467" s="1">
        <v>6</v>
      </c>
      <c r="F1467">
        <v>5</v>
      </c>
      <c r="G1467">
        <v>7</v>
      </c>
      <c r="H1467">
        <v>9.9999999999999995E-7</v>
      </c>
      <c r="I1467">
        <f t="shared" si="69"/>
        <v>6</v>
      </c>
      <c r="J1467">
        <v>10</v>
      </c>
      <c r="K1467" s="16">
        <f t="shared" si="68"/>
        <v>600000000</v>
      </c>
    </row>
    <row r="1468" spans="1:11">
      <c r="A1468">
        <v>1</v>
      </c>
      <c r="B1468" t="s">
        <v>8</v>
      </c>
      <c r="C1468">
        <v>64</v>
      </c>
      <c r="D1468" s="1" t="s">
        <v>16</v>
      </c>
      <c r="E1468" s="1">
        <v>7</v>
      </c>
      <c r="F1468">
        <v>3</v>
      </c>
      <c r="G1468">
        <v>1</v>
      </c>
      <c r="H1468">
        <v>9.9999999999999995E-7</v>
      </c>
      <c r="I1468">
        <f t="shared" si="69"/>
        <v>2</v>
      </c>
      <c r="J1468">
        <v>10</v>
      </c>
      <c r="K1468" s="16">
        <f t="shared" si="68"/>
        <v>200000000</v>
      </c>
    </row>
    <row r="1469" spans="1:11">
      <c r="A1469">
        <v>1</v>
      </c>
      <c r="B1469" t="s">
        <v>8</v>
      </c>
      <c r="C1469">
        <v>64</v>
      </c>
      <c r="D1469" s="1" t="s">
        <v>16</v>
      </c>
      <c r="E1469" s="1">
        <v>8</v>
      </c>
      <c r="F1469">
        <v>7</v>
      </c>
      <c r="G1469">
        <v>3</v>
      </c>
      <c r="H1469">
        <v>9.9999999999999995E-7</v>
      </c>
      <c r="I1469">
        <f t="shared" si="69"/>
        <v>5</v>
      </c>
      <c r="J1469">
        <v>10</v>
      </c>
      <c r="K1469" s="16">
        <f t="shared" si="68"/>
        <v>500000000</v>
      </c>
    </row>
    <row r="1470" spans="1:11">
      <c r="A1470">
        <v>1</v>
      </c>
      <c r="B1470" t="s">
        <v>8</v>
      </c>
      <c r="C1470">
        <v>64</v>
      </c>
      <c r="D1470" s="1" t="s">
        <v>16</v>
      </c>
      <c r="E1470" s="1">
        <v>9</v>
      </c>
      <c r="F1470">
        <v>7</v>
      </c>
      <c r="G1470">
        <v>4</v>
      </c>
      <c r="H1470">
        <v>9.9999999999999995E-7</v>
      </c>
      <c r="I1470">
        <f t="shared" si="69"/>
        <v>5.5</v>
      </c>
      <c r="J1470">
        <v>10</v>
      </c>
      <c r="K1470" s="16">
        <f t="shared" si="68"/>
        <v>550000000</v>
      </c>
    </row>
    <row r="1471" spans="1:11">
      <c r="A1471">
        <v>1</v>
      </c>
      <c r="B1471" t="s">
        <v>8</v>
      </c>
      <c r="C1471">
        <v>64</v>
      </c>
      <c r="D1471" s="1" t="s">
        <v>16</v>
      </c>
      <c r="E1471" s="1">
        <v>10</v>
      </c>
      <c r="F1471">
        <v>2</v>
      </c>
      <c r="G1471">
        <v>3</v>
      </c>
      <c r="H1471">
        <v>9.9999999999999995E-7</v>
      </c>
      <c r="I1471">
        <f t="shared" si="69"/>
        <v>2.5</v>
      </c>
      <c r="J1471">
        <v>10</v>
      </c>
      <c r="K1471" s="16">
        <f t="shared" si="68"/>
        <v>250000000</v>
      </c>
    </row>
    <row r="1472" spans="1:11">
      <c r="A1472">
        <v>1</v>
      </c>
      <c r="B1472" t="s">
        <v>8</v>
      </c>
      <c r="C1472">
        <v>64.5</v>
      </c>
      <c r="D1472" s="1" t="s">
        <v>16</v>
      </c>
      <c r="E1472" s="1">
        <v>1</v>
      </c>
      <c r="F1472">
        <v>22</v>
      </c>
      <c r="G1472">
        <v>14</v>
      </c>
      <c r="H1472">
        <v>1E-4</v>
      </c>
      <c r="I1472">
        <f t="shared" si="69"/>
        <v>18</v>
      </c>
      <c r="J1472">
        <v>10</v>
      </c>
      <c r="K1472" s="16">
        <f t="shared" si="68"/>
        <v>17999999.999999996</v>
      </c>
    </row>
    <row r="1473" spans="1:11">
      <c r="A1473">
        <v>1</v>
      </c>
      <c r="B1473" t="s">
        <v>8</v>
      </c>
      <c r="C1473">
        <v>64.5</v>
      </c>
      <c r="D1473" s="1" t="s">
        <v>16</v>
      </c>
      <c r="E1473" s="1">
        <v>2</v>
      </c>
      <c r="F1473">
        <v>20</v>
      </c>
      <c r="G1473">
        <v>21</v>
      </c>
      <c r="H1473">
        <v>1E-4</v>
      </c>
      <c r="I1473">
        <f t="shared" si="69"/>
        <v>20.5</v>
      </c>
      <c r="J1473">
        <v>10</v>
      </c>
      <c r="K1473" s="16">
        <f t="shared" si="68"/>
        <v>20499999.999999996</v>
      </c>
    </row>
    <row r="1474" spans="1:11">
      <c r="A1474">
        <v>1</v>
      </c>
      <c r="B1474" t="s">
        <v>8</v>
      </c>
      <c r="C1474">
        <v>64.5</v>
      </c>
      <c r="D1474" s="1" t="s">
        <v>16</v>
      </c>
      <c r="E1474" s="1">
        <v>3</v>
      </c>
      <c r="F1474">
        <v>2</v>
      </c>
      <c r="G1474">
        <v>7</v>
      </c>
      <c r="H1474">
        <v>1E-4</v>
      </c>
      <c r="I1474">
        <f t="shared" si="69"/>
        <v>4.5</v>
      </c>
      <c r="J1474">
        <v>10</v>
      </c>
      <c r="K1474" s="16">
        <f t="shared" si="68"/>
        <v>4499999.9999999991</v>
      </c>
    </row>
    <row r="1475" spans="1:11">
      <c r="A1475">
        <v>1</v>
      </c>
      <c r="B1475" t="s">
        <v>8</v>
      </c>
      <c r="C1475">
        <v>64.5</v>
      </c>
      <c r="D1475" s="1" t="s">
        <v>16</v>
      </c>
      <c r="E1475" s="1">
        <v>4</v>
      </c>
      <c r="F1475">
        <v>11</v>
      </c>
      <c r="G1475">
        <v>10</v>
      </c>
      <c r="H1475">
        <v>1E-4</v>
      </c>
      <c r="I1475">
        <f t="shared" si="69"/>
        <v>10.5</v>
      </c>
      <c r="J1475">
        <v>10</v>
      </c>
      <c r="K1475" s="16">
        <f t="shared" si="68"/>
        <v>10499999.999999998</v>
      </c>
    </row>
    <row r="1476" spans="1:11">
      <c r="A1476">
        <v>1</v>
      </c>
      <c r="B1476" t="s">
        <v>8</v>
      </c>
      <c r="C1476">
        <v>64.5</v>
      </c>
      <c r="D1476" s="1" t="s">
        <v>16</v>
      </c>
      <c r="E1476" s="1">
        <v>5</v>
      </c>
      <c r="F1476">
        <v>8</v>
      </c>
      <c r="G1476">
        <v>7</v>
      </c>
      <c r="H1476">
        <v>1E-4</v>
      </c>
      <c r="I1476">
        <f t="shared" si="69"/>
        <v>7.5</v>
      </c>
      <c r="J1476">
        <v>10</v>
      </c>
      <c r="K1476" s="16">
        <f t="shared" si="68"/>
        <v>7499999.9999999991</v>
      </c>
    </row>
    <row r="1477" spans="1:11">
      <c r="A1477">
        <v>1</v>
      </c>
      <c r="B1477" t="s">
        <v>8</v>
      </c>
      <c r="C1477">
        <v>64.5</v>
      </c>
      <c r="D1477" s="1" t="s">
        <v>16</v>
      </c>
      <c r="E1477" s="1">
        <v>6</v>
      </c>
      <c r="F1477">
        <v>12</v>
      </c>
      <c r="G1477">
        <v>11</v>
      </c>
      <c r="H1477">
        <v>1E-4</v>
      </c>
      <c r="I1477">
        <f t="shared" ref="I1477:I1510" si="70">AVERAGE(F1477:G1477)</f>
        <v>11.5</v>
      </c>
      <c r="J1477">
        <v>10</v>
      </c>
      <c r="K1477" s="16">
        <f t="shared" si="68"/>
        <v>11499999.999999998</v>
      </c>
    </row>
    <row r="1478" spans="1:11">
      <c r="A1478">
        <v>1</v>
      </c>
      <c r="B1478" t="s">
        <v>8</v>
      </c>
      <c r="C1478">
        <v>64.5</v>
      </c>
      <c r="D1478" s="1" t="s">
        <v>16</v>
      </c>
      <c r="E1478" s="1">
        <v>7</v>
      </c>
      <c r="F1478">
        <v>2</v>
      </c>
      <c r="G1478">
        <v>4</v>
      </c>
      <c r="H1478">
        <v>1.0000000000000001E-5</v>
      </c>
      <c r="I1478">
        <f t="shared" si="70"/>
        <v>3</v>
      </c>
      <c r="J1478">
        <v>10</v>
      </c>
      <c r="K1478" s="16">
        <f t="shared" si="68"/>
        <v>29999999.999999996</v>
      </c>
    </row>
    <row r="1479" spans="1:11">
      <c r="A1479">
        <v>1</v>
      </c>
      <c r="B1479" t="s">
        <v>8</v>
      </c>
      <c r="C1479">
        <v>64.5</v>
      </c>
      <c r="D1479" s="1" t="s">
        <v>16</v>
      </c>
      <c r="E1479" s="1">
        <v>8</v>
      </c>
      <c r="F1479">
        <v>14</v>
      </c>
      <c r="G1479">
        <v>13</v>
      </c>
      <c r="H1479">
        <v>1E-4</v>
      </c>
      <c r="I1479">
        <f t="shared" si="70"/>
        <v>13.5</v>
      </c>
      <c r="J1479">
        <v>10</v>
      </c>
      <c r="K1479" s="16">
        <f t="shared" si="68"/>
        <v>13499999.999999998</v>
      </c>
    </row>
    <row r="1480" spans="1:11">
      <c r="A1480">
        <v>1</v>
      </c>
      <c r="B1480" t="s">
        <v>8</v>
      </c>
      <c r="C1480">
        <v>64.5</v>
      </c>
      <c r="D1480" s="1" t="s">
        <v>16</v>
      </c>
      <c r="E1480" s="1">
        <v>9</v>
      </c>
      <c r="F1480">
        <v>6</v>
      </c>
      <c r="G1480">
        <v>5</v>
      </c>
      <c r="H1480">
        <v>1E-4</v>
      </c>
      <c r="I1480">
        <f t="shared" si="70"/>
        <v>5.5</v>
      </c>
      <c r="J1480">
        <v>10</v>
      </c>
      <c r="K1480" s="16">
        <f t="shared" si="68"/>
        <v>5499999.9999999991</v>
      </c>
    </row>
    <row r="1481" spans="1:11">
      <c r="A1481">
        <v>1</v>
      </c>
      <c r="B1481" t="s">
        <v>8</v>
      </c>
      <c r="C1481">
        <v>64.5</v>
      </c>
      <c r="D1481" s="1" t="s">
        <v>16</v>
      </c>
      <c r="E1481" s="1">
        <v>10</v>
      </c>
      <c r="F1481">
        <v>4</v>
      </c>
      <c r="G1481">
        <v>3</v>
      </c>
      <c r="H1481">
        <v>1E-4</v>
      </c>
      <c r="I1481">
        <f t="shared" si="70"/>
        <v>3.5</v>
      </c>
      <c r="J1481">
        <v>10</v>
      </c>
      <c r="K1481" s="16">
        <f t="shared" si="68"/>
        <v>3499999.9999999995</v>
      </c>
    </row>
    <row r="1482" spans="1:11">
      <c r="A1482">
        <v>1</v>
      </c>
      <c r="B1482" t="s">
        <v>8</v>
      </c>
      <c r="C1482">
        <v>65</v>
      </c>
      <c r="D1482" s="1" t="s">
        <v>16</v>
      </c>
      <c r="E1482" s="1">
        <v>1</v>
      </c>
      <c r="F1482">
        <v>6</v>
      </c>
      <c r="G1482">
        <v>10</v>
      </c>
      <c r="H1482">
        <v>9.9999999999999995E-7</v>
      </c>
      <c r="I1482">
        <f t="shared" si="70"/>
        <v>8</v>
      </c>
      <c r="J1482">
        <v>10</v>
      </c>
      <c r="K1482" s="16">
        <f t="shared" si="68"/>
        <v>800000000</v>
      </c>
    </row>
    <row r="1483" spans="1:11">
      <c r="A1483">
        <v>1</v>
      </c>
      <c r="B1483" t="s">
        <v>8</v>
      </c>
      <c r="C1483">
        <v>65</v>
      </c>
      <c r="D1483" s="1" t="s">
        <v>16</v>
      </c>
      <c r="E1483" s="1">
        <v>2</v>
      </c>
      <c r="F1483">
        <v>5</v>
      </c>
      <c r="G1483">
        <v>11</v>
      </c>
      <c r="H1483">
        <v>9.9999999999999995E-7</v>
      </c>
      <c r="I1483">
        <f t="shared" si="70"/>
        <v>8</v>
      </c>
      <c r="J1483">
        <v>10</v>
      </c>
      <c r="K1483" s="16">
        <f t="shared" si="68"/>
        <v>800000000</v>
      </c>
    </row>
    <row r="1484" spans="1:11">
      <c r="A1484">
        <v>1</v>
      </c>
      <c r="B1484" t="s">
        <v>8</v>
      </c>
      <c r="C1484">
        <v>65</v>
      </c>
      <c r="D1484" s="1" t="s">
        <v>16</v>
      </c>
      <c r="E1484" s="1">
        <v>3</v>
      </c>
      <c r="F1484">
        <v>1</v>
      </c>
      <c r="G1484">
        <v>4</v>
      </c>
      <c r="H1484">
        <v>9.9999999999999995E-7</v>
      </c>
      <c r="I1484">
        <f t="shared" si="70"/>
        <v>2.5</v>
      </c>
      <c r="J1484">
        <v>10</v>
      </c>
      <c r="K1484" s="16">
        <f t="shared" si="68"/>
        <v>250000000</v>
      </c>
    </row>
    <row r="1485" spans="1:11">
      <c r="A1485">
        <v>1</v>
      </c>
      <c r="B1485" t="s">
        <v>8</v>
      </c>
      <c r="C1485">
        <v>65</v>
      </c>
      <c r="D1485" s="1" t="s">
        <v>16</v>
      </c>
      <c r="E1485" s="1">
        <v>4</v>
      </c>
      <c r="F1485">
        <v>6</v>
      </c>
      <c r="G1485">
        <v>3</v>
      </c>
      <c r="H1485">
        <v>9.9999999999999995E-7</v>
      </c>
      <c r="I1485">
        <f t="shared" si="70"/>
        <v>4.5</v>
      </c>
      <c r="J1485">
        <v>10</v>
      </c>
      <c r="K1485" s="16">
        <f t="shared" si="68"/>
        <v>450000000</v>
      </c>
    </row>
    <row r="1486" spans="1:11">
      <c r="A1486">
        <v>1</v>
      </c>
      <c r="B1486" t="s">
        <v>8</v>
      </c>
      <c r="C1486">
        <v>65</v>
      </c>
      <c r="D1486" s="1" t="s">
        <v>16</v>
      </c>
      <c r="E1486" s="1">
        <v>5</v>
      </c>
      <c r="F1486">
        <v>4</v>
      </c>
      <c r="G1486">
        <v>9</v>
      </c>
      <c r="H1486">
        <v>9.9999999999999995E-7</v>
      </c>
      <c r="I1486">
        <f t="shared" si="70"/>
        <v>6.5</v>
      </c>
      <c r="J1486">
        <v>10</v>
      </c>
      <c r="K1486" s="16">
        <f t="shared" si="68"/>
        <v>650000000</v>
      </c>
    </row>
    <row r="1487" spans="1:11">
      <c r="A1487">
        <v>1</v>
      </c>
      <c r="B1487" t="s">
        <v>8</v>
      </c>
      <c r="C1487">
        <v>65</v>
      </c>
      <c r="D1487" s="1" t="s">
        <v>16</v>
      </c>
      <c r="E1487" s="1">
        <v>6</v>
      </c>
      <c r="F1487">
        <v>2</v>
      </c>
      <c r="G1487">
        <v>4</v>
      </c>
      <c r="H1487">
        <v>9.9999999999999995E-7</v>
      </c>
      <c r="I1487">
        <f t="shared" si="70"/>
        <v>3</v>
      </c>
      <c r="J1487">
        <v>10</v>
      </c>
      <c r="K1487" s="16">
        <f t="shared" si="68"/>
        <v>300000000</v>
      </c>
    </row>
    <row r="1488" spans="1:11">
      <c r="A1488">
        <v>1</v>
      </c>
      <c r="B1488" t="s">
        <v>8</v>
      </c>
      <c r="C1488">
        <v>65</v>
      </c>
      <c r="D1488" s="1" t="s">
        <v>16</v>
      </c>
      <c r="E1488" s="1">
        <v>7</v>
      </c>
      <c r="F1488">
        <v>11</v>
      </c>
      <c r="G1488">
        <v>4</v>
      </c>
      <c r="H1488">
        <v>9.9999999999999995E-7</v>
      </c>
      <c r="I1488">
        <f t="shared" si="70"/>
        <v>7.5</v>
      </c>
      <c r="J1488">
        <v>10</v>
      </c>
      <c r="K1488" s="16">
        <f t="shared" si="68"/>
        <v>750000000</v>
      </c>
    </row>
    <row r="1489" spans="1:11">
      <c r="A1489">
        <v>1</v>
      </c>
      <c r="B1489" t="s">
        <v>8</v>
      </c>
      <c r="C1489">
        <v>65</v>
      </c>
      <c r="D1489" s="1" t="s">
        <v>16</v>
      </c>
      <c r="E1489" s="1">
        <v>8</v>
      </c>
      <c r="F1489">
        <v>4</v>
      </c>
      <c r="G1489">
        <v>5</v>
      </c>
      <c r="H1489">
        <v>9.9999999999999995E-7</v>
      </c>
      <c r="I1489">
        <f t="shared" si="70"/>
        <v>4.5</v>
      </c>
      <c r="J1489">
        <v>10</v>
      </c>
      <c r="K1489" s="16">
        <f t="shared" si="68"/>
        <v>450000000</v>
      </c>
    </row>
    <row r="1490" spans="1:11">
      <c r="A1490">
        <v>1</v>
      </c>
      <c r="B1490" t="s">
        <v>8</v>
      </c>
      <c r="C1490">
        <v>65</v>
      </c>
      <c r="D1490" s="1" t="s">
        <v>16</v>
      </c>
      <c r="E1490" s="1">
        <v>9</v>
      </c>
      <c r="F1490">
        <v>5</v>
      </c>
      <c r="G1490">
        <v>7</v>
      </c>
      <c r="H1490">
        <v>9.9999999999999995E-7</v>
      </c>
      <c r="I1490">
        <f t="shared" si="70"/>
        <v>6</v>
      </c>
      <c r="J1490">
        <v>10</v>
      </c>
      <c r="K1490" s="16">
        <f t="shared" si="68"/>
        <v>600000000</v>
      </c>
    </row>
    <row r="1491" spans="1:11">
      <c r="A1491">
        <v>1</v>
      </c>
      <c r="B1491" t="s">
        <v>8</v>
      </c>
      <c r="C1491">
        <v>65</v>
      </c>
      <c r="D1491" s="1" t="s">
        <v>16</v>
      </c>
      <c r="E1491" s="1">
        <v>10</v>
      </c>
      <c r="F1491">
        <v>7</v>
      </c>
      <c r="G1491">
        <v>6</v>
      </c>
      <c r="H1491">
        <v>9.9999999999999995E-7</v>
      </c>
      <c r="I1491">
        <f t="shared" si="70"/>
        <v>6.5</v>
      </c>
      <c r="J1491">
        <v>10</v>
      </c>
      <c r="K1491" s="16">
        <f t="shared" ref="K1491:K1554" si="71">I1491/(H1491*(J1491/1000))</f>
        <v>650000000</v>
      </c>
    </row>
    <row r="1492" spans="1:11">
      <c r="A1492">
        <v>1</v>
      </c>
      <c r="B1492" t="s">
        <v>8</v>
      </c>
      <c r="C1492">
        <v>65.5</v>
      </c>
      <c r="D1492" s="1" t="s">
        <v>16</v>
      </c>
      <c r="E1492" s="1">
        <v>1</v>
      </c>
      <c r="F1492">
        <v>17</v>
      </c>
      <c r="G1492">
        <v>14</v>
      </c>
      <c r="H1492">
        <v>1.0000000000000001E-5</v>
      </c>
      <c r="I1492">
        <f t="shared" si="70"/>
        <v>15.5</v>
      </c>
      <c r="J1492">
        <v>10</v>
      </c>
      <c r="K1492" s="16">
        <f t="shared" si="71"/>
        <v>155000000</v>
      </c>
    </row>
    <row r="1493" spans="1:11">
      <c r="A1493">
        <v>1</v>
      </c>
      <c r="B1493" t="s">
        <v>8</v>
      </c>
      <c r="C1493">
        <v>65.5</v>
      </c>
      <c r="D1493" s="1" t="s">
        <v>16</v>
      </c>
      <c r="E1493" s="1">
        <v>2</v>
      </c>
      <c r="F1493">
        <v>28</v>
      </c>
      <c r="G1493">
        <v>19</v>
      </c>
      <c r="H1493">
        <v>1.0000000000000001E-5</v>
      </c>
      <c r="I1493">
        <f t="shared" si="70"/>
        <v>23.5</v>
      </c>
      <c r="J1493">
        <v>10</v>
      </c>
      <c r="K1493" s="16">
        <f t="shared" si="71"/>
        <v>234999999.99999997</v>
      </c>
    </row>
    <row r="1494" spans="1:11">
      <c r="A1494">
        <v>1</v>
      </c>
      <c r="B1494" t="s">
        <v>8</v>
      </c>
      <c r="C1494">
        <v>65.5</v>
      </c>
      <c r="D1494" s="1" t="s">
        <v>16</v>
      </c>
      <c r="E1494" s="1">
        <v>3</v>
      </c>
      <c r="F1494">
        <v>2</v>
      </c>
      <c r="G1494">
        <v>2</v>
      </c>
      <c r="H1494">
        <v>1.0000000000000001E-5</v>
      </c>
      <c r="I1494">
        <f t="shared" si="70"/>
        <v>2</v>
      </c>
      <c r="J1494">
        <v>10</v>
      </c>
      <c r="K1494" s="16">
        <f t="shared" si="71"/>
        <v>20000000</v>
      </c>
    </row>
    <row r="1495" spans="1:11">
      <c r="A1495">
        <v>1</v>
      </c>
      <c r="B1495" t="s">
        <v>8</v>
      </c>
      <c r="C1495">
        <v>65.5</v>
      </c>
      <c r="D1495" s="1" t="s">
        <v>16</v>
      </c>
      <c r="E1495" s="1">
        <v>4</v>
      </c>
      <c r="F1495">
        <v>25</v>
      </c>
      <c r="G1495">
        <v>25</v>
      </c>
      <c r="H1495">
        <v>1.0000000000000001E-5</v>
      </c>
      <c r="I1495">
        <f t="shared" si="70"/>
        <v>25</v>
      </c>
      <c r="J1495">
        <v>10</v>
      </c>
      <c r="K1495" s="16">
        <f t="shared" si="71"/>
        <v>249999999.99999997</v>
      </c>
    </row>
    <row r="1496" spans="1:11">
      <c r="A1496">
        <v>1</v>
      </c>
      <c r="B1496" t="s">
        <v>8</v>
      </c>
      <c r="C1496">
        <v>65.5</v>
      </c>
      <c r="D1496" s="1" t="s">
        <v>16</v>
      </c>
      <c r="E1496" s="1">
        <v>5</v>
      </c>
      <c r="F1496">
        <v>9</v>
      </c>
      <c r="G1496">
        <v>19</v>
      </c>
      <c r="H1496">
        <v>1.0000000000000001E-5</v>
      </c>
      <c r="I1496">
        <f t="shared" si="70"/>
        <v>14</v>
      </c>
      <c r="J1496">
        <v>10</v>
      </c>
      <c r="K1496" s="16">
        <f t="shared" si="71"/>
        <v>140000000</v>
      </c>
    </row>
    <row r="1497" spans="1:11">
      <c r="A1497">
        <v>1</v>
      </c>
      <c r="B1497" t="s">
        <v>8</v>
      </c>
      <c r="C1497">
        <v>65.5</v>
      </c>
      <c r="D1497" s="1" t="s">
        <v>16</v>
      </c>
      <c r="E1497" s="1">
        <v>6</v>
      </c>
      <c r="F1497">
        <v>2</v>
      </c>
      <c r="G1497">
        <v>2</v>
      </c>
      <c r="H1497">
        <v>1.0000000000000001E-5</v>
      </c>
      <c r="I1497">
        <f t="shared" si="70"/>
        <v>2</v>
      </c>
      <c r="J1497">
        <v>10</v>
      </c>
      <c r="K1497" s="16">
        <f t="shared" si="71"/>
        <v>20000000</v>
      </c>
    </row>
    <row r="1498" spans="1:11">
      <c r="A1498">
        <v>1</v>
      </c>
      <c r="B1498" t="s">
        <v>8</v>
      </c>
      <c r="C1498">
        <v>65.5</v>
      </c>
      <c r="D1498" s="1" t="s">
        <v>16</v>
      </c>
      <c r="E1498" s="1">
        <v>7</v>
      </c>
      <c r="F1498">
        <v>11</v>
      </c>
      <c r="G1498">
        <v>6</v>
      </c>
      <c r="H1498">
        <v>1.0000000000000001E-5</v>
      </c>
      <c r="I1498">
        <f t="shared" si="70"/>
        <v>8.5</v>
      </c>
      <c r="J1498">
        <v>10</v>
      </c>
      <c r="K1498" s="16">
        <f t="shared" si="71"/>
        <v>85000000</v>
      </c>
    </row>
    <row r="1499" spans="1:11">
      <c r="A1499">
        <v>1</v>
      </c>
      <c r="B1499" t="s">
        <v>8</v>
      </c>
      <c r="C1499">
        <v>65.5</v>
      </c>
      <c r="D1499" s="1" t="s">
        <v>16</v>
      </c>
      <c r="E1499" s="1">
        <v>8</v>
      </c>
      <c r="F1499">
        <v>7</v>
      </c>
      <c r="G1499">
        <v>12</v>
      </c>
      <c r="H1499">
        <v>1.0000000000000001E-5</v>
      </c>
      <c r="I1499">
        <f t="shared" si="70"/>
        <v>9.5</v>
      </c>
      <c r="J1499">
        <v>10</v>
      </c>
      <c r="K1499" s="16">
        <f t="shared" si="71"/>
        <v>94999999.999999985</v>
      </c>
    </row>
    <row r="1500" spans="1:11">
      <c r="A1500">
        <v>1</v>
      </c>
      <c r="B1500" t="s">
        <v>8</v>
      </c>
      <c r="C1500">
        <v>65.5</v>
      </c>
      <c r="D1500" s="1" t="s">
        <v>16</v>
      </c>
      <c r="E1500" s="1">
        <v>9</v>
      </c>
      <c r="F1500">
        <v>9</v>
      </c>
      <c r="G1500">
        <v>13</v>
      </c>
      <c r="H1500">
        <v>1.0000000000000001E-5</v>
      </c>
      <c r="I1500">
        <f t="shared" si="70"/>
        <v>11</v>
      </c>
      <c r="J1500">
        <v>10</v>
      </c>
      <c r="K1500" s="16">
        <f t="shared" si="71"/>
        <v>109999999.99999999</v>
      </c>
    </row>
    <row r="1501" spans="1:11">
      <c r="A1501">
        <v>1</v>
      </c>
      <c r="B1501" t="s">
        <v>8</v>
      </c>
      <c r="C1501">
        <v>65.5</v>
      </c>
      <c r="D1501" s="1" t="s">
        <v>16</v>
      </c>
      <c r="E1501" s="1">
        <v>10</v>
      </c>
      <c r="F1501">
        <v>13</v>
      </c>
      <c r="G1501">
        <v>18</v>
      </c>
      <c r="H1501">
        <v>1.0000000000000001E-5</v>
      </c>
      <c r="I1501">
        <f t="shared" si="70"/>
        <v>15.5</v>
      </c>
      <c r="J1501">
        <v>10</v>
      </c>
      <c r="K1501" s="16">
        <f t="shared" si="71"/>
        <v>155000000</v>
      </c>
    </row>
    <row r="1502" spans="1:11">
      <c r="A1502">
        <v>1</v>
      </c>
      <c r="B1502" t="s">
        <v>8</v>
      </c>
      <c r="C1502">
        <v>66</v>
      </c>
      <c r="D1502" s="1" t="s">
        <v>16</v>
      </c>
      <c r="E1502" s="1">
        <v>1</v>
      </c>
      <c r="F1502">
        <v>4</v>
      </c>
      <c r="G1502">
        <v>4</v>
      </c>
      <c r="H1502">
        <v>9.9999999999999995E-7</v>
      </c>
      <c r="I1502">
        <f t="shared" si="70"/>
        <v>4</v>
      </c>
      <c r="J1502">
        <v>10</v>
      </c>
      <c r="K1502" s="16">
        <f t="shared" si="71"/>
        <v>400000000</v>
      </c>
    </row>
    <row r="1503" spans="1:11">
      <c r="A1503">
        <v>1</v>
      </c>
      <c r="B1503" t="s">
        <v>8</v>
      </c>
      <c r="C1503">
        <v>66</v>
      </c>
      <c r="D1503" s="1" t="s">
        <v>16</v>
      </c>
      <c r="E1503" s="1">
        <v>2</v>
      </c>
      <c r="F1503">
        <v>1</v>
      </c>
      <c r="G1503">
        <v>1</v>
      </c>
      <c r="H1503">
        <v>9.9999999999999995E-7</v>
      </c>
      <c r="I1503">
        <f t="shared" si="70"/>
        <v>1</v>
      </c>
      <c r="J1503">
        <v>10</v>
      </c>
      <c r="K1503" s="16">
        <f t="shared" si="71"/>
        <v>100000000</v>
      </c>
    </row>
    <row r="1504" spans="1:11">
      <c r="A1504">
        <v>1</v>
      </c>
      <c r="B1504" t="s">
        <v>8</v>
      </c>
      <c r="C1504">
        <v>66</v>
      </c>
      <c r="D1504" s="1" t="s">
        <v>16</v>
      </c>
      <c r="E1504" s="1">
        <v>3</v>
      </c>
      <c r="F1504">
        <v>4</v>
      </c>
      <c r="G1504">
        <v>2</v>
      </c>
      <c r="H1504">
        <v>9.9999999999999995E-7</v>
      </c>
      <c r="I1504">
        <f t="shared" si="70"/>
        <v>3</v>
      </c>
      <c r="J1504">
        <v>10</v>
      </c>
      <c r="K1504" s="16">
        <f t="shared" si="71"/>
        <v>300000000</v>
      </c>
    </row>
    <row r="1505" spans="1:11">
      <c r="A1505">
        <v>1</v>
      </c>
      <c r="B1505" t="s">
        <v>8</v>
      </c>
      <c r="C1505">
        <v>66</v>
      </c>
      <c r="D1505" s="1" t="s">
        <v>16</v>
      </c>
      <c r="E1505" s="1">
        <v>4</v>
      </c>
      <c r="F1505">
        <v>1</v>
      </c>
      <c r="G1505">
        <v>4</v>
      </c>
      <c r="H1505">
        <v>9.9999999999999995E-7</v>
      </c>
      <c r="I1505">
        <f t="shared" si="70"/>
        <v>2.5</v>
      </c>
      <c r="J1505">
        <v>10</v>
      </c>
      <c r="K1505" s="16">
        <f t="shared" si="71"/>
        <v>250000000</v>
      </c>
    </row>
    <row r="1506" spans="1:11">
      <c r="A1506">
        <v>1</v>
      </c>
      <c r="B1506" t="s">
        <v>8</v>
      </c>
      <c r="C1506">
        <v>66</v>
      </c>
      <c r="D1506" s="1" t="s">
        <v>16</v>
      </c>
      <c r="E1506" s="1">
        <v>5</v>
      </c>
      <c r="F1506">
        <v>2</v>
      </c>
      <c r="G1506">
        <v>2</v>
      </c>
      <c r="H1506">
        <v>9.9999999999999995E-7</v>
      </c>
      <c r="I1506">
        <f t="shared" si="70"/>
        <v>2</v>
      </c>
      <c r="J1506">
        <v>10</v>
      </c>
      <c r="K1506" s="16">
        <f t="shared" si="71"/>
        <v>200000000</v>
      </c>
    </row>
    <row r="1507" spans="1:11">
      <c r="A1507">
        <v>1</v>
      </c>
      <c r="B1507" t="s">
        <v>8</v>
      </c>
      <c r="C1507">
        <v>66</v>
      </c>
      <c r="D1507" s="1" t="s">
        <v>16</v>
      </c>
      <c r="E1507" s="1">
        <v>6</v>
      </c>
      <c r="F1507">
        <v>1</v>
      </c>
      <c r="G1507">
        <v>3</v>
      </c>
      <c r="H1507">
        <v>9.9999999999999995E-7</v>
      </c>
      <c r="I1507">
        <f t="shared" si="70"/>
        <v>2</v>
      </c>
      <c r="J1507">
        <v>10</v>
      </c>
      <c r="K1507" s="16">
        <f t="shared" si="71"/>
        <v>200000000</v>
      </c>
    </row>
    <row r="1508" spans="1:11">
      <c r="A1508">
        <v>1</v>
      </c>
      <c r="B1508" t="s">
        <v>8</v>
      </c>
      <c r="C1508">
        <v>66</v>
      </c>
      <c r="D1508" s="1" t="s">
        <v>16</v>
      </c>
      <c r="E1508" s="1">
        <v>7</v>
      </c>
      <c r="F1508">
        <v>4</v>
      </c>
      <c r="G1508">
        <v>1</v>
      </c>
      <c r="H1508">
        <v>9.9999999999999995E-7</v>
      </c>
      <c r="I1508">
        <f t="shared" si="70"/>
        <v>2.5</v>
      </c>
      <c r="J1508">
        <v>10</v>
      </c>
      <c r="K1508" s="16">
        <f t="shared" si="71"/>
        <v>250000000</v>
      </c>
    </row>
    <row r="1509" spans="1:11">
      <c r="A1509">
        <v>1</v>
      </c>
      <c r="B1509" t="s">
        <v>8</v>
      </c>
      <c r="C1509">
        <v>66</v>
      </c>
      <c r="D1509" s="1" t="s">
        <v>16</v>
      </c>
      <c r="E1509" s="1">
        <v>8</v>
      </c>
      <c r="F1509">
        <v>3</v>
      </c>
      <c r="G1509">
        <v>2</v>
      </c>
      <c r="H1509">
        <v>9.9999999999999995E-7</v>
      </c>
      <c r="I1509">
        <f t="shared" si="70"/>
        <v>2.5</v>
      </c>
      <c r="J1509">
        <v>10</v>
      </c>
      <c r="K1509" s="16">
        <f t="shared" si="71"/>
        <v>250000000</v>
      </c>
    </row>
    <row r="1510" spans="1:11">
      <c r="A1510">
        <v>1</v>
      </c>
      <c r="B1510" t="s">
        <v>8</v>
      </c>
      <c r="C1510">
        <v>66</v>
      </c>
      <c r="D1510" s="1" t="s">
        <v>16</v>
      </c>
      <c r="E1510" s="1">
        <v>9</v>
      </c>
      <c r="F1510">
        <v>18</v>
      </c>
      <c r="G1510" s="5">
        <v>10</v>
      </c>
      <c r="H1510">
        <v>1.0000000000000001E-5</v>
      </c>
      <c r="I1510">
        <f t="shared" si="70"/>
        <v>14</v>
      </c>
      <c r="J1510">
        <v>10</v>
      </c>
      <c r="K1510" s="16">
        <f t="shared" si="71"/>
        <v>140000000</v>
      </c>
    </row>
    <row r="1511" spans="1:11">
      <c r="A1511">
        <v>1</v>
      </c>
      <c r="B1511" t="s">
        <v>8</v>
      </c>
      <c r="C1511">
        <v>66</v>
      </c>
      <c r="D1511" s="1" t="s">
        <v>16</v>
      </c>
      <c r="E1511" s="1">
        <v>10</v>
      </c>
      <c r="F1511">
        <v>3</v>
      </c>
      <c r="G1511">
        <v>3</v>
      </c>
      <c r="H1511">
        <v>9.9999999999999995E-7</v>
      </c>
      <c r="I1511">
        <f t="shared" ref="I1511:I1541" si="72">AVERAGE(F1511:G1511)</f>
        <v>3</v>
      </c>
      <c r="J1511">
        <v>10</v>
      </c>
      <c r="K1511" s="16">
        <f t="shared" si="71"/>
        <v>300000000</v>
      </c>
    </row>
    <row r="1512" spans="1:11">
      <c r="A1512">
        <v>1</v>
      </c>
      <c r="B1512" t="s">
        <v>8</v>
      </c>
      <c r="C1512">
        <v>66.5</v>
      </c>
      <c r="D1512" s="1" t="s">
        <v>16</v>
      </c>
      <c r="E1512" s="1">
        <v>1</v>
      </c>
      <c r="F1512" s="5">
        <v>40</v>
      </c>
      <c r="G1512">
        <v>19</v>
      </c>
      <c r="H1512">
        <v>1E-4</v>
      </c>
      <c r="I1512">
        <f t="shared" si="72"/>
        <v>29.5</v>
      </c>
      <c r="J1512">
        <v>10</v>
      </c>
      <c r="K1512" s="16">
        <f t="shared" si="71"/>
        <v>29499999.999999996</v>
      </c>
    </row>
    <row r="1513" spans="1:11">
      <c r="A1513">
        <v>1</v>
      </c>
      <c r="B1513" t="s">
        <v>8</v>
      </c>
      <c r="C1513">
        <v>66.5</v>
      </c>
      <c r="D1513" s="1" t="s">
        <v>16</v>
      </c>
      <c r="E1513" s="1">
        <v>2</v>
      </c>
      <c r="F1513">
        <v>4</v>
      </c>
      <c r="G1513">
        <v>3</v>
      </c>
      <c r="H1513">
        <v>9.9999999999999995E-7</v>
      </c>
      <c r="I1513">
        <f t="shared" si="72"/>
        <v>3.5</v>
      </c>
      <c r="J1513">
        <v>10</v>
      </c>
      <c r="K1513" s="16">
        <f t="shared" si="71"/>
        <v>350000000</v>
      </c>
    </row>
    <row r="1514" spans="1:11">
      <c r="A1514">
        <v>1</v>
      </c>
      <c r="B1514" t="s">
        <v>8</v>
      </c>
      <c r="C1514">
        <v>66.5</v>
      </c>
      <c r="D1514" s="1" t="s">
        <v>16</v>
      </c>
      <c r="E1514" s="1">
        <v>3</v>
      </c>
      <c r="F1514">
        <v>2</v>
      </c>
      <c r="G1514">
        <v>6</v>
      </c>
      <c r="H1514">
        <v>1.0000000000000001E-5</v>
      </c>
      <c r="I1514">
        <f t="shared" si="72"/>
        <v>4</v>
      </c>
      <c r="J1514">
        <v>10</v>
      </c>
      <c r="K1514" s="16">
        <f t="shared" si="71"/>
        <v>40000000</v>
      </c>
    </row>
    <row r="1515" spans="1:11">
      <c r="A1515">
        <v>1</v>
      </c>
      <c r="B1515" t="s">
        <v>8</v>
      </c>
      <c r="C1515">
        <v>66.5</v>
      </c>
      <c r="D1515" s="1" t="s">
        <v>16</v>
      </c>
      <c r="E1515" s="1">
        <v>4</v>
      </c>
      <c r="F1515">
        <v>12</v>
      </c>
      <c r="G1515">
        <v>12</v>
      </c>
      <c r="H1515">
        <v>1.0000000000000001E-5</v>
      </c>
      <c r="I1515">
        <f t="shared" si="72"/>
        <v>12</v>
      </c>
      <c r="J1515">
        <v>10</v>
      </c>
      <c r="K1515" s="16">
        <f t="shared" si="71"/>
        <v>119999999.99999999</v>
      </c>
    </row>
    <row r="1516" spans="1:11">
      <c r="A1516">
        <v>1</v>
      </c>
      <c r="B1516" t="s">
        <v>8</v>
      </c>
      <c r="C1516">
        <v>66.5</v>
      </c>
      <c r="D1516" s="1" t="s">
        <v>16</v>
      </c>
      <c r="E1516" s="1">
        <v>5</v>
      </c>
      <c r="F1516">
        <v>19</v>
      </c>
      <c r="G1516">
        <v>23</v>
      </c>
      <c r="H1516">
        <v>1.0000000000000001E-5</v>
      </c>
      <c r="I1516">
        <f t="shared" si="72"/>
        <v>21</v>
      </c>
      <c r="J1516">
        <v>10</v>
      </c>
      <c r="K1516" s="16">
        <f t="shared" si="71"/>
        <v>209999999.99999997</v>
      </c>
    </row>
    <row r="1517" spans="1:11">
      <c r="A1517">
        <v>1</v>
      </c>
      <c r="B1517" t="s">
        <v>8</v>
      </c>
      <c r="C1517">
        <v>66.5</v>
      </c>
      <c r="D1517" s="1" t="s">
        <v>16</v>
      </c>
      <c r="E1517" s="1">
        <v>6</v>
      </c>
      <c r="F1517">
        <v>4</v>
      </c>
      <c r="G1517">
        <v>9</v>
      </c>
      <c r="H1517">
        <v>1.0000000000000001E-5</v>
      </c>
      <c r="I1517">
        <f t="shared" si="72"/>
        <v>6.5</v>
      </c>
      <c r="J1517">
        <v>10</v>
      </c>
      <c r="K1517" s="16">
        <f t="shared" si="71"/>
        <v>64999999.999999993</v>
      </c>
    </row>
    <row r="1518" spans="1:11">
      <c r="A1518">
        <v>1</v>
      </c>
      <c r="B1518" t="s">
        <v>8</v>
      </c>
      <c r="C1518">
        <v>66.5</v>
      </c>
      <c r="D1518" s="1" t="s">
        <v>16</v>
      </c>
      <c r="E1518" s="1">
        <v>7</v>
      </c>
      <c r="F1518">
        <v>2</v>
      </c>
      <c r="G1518">
        <v>2</v>
      </c>
      <c r="H1518">
        <v>9.9999999999999995E-7</v>
      </c>
      <c r="I1518">
        <f t="shared" si="72"/>
        <v>2</v>
      </c>
      <c r="J1518">
        <v>10</v>
      </c>
      <c r="K1518" s="16">
        <f t="shared" si="71"/>
        <v>200000000</v>
      </c>
    </row>
    <row r="1519" spans="1:11">
      <c r="A1519">
        <v>1</v>
      </c>
      <c r="B1519" t="s">
        <v>8</v>
      </c>
      <c r="C1519">
        <v>66.5</v>
      </c>
      <c r="D1519" s="1" t="s">
        <v>16</v>
      </c>
      <c r="E1519" s="1">
        <v>8</v>
      </c>
      <c r="F1519">
        <v>3</v>
      </c>
      <c r="G1519">
        <v>2</v>
      </c>
      <c r="H1519">
        <v>1.0000000000000001E-5</v>
      </c>
      <c r="I1519">
        <f t="shared" si="72"/>
        <v>2.5</v>
      </c>
      <c r="J1519">
        <v>10</v>
      </c>
      <c r="K1519" s="16">
        <f t="shared" si="71"/>
        <v>24999999.999999996</v>
      </c>
    </row>
    <row r="1520" spans="1:11">
      <c r="A1520">
        <v>1</v>
      </c>
      <c r="B1520" t="s">
        <v>8</v>
      </c>
      <c r="C1520">
        <v>66.5</v>
      </c>
      <c r="D1520" s="1" t="s">
        <v>16</v>
      </c>
      <c r="E1520" s="1">
        <v>9</v>
      </c>
      <c r="F1520">
        <v>2</v>
      </c>
      <c r="G1520">
        <v>3</v>
      </c>
      <c r="H1520">
        <v>1.0000000000000001E-5</v>
      </c>
      <c r="I1520">
        <f t="shared" si="72"/>
        <v>2.5</v>
      </c>
      <c r="J1520">
        <v>10</v>
      </c>
      <c r="K1520" s="16">
        <f t="shared" si="71"/>
        <v>24999999.999999996</v>
      </c>
    </row>
    <row r="1521" spans="1:11">
      <c r="A1521">
        <v>1</v>
      </c>
      <c r="B1521" t="s">
        <v>8</v>
      </c>
      <c r="C1521">
        <v>66.5</v>
      </c>
      <c r="D1521" s="1" t="s">
        <v>16</v>
      </c>
      <c r="E1521" s="1">
        <v>10</v>
      </c>
      <c r="F1521">
        <v>7</v>
      </c>
      <c r="G1521">
        <v>5</v>
      </c>
      <c r="H1521">
        <v>1.0000000000000001E-5</v>
      </c>
      <c r="I1521">
        <f t="shared" si="72"/>
        <v>6</v>
      </c>
      <c r="J1521">
        <v>10</v>
      </c>
      <c r="K1521" s="16">
        <f t="shared" si="71"/>
        <v>59999999.999999993</v>
      </c>
    </row>
    <row r="1522" spans="1:11">
      <c r="A1522">
        <v>1</v>
      </c>
      <c r="B1522" t="s">
        <v>8</v>
      </c>
      <c r="C1522">
        <v>67</v>
      </c>
      <c r="D1522" s="1" t="s">
        <v>16</v>
      </c>
      <c r="E1522" s="1">
        <v>1</v>
      </c>
      <c r="F1522">
        <v>5</v>
      </c>
      <c r="G1522">
        <v>5</v>
      </c>
      <c r="H1522">
        <v>9.9999999999999995E-7</v>
      </c>
      <c r="I1522">
        <f t="shared" si="72"/>
        <v>5</v>
      </c>
      <c r="J1522">
        <v>10</v>
      </c>
      <c r="K1522" s="16">
        <f t="shared" si="71"/>
        <v>500000000</v>
      </c>
    </row>
    <row r="1523" spans="1:11">
      <c r="A1523">
        <v>1</v>
      </c>
      <c r="B1523" t="s">
        <v>8</v>
      </c>
      <c r="C1523">
        <v>67</v>
      </c>
      <c r="D1523" s="1" t="s">
        <v>16</v>
      </c>
      <c r="E1523" s="1">
        <v>2</v>
      </c>
      <c r="F1523">
        <v>6</v>
      </c>
      <c r="G1523">
        <v>3</v>
      </c>
      <c r="H1523">
        <v>9.9999999999999995E-7</v>
      </c>
      <c r="I1523">
        <f t="shared" si="72"/>
        <v>4.5</v>
      </c>
      <c r="J1523">
        <v>10</v>
      </c>
      <c r="K1523" s="16">
        <f t="shared" si="71"/>
        <v>450000000</v>
      </c>
    </row>
    <row r="1524" spans="1:11">
      <c r="A1524">
        <v>1</v>
      </c>
      <c r="B1524" t="s">
        <v>8</v>
      </c>
      <c r="C1524">
        <v>67</v>
      </c>
      <c r="D1524" s="1" t="s">
        <v>16</v>
      </c>
      <c r="E1524" s="1">
        <v>3</v>
      </c>
      <c r="F1524">
        <v>4</v>
      </c>
      <c r="G1524">
        <v>2</v>
      </c>
      <c r="H1524">
        <v>9.9999999999999995E-7</v>
      </c>
      <c r="I1524">
        <f t="shared" si="72"/>
        <v>3</v>
      </c>
      <c r="J1524">
        <v>10</v>
      </c>
      <c r="K1524" s="16">
        <f t="shared" si="71"/>
        <v>300000000</v>
      </c>
    </row>
    <row r="1525" spans="1:11">
      <c r="A1525">
        <v>1</v>
      </c>
      <c r="B1525" t="s">
        <v>8</v>
      </c>
      <c r="C1525">
        <v>67</v>
      </c>
      <c r="D1525" s="1" t="s">
        <v>16</v>
      </c>
      <c r="E1525" s="1">
        <v>4</v>
      </c>
      <c r="F1525">
        <v>4</v>
      </c>
      <c r="G1525">
        <v>7</v>
      </c>
      <c r="H1525">
        <v>9.9999999999999995E-7</v>
      </c>
      <c r="I1525">
        <f t="shared" si="72"/>
        <v>5.5</v>
      </c>
      <c r="J1525">
        <v>10</v>
      </c>
      <c r="K1525" s="16">
        <f t="shared" si="71"/>
        <v>550000000</v>
      </c>
    </row>
    <row r="1526" spans="1:11">
      <c r="A1526">
        <v>1</v>
      </c>
      <c r="B1526" t="s">
        <v>8</v>
      </c>
      <c r="C1526">
        <v>67</v>
      </c>
      <c r="D1526" s="1" t="s">
        <v>16</v>
      </c>
      <c r="E1526" s="1">
        <v>5</v>
      </c>
      <c r="F1526">
        <v>2</v>
      </c>
      <c r="G1526">
        <v>6</v>
      </c>
      <c r="H1526">
        <v>9.9999999999999995E-7</v>
      </c>
      <c r="I1526">
        <f t="shared" si="72"/>
        <v>4</v>
      </c>
      <c r="J1526">
        <v>10</v>
      </c>
      <c r="K1526" s="16">
        <f t="shared" si="71"/>
        <v>400000000</v>
      </c>
    </row>
    <row r="1527" spans="1:11">
      <c r="A1527">
        <v>1</v>
      </c>
      <c r="B1527" t="s">
        <v>8</v>
      </c>
      <c r="C1527">
        <v>67</v>
      </c>
      <c r="D1527" s="1" t="s">
        <v>16</v>
      </c>
      <c r="E1527" s="1">
        <v>6</v>
      </c>
      <c r="F1527" s="5">
        <v>40</v>
      </c>
      <c r="G1527">
        <v>19</v>
      </c>
      <c r="H1527">
        <v>1.0000000000000001E-5</v>
      </c>
      <c r="I1527">
        <f t="shared" si="72"/>
        <v>29.5</v>
      </c>
      <c r="J1527">
        <v>10</v>
      </c>
      <c r="K1527" s="16">
        <f t="shared" si="71"/>
        <v>295000000</v>
      </c>
    </row>
    <row r="1528" spans="1:11">
      <c r="A1528">
        <v>1</v>
      </c>
      <c r="B1528" t="s">
        <v>8</v>
      </c>
      <c r="C1528">
        <v>67</v>
      </c>
      <c r="D1528" s="1" t="s">
        <v>16</v>
      </c>
      <c r="E1528" s="1">
        <v>7</v>
      </c>
      <c r="F1528">
        <v>4</v>
      </c>
      <c r="G1528">
        <v>5</v>
      </c>
      <c r="H1528">
        <v>9.9999999999999995E-7</v>
      </c>
      <c r="I1528">
        <f t="shared" si="72"/>
        <v>4.5</v>
      </c>
      <c r="J1528">
        <v>10</v>
      </c>
      <c r="K1528" s="16">
        <f t="shared" si="71"/>
        <v>450000000</v>
      </c>
    </row>
    <row r="1529" spans="1:11">
      <c r="A1529">
        <v>1</v>
      </c>
      <c r="B1529" t="s">
        <v>8</v>
      </c>
      <c r="C1529">
        <v>67</v>
      </c>
      <c r="D1529" s="1" t="s">
        <v>16</v>
      </c>
      <c r="E1529" s="1">
        <v>8</v>
      </c>
      <c r="F1529">
        <v>3</v>
      </c>
      <c r="G1529">
        <v>3</v>
      </c>
      <c r="H1529">
        <v>9.9999999999999995E-7</v>
      </c>
      <c r="I1529">
        <f t="shared" si="72"/>
        <v>3</v>
      </c>
      <c r="J1529">
        <v>10</v>
      </c>
      <c r="K1529" s="16">
        <f t="shared" si="71"/>
        <v>300000000</v>
      </c>
    </row>
    <row r="1530" spans="1:11">
      <c r="A1530">
        <v>1</v>
      </c>
      <c r="B1530" t="s">
        <v>8</v>
      </c>
      <c r="C1530">
        <v>67</v>
      </c>
      <c r="D1530" s="1" t="s">
        <v>16</v>
      </c>
      <c r="E1530" s="1">
        <v>9</v>
      </c>
      <c r="F1530">
        <v>5</v>
      </c>
      <c r="G1530">
        <v>3</v>
      </c>
      <c r="H1530">
        <v>9.9999999999999995E-7</v>
      </c>
      <c r="I1530">
        <f t="shared" si="72"/>
        <v>4</v>
      </c>
      <c r="J1530">
        <v>10</v>
      </c>
      <c r="K1530" s="16">
        <f t="shared" si="71"/>
        <v>400000000</v>
      </c>
    </row>
    <row r="1531" spans="1:11">
      <c r="A1531">
        <v>1</v>
      </c>
      <c r="B1531" t="s">
        <v>8</v>
      </c>
      <c r="C1531">
        <v>67</v>
      </c>
      <c r="D1531" s="1" t="s">
        <v>16</v>
      </c>
      <c r="E1531" s="1">
        <v>10</v>
      </c>
      <c r="F1531">
        <v>5</v>
      </c>
      <c r="G1531">
        <v>1</v>
      </c>
      <c r="H1531">
        <v>9.9999999999999995E-7</v>
      </c>
      <c r="I1531">
        <f t="shared" si="72"/>
        <v>3</v>
      </c>
      <c r="J1531">
        <v>10</v>
      </c>
      <c r="K1531" s="16">
        <f t="shared" si="71"/>
        <v>300000000</v>
      </c>
    </row>
    <row r="1532" spans="1:11">
      <c r="A1532">
        <v>1</v>
      </c>
      <c r="B1532" t="s">
        <v>8</v>
      </c>
      <c r="C1532">
        <v>67.5</v>
      </c>
      <c r="D1532" s="1" t="s">
        <v>16</v>
      </c>
      <c r="E1532" s="1">
        <v>1</v>
      </c>
      <c r="F1532">
        <v>7</v>
      </c>
      <c r="G1532">
        <v>11</v>
      </c>
      <c r="H1532">
        <v>1.0000000000000001E-5</v>
      </c>
      <c r="I1532">
        <f t="shared" si="72"/>
        <v>9</v>
      </c>
      <c r="J1532">
        <v>10</v>
      </c>
      <c r="K1532" s="16">
        <f t="shared" si="71"/>
        <v>89999999.999999985</v>
      </c>
    </row>
    <row r="1533" spans="1:11">
      <c r="A1533">
        <v>1</v>
      </c>
      <c r="B1533" t="s">
        <v>8</v>
      </c>
      <c r="C1533">
        <v>67.5</v>
      </c>
      <c r="D1533" s="1" t="s">
        <v>16</v>
      </c>
      <c r="E1533" s="1">
        <v>2</v>
      </c>
      <c r="F1533">
        <v>9</v>
      </c>
      <c r="G1533">
        <v>16</v>
      </c>
      <c r="H1533">
        <v>1.0000000000000001E-5</v>
      </c>
      <c r="I1533">
        <f t="shared" si="72"/>
        <v>12.5</v>
      </c>
      <c r="J1533">
        <v>10</v>
      </c>
      <c r="K1533" s="16">
        <f t="shared" si="71"/>
        <v>124999999.99999999</v>
      </c>
    </row>
    <row r="1534" spans="1:11">
      <c r="A1534">
        <v>1</v>
      </c>
      <c r="B1534" t="s">
        <v>8</v>
      </c>
      <c r="C1534">
        <v>67.5</v>
      </c>
      <c r="D1534" s="1" t="s">
        <v>16</v>
      </c>
      <c r="E1534" s="1">
        <v>3</v>
      </c>
      <c r="F1534">
        <v>8</v>
      </c>
      <c r="G1534">
        <v>6</v>
      </c>
      <c r="H1534">
        <v>1.0000000000000001E-5</v>
      </c>
      <c r="I1534">
        <f t="shared" si="72"/>
        <v>7</v>
      </c>
      <c r="J1534">
        <v>10</v>
      </c>
      <c r="K1534" s="16">
        <f t="shared" si="71"/>
        <v>70000000</v>
      </c>
    </row>
    <row r="1535" spans="1:11">
      <c r="A1535">
        <v>1</v>
      </c>
      <c r="B1535" t="s">
        <v>8</v>
      </c>
      <c r="C1535">
        <v>67.5</v>
      </c>
      <c r="D1535" s="1" t="s">
        <v>16</v>
      </c>
      <c r="E1535" s="1">
        <v>4</v>
      </c>
      <c r="F1535">
        <v>3</v>
      </c>
      <c r="G1535">
        <v>2</v>
      </c>
      <c r="H1535">
        <v>9.9999999999999995E-7</v>
      </c>
      <c r="I1535">
        <f t="shared" si="72"/>
        <v>2.5</v>
      </c>
      <c r="J1535">
        <v>10</v>
      </c>
      <c r="K1535" s="16">
        <f t="shared" si="71"/>
        <v>250000000</v>
      </c>
    </row>
    <row r="1536" spans="1:11">
      <c r="A1536">
        <v>1</v>
      </c>
      <c r="B1536" t="s">
        <v>8</v>
      </c>
      <c r="C1536">
        <v>67.5</v>
      </c>
      <c r="D1536" s="1" t="s">
        <v>16</v>
      </c>
      <c r="E1536" s="1">
        <v>5</v>
      </c>
      <c r="F1536">
        <v>14</v>
      </c>
      <c r="G1536">
        <v>17</v>
      </c>
      <c r="H1536">
        <v>1.0000000000000001E-5</v>
      </c>
      <c r="I1536">
        <f t="shared" si="72"/>
        <v>15.5</v>
      </c>
      <c r="J1536">
        <v>10</v>
      </c>
      <c r="K1536" s="16">
        <f t="shared" si="71"/>
        <v>155000000</v>
      </c>
    </row>
    <row r="1537" spans="1:11">
      <c r="A1537">
        <v>1</v>
      </c>
      <c r="B1537" t="s">
        <v>8</v>
      </c>
      <c r="C1537">
        <v>67.5</v>
      </c>
      <c r="D1537" s="1" t="s">
        <v>16</v>
      </c>
      <c r="E1537" s="1">
        <v>6</v>
      </c>
      <c r="F1537">
        <v>9</v>
      </c>
      <c r="G1537">
        <v>8</v>
      </c>
      <c r="H1537">
        <v>1.0000000000000001E-5</v>
      </c>
      <c r="I1537">
        <f t="shared" si="72"/>
        <v>8.5</v>
      </c>
      <c r="J1537">
        <v>10</v>
      </c>
      <c r="K1537" s="16">
        <f t="shared" si="71"/>
        <v>85000000</v>
      </c>
    </row>
    <row r="1538" spans="1:11">
      <c r="A1538">
        <v>1</v>
      </c>
      <c r="B1538" t="s">
        <v>8</v>
      </c>
      <c r="C1538">
        <v>67.5</v>
      </c>
      <c r="D1538" s="1" t="s">
        <v>16</v>
      </c>
      <c r="E1538" s="1">
        <v>7</v>
      </c>
      <c r="F1538">
        <v>10</v>
      </c>
      <c r="G1538">
        <v>14</v>
      </c>
      <c r="H1538">
        <v>1.0000000000000001E-5</v>
      </c>
      <c r="I1538">
        <f t="shared" si="72"/>
        <v>12</v>
      </c>
      <c r="J1538">
        <v>10</v>
      </c>
      <c r="K1538" s="16">
        <f t="shared" si="71"/>
        <v>119999999.99999999</v>
      </c>
    </row>
    <row r="1539" spans="1:11">
      <c r="A1539">
        <v>1</v>
      </c>
      <c r="B1539" t="s">
        <v>8</v>
      </c>
      <c r="C1539">
        <v>67.5</v>
      </c>
      <c r="D1539" s="1" t="s">
        <v>16</v>
      </c>
      <c r="E1539" s="1">
        <v>8</v>
      </c>
      <c r="F1539">
        <v>4</v>
      </c>
      <c r="G1539">
        <v>6</v>
      </c>
      <c r="H1539">
        <v>1.0000000000000001E-5</v>
      </c>
      <c r="I1539">
        <f t="shared" si="72"/>
        <v>5</v>
      </c>
      <c r="J1539">
        <v>10</v>
      </c>
      <c r="K1539" s="16">
        <f t="shared" si="71"/>
        <v>49999999.999999993</v>
      </c>
    </row>
    <row r="1540" spans="1:11">
      <c r="A1540">
        <v>1</v>
      </c>
      <c r="B1540" t="s">
        <v>8</v>
      </c>
      <c r="C1540">
        <v>67.5</v>
      </c>
      <c r="D1540" s="1" t="s">
        <v>16</v>
      </c>
      <c r="E1540" s="1">
        <v>9</v>
      </c>
      <c r="F1540">
        <v>9</v>
      </c>
      <c r="G1540">
        <v>11</v>
      </c>
      <c r="H1540">
        <v>1.0000000000000001E-5</v>
      </c>
      <c r="I1540">
        <f t="shared" si="72"/>
        <v>10</v>
      </c>
      <c r="J1540">
        <v>10</v>
      </c>
      <c r="K1540" s="16">
        <f t="shared" si="71"/>
        <v>99999999.999999985</v>
      </c>
    </row>
    <row r="1541" spans="1:11">
      <c r="A1541">
        <v>1</v>
      </c>
      <c r="B1541" t="s">
        <v>8</v>
      </c>
      <c r="C1541">
        <v>67.5</v>
      </c>
      <c r="D1541" s="1" t="s">
        <v>16</v>
      </c>
      <c r="E1541" s="1">
        <v>10</v>
      </c>
      <c r="F1541">
        <v>6</v>
      </c>
      <c r="G1541">
        <v>5</v>
      </c>
      <c r="H1541">
        <v>1.0000000000000001E-5</v>
      </c>
      <c r="I1541">
        <f t="shared" si="72"/>
        <v>5.5</v>
      </c>
      <c r="J1541">
        <v>10</v>
      </c>
      <c r="K1541" s="16">
        <f t="shared" si="71"/>
        <v>54999999.999999993</v>
      </c>
    </row>
    <row r="1542" spans="1:11">
      <c r="A1542">
        <v>1</v>
      </c>
      <c r="B1542" t="s">
        <v>8</v>
      </c>
      <c r="C1542">
        <v>68</v>
      </c>
      <c r="D1542" s="1" t="s">
        <v>16</v>
      </c>
      <c r="E1542" s="1">
        <v>1</v>
      </c>
      <c r="F1542">
        <v>1</v>
      </c>
      <c r="G1542">
        <v>4</v>
      </c>
      <c r="H1542">
        <v>9.9999999999999995E-7</v>
      </c>
      <c r="I1542">
        <f t="shared" ref="I1542:I1571" si="73">AVERAGE(F1542:G1542)</f>
        <v>2.5</v>
      </c>
      <c r="J1542">
        <v>10</v>
      </c>
      <c r="K1542" s="16">
        <f t="shared" si="71"/>
        <v>250000000</v>
      </c>
    </row>
    <row r="1543" spans="1:11">
      <c r="A1543">
        <v>1</v>
      </c>
      <c r="B1543" t="s">
        <v>8</v>
      </c>
      <c r="C1543">
        <v>68</v>
      </c>
      <c r="D1543" s="1" t="s">
        <v>16</v>
      </c>
      <c r="E1543" s="1">
        <v>2</v>
      </c>
      <c r="F1543">
        <v>2</v>
      </c>
      <c r="G1543">
        <v>2</v>
      </c>
      <c r="H1543">
        <v>9.9999999999999995E-7</v>
      </c>
      <c r="I1543">
        <f t="shared" si="73"/>
        <v>2</v>
      </c>
      <c r="J1543">
        <v>10</v>
      </c>
      <c r="K1543" s="16">
        <f t="shared" si="71"/>
        <v>200000000</v>
      </c>
    </row>
    <row r="1544" spans="1:11">
      <c r="A1544">
        <v>1</v>
      </c>
      <c r="B1544" t="s">
        <v>8</v>
      </c>
      <c r="C1544">
        <v>68</v>
      </c>
      <c r="D1544" s="1" t="s">
        <v>16</v>
      </c>
      <c r="E1544" s="1">
        <v>3</v>
      </c>
      <c r="F1544">
        <v>3</v>
      </c>
      <c r="G1544">
        <v>5</v>
      </c>
      <c r="H1544">
        <v>9.9999999999999995E-7</v>
      </c>
      <c r="I1544">
        <f t="shared" si="73"/>
        <v>4</v>
      </c>
      <c r="J1544">
        <v>10</v>
      </c>
      <c r="K1544" s="16">
        <f t="shared" si="71"/>
        <v>400000000</v>
      </c>
    </row>
    <row r="1545" spans="1:11">
      <c r="A1545">
        <v>1</v>
      </c>
      <c r="B1545" t="s">
        <v>8</v>
      </c>
      <c r="C1545">
        <v>68</v>
      </c>
      <c r="D1545" s="1" t="s">
        <v>16</v>
      </c>
      <c r="E1545" s="1">
        <v>4</v>
      </c>
      <c r="F1545">
        <v>5</v>
      </c>
      <c r="G1545">
        <v>4</v>
      </c>
      <c r="H1545">
        <v>9.9999999999999995E-7</v>
      </c>
      <c r="I1545">
        <f t="shared" si="73"/>
        <v>4.5</v>
      </c>
      <c r="J1545">
        <v>10</v>
      </c>
      <c r="K1545" s="16">
        <f t="shared" si="71"/>
        <v>450000000</v>
      </c>
    </row>
    <row r="1546" spans="1:11">
      <c r="A1546">
        <v>1</v>
      </c>
      <c r="B1546" t="s">
        <v>8</v>
      </c>
      <c r="C1546">
        <v>68</v>
      </c>
      <c r="D1546" s="1" t="s">
        <v>16</v>
      </c>
      <c r="E1546" s="1">
        <v>5</v>
      </c>
      <c r="F1546">
        <v>7</v>
      </c>
      <c r="G1546">
        <v>6</v>
      </c>
      <c r="H1546">
        <v>9.9999999999999995E-7</v>
      </c>
      <c r="I1546">
        <f t="shared" si="73"/>
        <v>6.5</v>
      </c>
      <c r="J1546">
        <v>10</v>
      </c>
      <c r="K1546" s="16">
        <f t="shared" si="71"/>
        <v>650000000</v>
      </c>
    </row>
    <row r="1547" spans="1:11">
      <c r="A1547">
        <v>1</v>
      </c>
      <c r="B1547" t="s">
        <v>8</v>
      </c>
      <c r="C1547">
        <v>68</v>
      </c>
      <c r="D1547" s="1" t="s">
        <v>16</v>
      </c>
      <c r="E1547" s="1">
        <v>6</v>
      </c>
      <c r="F1547">
        <v>5</v>
      </c>
      <c r="G1547">
        <v>5</v>
      </c>
      <c r="H1547">
        <v>9.9999999999999995E-7</v>
      </c>
      <c r="I1547">
        <f t="shared" si="73"/>
        <v>5</v>
      </c>
      <c r="J1547">
        <v>10</v>
      </c>
      <c r="K1547" s="16">
        <f t="shared" si="71"/>
        <v>500000000</v>
      </c>
    </row>
    <row r="1548" spans="1:11">
      <c r="A1548">
        <v>1</v>
      </c>
      <c r="B1548" t="s">
        <v>8</v>
      </c>
      <c r="C1548">
        <v>68</v>
      </c>
      <c r="D1548" s="1" t="s">
        <v>16</v>
      </c>
      <c r="E1548" s="1">
        <v>7</v>
      </c>
      <c r="F1548">
        <v>2</v>
      </c>
      <c r="G1548">
        <v>1</v>
      </c>
      <c r="H1548">
        <v>9.9999999999999995E-7</v>
      </c>
      <c r="I1548">
        <f t="shared" si="73"/>
        <v>1.5</v>
      </c>
      <c r="J1548">
        <v>10</v>
      </c>
      <c r="K1548" s="16">
        <f t="shared" si="71"/>
        <v>150000000</v>
      </c>
    </row>
    <row r="1549" spans="1:11">
      <c r="A1549">
        <v>1</v>
      </c>
      <c r="B1549" t="s">
        <v>8</v>
      </c>
      <c r="C1549">
        <v>68</v>
      </c>
      <c r="D1549" s="1" t="s">
        <v>16</v>
      </c>
      <c r="E1549" s="1">
        <v>8</v>
      </c>
      <c r="F1549">
        <v>2</v>
      </c>
      <c r="G1549">
        <v>4</v>
      </c>
      <c r="H1549">
        <v>9.9999999999999995E-7</v>
      </c>
      <c r="I1549">
        <f t="shared" si="73"/>
        <v>3</v>
      </c>
      <c r="J1549">
        <v>10</v>
      </c>
      <c r="K1549" s="16">
        <f t="shared" si="71"/>
        <v>300000000</v>
      </c>
    </row>
    <row r="1550" spans="1:11">
      <c r="A1550">
        <v>1</v>
      </c>
      <c r="B1550" t="s">
        <v>8</v>
      </c>
      <c r="C1550">
        <v>68</v>
      </c>
      <c r="D1550" s="1" t="s">
        <v>16</v>
      </c>
      <c r="E1550" s="1">
        <v>9</v>
      </c>
      <c r="F1550">
        <v>2</v>
      </c>
      <c r="G1550">
        <v>3</v>
      </c>
      <c r="H1550">
        <v>9.9999999999999995E-7</v>
      </c>
      <c r="I1550">
        <f t="shared" si="73"/>
        <v>2.5</v>
      </c>
      <c r="J1550">
        <v>10</v>
      </c>
      <c r="K1550" s="16">
        <f t="shared" si="71"/>
        <v>250000000</v>
      </c>
    </row>
    <row r="1551" spans="1:11">
      <c r="A1551">
        <v>1</v>
      </c>
      <c r="B1551" t="s">
        <v>8</v>
      </c>
      <c r="C1551">
        <v>68</v>
      </c>
      <c r="D1551" s="1" t="s">
        <v>16</v>
      </c>
      <c r="E1551" s="1">
        <v>10</v>
      </c>
      <c r="F1551">
        <v>5</v>
      </c>
      <c r="G1551">
        <v>7</v>
      </c>
      <c r="H1551">
        <v>9.9999999999999995E-7</v>
      </c>
      <c r="I1551">
        <f t="shared" si="73"/>
        <v>6</v>
      </c>
      <c r="J1551">
        <v>10</v>
      </c>
      <c r="K1551" s="16">
        <f t="shared" si="71"/>
        <v>600000000</v>
      </c>
    </row>
    <row r="1552" spans="1:11">
      <c r="A1552">
        <v>1</v>
      </c>
      <c r="B1552" t="s">
        <v>8</v>
      </c>
      <c r="C1552">
        <v>68.5</v>
      </c>
      <c r="D1552" s="1" t="s">
        <v>16</v>
      </c>
      <c r="E1552" s="1">
        <v>1</v>
      </c>
      <c r="F1552">
        <v>2</v>
      </c>
      <c r="G1552">
        <v>2</v>
      </c>
      <c r="H1552">
        <v>9.9999999999999995E-7</v>
      </c>
      <c r="I1552">
        <f t="shared" si="73"/>
        <v>2</v>
      </c>
      <c r="J1552">
        <v>10</v>
      </c>
      <c r="K1552" s="16">
        <f t="shared" si="71"/>
        <v>200000000</v>
      </c>
    </row>
    <row r="1553" spans="1:11">
      <c r="A1553">
        <v>1</v>
      </c>
      <c r="B1553" t="s">
        <v>8</v>
      </c>
      <c r="C1553">
        <v>68.5</v>
      </c>
      <c r="D1553" s="1" t="s">
        <v>16</v>
      </c>
      <c r="E1553" s="1">
        <v>2</v>
      </c>
      <c r="F1553">
        <v>6</v>
      </c>
      <c r="G1553">
        <v>1</v>
      </c>
      <c r="H1553">
        <v>9.9999999999999995E-7</v>
      </c>
      <c r="I1553">
        <f t="shared" si="73"/>
        <v>3.5</v>
      </c>
      <c r="J1553">
        <v>10</v>
      </c>
      <c r="K1553" s="16">
        <f t="shared" si="71"/>
        <v>350000000</v>
      </c>
    </row>
    <row r="1554" spans="1:11">
      <c r="A1554">
        <v>1</v>
      </c>
      <c r="B1554" t="s">
        <v>8</v>
      </c>
      <c r="C1554">
        <v>68.5</v>
      </c>
      <c r="D1554" s="1" t="s">
        <v>16</v>
      </c>
      <c r="E1554" s="1">
        <v>3</v>
      </c>
      <c r="F1554">
        <v>3</v>
      </c>
      <c r="G1554">
        <v>4</v>
      </c>
      <c r="H1554">
        <v>9.9999999999999995E-7</v>
      </c>
      <c r="I1554">
        <f t="shared" si="73"/>
        <v>3.5</v>
      </c>
      <c r="J1554">
        <v>10</v>
      </c>
      <c r="K1554" s="16">
        <f t="shared" si="71"/>
        <v>350000000</v>
      </c>
    </row>
    <row r="1555" spans="1:11">
      <c r="A1555">
        <v>1</v>
      </c>
      <c r="B1555" t="s">
        <v>8</v>
      </c>
      <c r="C1555">
        <v>68.5</v>
      </c>
      <c r="D1555" s="1" t="s">
        <v>16</v>
      </c>
      <c r="E1555" s="1">
        <v>4</v>
      </c>
      <c r="F1555" s="5">
        <v>20</v>
      </c>
      <c r="G1555">
        <v>18</v>
      </c>
      <c r="H1555">
        <v>1.0000000000000001E-5</v>
      </c>
      <c r="I1555">
        <f t="shared" si="73"/>
        <v>19</v>
      </c>
      <c r="J1555">
        <v>10</v>
      </c>
      <c r="K1555" s="16">
        <f t="shared" ref="K1555:K1618" si="74">I1555/(H1555*(J1555/1000))</f>
        <v>189999999.99999997</v>
      </c>
    </row>
    <row r="1556" spans="1:11">
      <c r="A1556">
        <v>1</v>
      </c>
      <c r="B1556" t="s">
        <v>8</v>
      </c>
      <c r="C1556">
        <v>68.5</v>
      </c>
      <c r="D1556" s="1" t="s">
        <v>16</v>
      </c>
      <c r="E1556" s="1">
        <v>5</v>
      </c>
      <c r="F1556">
        <v>16</v>
      </c>
      <c r="G1556">
        <v>16</v>
      </c>
      <c r="H1556">
        <v>1.0000000000000001E-5</v>
      </c>
      <c r="I1556">
        <f t="shared" si="73"/>
        <v>16</v>
      </c>
      <c r="J1556">
        <v>10</v>
      </c>
      <c r="K1556" s="16">
        <f t="shared" si="74"/>
        <v>160000000</v>
      </c>
    </row>
    <row r="1557" spans="1:11">
      <c r="A1557">
        <v>1</v>
      </c>
      <c r="B1557" t="s">
        <v>8</v>
      </c>
      <c r="C1557">
        <v>68.5</v>
      </c>
      <c r="D1557" s="1" t="s">
        <v>16</v>
      </c>
      <c r="E1557" s="1">
        <v>6</v>
      </c>
      <c r="F1557">
        <v>3</v>
      </c>
      <c r="G1557">
        <v>1</v>
      </c>
      <c r="H1557">
        <v>9.9999999999999995E-7</v>
      </c>
      <c r="I1557">
        <f t="shared" si="73"/>
        <v>2</v>
      </c>
      <c r="J1557">
        <v>10</v>
      </c>
      <c r="K1557" s="16">
        <f t="shared" si="74"/>
        <v>200000000</v>
      </c>
    </row>
    <row r="1558" spans="1:11">
      <c r="A1558">
        <v>1</v>
      </c>
      <c r="B1558" t="s">
        <v>8</v>
      </c>
      <c r="C1558">
        <v>68.5</v>
      </c>
      <c r="D1558" s="1" t="s">
        <v>16</v>
      </c>
      <c r="E1558" s="1">
        <v>7</v>
      </c>
      <c r="F1558">
        <v>3</v>
      </c>
      <c r="G1558">
        <v>4</v>
      </c>
      <c r="H1558">
        <v>1.0000000000000001E-5</v>
      </c>
      <c r="I1558">
        <f t="shared" si="73"/>
        <v>3.5</v>
      </c>
      <c r="J1558">
        <v>10</v>
      </c>
      <c r="K1558" s="16">
        <f t="shared" si="74"/>
        <v>35000000</v>
      </c>
    </row>
    <row r="1559" spans="1:11">
      <c r="A1559">
        <v>1</v>
      </c>
      <c r="B1559" t="s">
        <v>8</v>
      </c>
      <c r="C1559">
        <v>68.5</v>
      </c>
      <c r="D1559" s="1" t="s">
        <v>16</v>
      </c>
      <c r="E1559" s="1">
        <v>8</v>
      </c>
      <c r="F1559">
        <v>5</v>
      </c>
      <c r="G1559">
        <v>3</v>
      </c>
      <c r="H1559">
        <v>1.0000000000000001E-5</v>
      </c>
      <c r="I1559">
        <f t="shared" si="73"/>
        <v>4</v>
      </c>
      <c r="J1559">
        <v>10</v>
      </c>
      <c r="K1559" s="16">
        <f t="shared" si="74"/>
        <v>40000000</v>
      </c>
    </row>
    <row r="1560" spans="1:11">
      <c r="A1560">
        <v>1</v>
      </c>
      <c r="B1560" t="s">
        <v>8</v>
      </c>
      <c r="C1560">
        <v>68.5</v>
      </c>
      <c r="D1560" s="1" t="s">
        <v>16</v>
      </c>
      <c r="E1560" s="1">
        <v>9</v>
      </c>
      <c r="F1560">
        <v>12</v>
      </c>
      <c r="G1560">
        <v>11</v>
      </c>
      <c r="H1560">
        <v>1.0000000000000001E-5</v>
      </c>
      <c r="I1560">
        <f t="shared" si="73"/>
        <v>11.5</v>
      </c>
      <c r="J1560">
        <v>10</v>
      </c>
      <c r="K1560" s="16">
        <f t="shared" si="74"/>
        <v>114999999.99999999</v>
      </c>
    </row>
    <row r="1561" spans="1:11">
      <c r="A1561">
        <v>1</v>
      </c>
      <c r="B1561" t="s">
        <v>8</v>
      </c>
      <c r="C1561">
        <v>68.5</v>
      </c>
      <c r="D1561" s="1" t="s">
        <v>16</v>
      </c>
      <c r="E1561" s="1">
        <v>10</v>
      </c>
      <c r="F1561">
        <v>9</v>
      </c>
      <c r="G1561">
        <v>9</v>
      </c>
      <c r="H1561">
        <v>1.0000000000000001E-5</v>
      </c>
      <c r="I1561">
        <f t="shared" si="73"/>
        <v>9</v>
      </c>
      <c r="J1561">
        <v>10</v>
      </c>
      <c r="K1561" s="16">
        <f t="shared" si="74"/>
        <v>89999999.999999985</v>
      </c>
    </row>
    <row r="1562" spans="1:11">
      <c r="A1562">
        <v>1</v>
      </c>
      <c r="B1562" t="s">
        <v>8</v>
      </c>
      <c r="C1562">
        <v>69</v>
      </c>
      <c r="D1562" s="1" t="s">
        <v>16</v>
      </c>
      <c r="E1562" s="1">
        <v>1</v>
      </c>
      <c r="F1562">
        <v>2</v>
      </c>
      <c r="G1562">
        <v>1</v>
      </c>
      <c r="H1562">
        <v>9.9999999999999995E-7</v>
      </c>
      <c r="I1562">
        <f t="shared" si="73"/>
        <v>1.5</v>
      </c>
      <c r="J1562">
        <v>10</v>
      </c>
      <c r="K1562" s="16">
        <f t="shared" si="74"/>
        <v>150000000</v>
      </c>
    </row>
    <row r="1563" spans="1:11">
      <c r="A1563">
        <v>1</v>
      </c>
      <c r="B1563" t="s">
        <v>8</v>
      </c>
      <c r="C1563">
        <v>69</v>
      </c>
      <c r="D1563" s="1" t="s">
        <v>16</v>
      </c>
      <c r="E1563" s="1">
        <v>2</v>
      </c>
      <c r="F1563">
        <v>3</v>
      </c>
      <c r="G1563">
        <v>5</v>
      </c>
      <c r="H1563">
        <v>9.9999999999999995E-7</v>
      </c>
      <c r="I1563">
        <f t="shared" si="73"/>
        <v>4</v>
      </c>
      <c r="J1563">
        <v>10</v>
      </c>
      <c r="K1563" s="16">
        <f t="shared" si="74"/>
        <v>400000000</v>
      </c>
    </row>
    <row r="1564" spans="1:11">
      <c r="A1564">
        <v>1</v>
      </c>
      <c r="B1564" t="s">
        <v>8</v>
      </c>
      <c r="C1564">
        <v>69</v>
      </c>
      <c r="D1564" s="1" t="s">
        <v>16</v>
      </c>
      <c r="E1564" s="1">
        <v>3</v>
      </c>
      <c r="F1564">
        <v>8</v>
      </c>
      <c r="G1564">
        <v>4</v>
      </c>
      <c r="H1564">
        <v>9.9999999999999995E-7</v>
      </c>
      <c r="I1564">
        <f t="shared" si="73"/>
        <v>6</v>
      </c>
      <c r="J1564">
        <v>10</v>
      </c>
      <c r="K1564" s="16">
        <f t="shared" si="74"/>
        <v>600000000</v>
      </c>
    </row>
    <row r="1565" spans="1:11">
      <c r="A1565">
        <v>1</v>
      </c>
      <c r="B1565" t="s">
        <v>8</v>
      </c>
      <c r="C1565">
        <v>69</v>
      </c>
      <c r="D1565" s="1" t="s">
        <v>16</v>
      </c>
      <c r="E1565" s="1">
        <v>4</v>
      </c>
      <c r="F1565">
        <v>7</v>
      </c>
      <c r="G1565">
        <v>4</v>
      </c>
      <c r="H1565">
        <v>9.9999999999999995E-7</v>
      </c>
      <c r="I1565">
        <f t="shared" si="73"/>
        <v>5.5</v>
      </c>
      <c r="J1565">
        <v>10</v>
      </c>
      <c r="K1565" s="16">
        <f t="shared" si="74"/>
        <v>550000000</v>
      </c>
    </row>
    <row r="1566" spans="1:11">
      <c r="A1566">
        <v>1</v>
      </c>
      <c r="B1566" t="s">
        <v>8</v>
      </c>
      <c r="C1566">
        <v>69</v>
      </c>
      <c r="D1566" s="1" t="s">
        <v>16</v>
      </c>
      <c r="E1566" s="1">
        <v>5</v>
      </c>
      <c r="F1566">
        <v>5</v>
      </c>
      <c r="G1566">
        <v>1</v>
      </c>
      <c r="H1566">
        <v>9.9999999999999995E-7</v>
      </c>
      <c r="I1566">
        <f t="shared" si="73"/>
        <v>3</v>
      </c>
      <c r="J1566">
        <v>10</v>
      </c>
      <c r="K1566" s="16">
        <f t="shared" si="74"/>
        <v>300000000</v>
      </c>
    </row>
    <row r="1567" spans="1:11">
      <c r="A1567">
        <v>1</v>
      </c>
      <c r="B1567" t="s">
        <v>8</v>
      </c>
      <c r="C1567">
        <v>69</v>
      </c>
      <c r="D1567" s="1" t="s">
        <v>16</v>
      </c>
      <c r="E1567" s="1">
        <v>6</v>
      </c>
      <c r="F1567">
        <v>4</v>
      </c>
      <c r="G1567">
        <v>5</v>
      </c>
      <c r="H1567">
        <v>9.9999999999999995E-7</v>
      </c>
      <c r="I1567">
        <f t="shared" si="73"/>
        <v>4.5</v>
      </c>
      <c r="J1567">
        <v>10</v>
      </c>
      <c r="K1567" s="16">
        <f t="shared" si="74"/>
        <v>450000000</v>
      </c>
    </row>
    <row r="1568" spans="1:11">
      <c r="A1568">
        <v>1</v>
      </c>
      <c r="B1568" t="s">
        <v>8</v>
      </c>
      <c r="C1568">
        <v>69</v>
      </c>
      <c r="D1568" s="1" t="s">
        <v>16</v>
      </c>
      <c r="E1568" s="1">
        <v>7</v>
      </c>
      <c r="F1568">
        <v>8</v>
      </c>
      <c r="G1568">
        <v>3</v>
      </c>
      <c r="H1568">
        <v>9.9999999999999995E-7</v>
      </c>
      <c r="I1568">
        <f t="shared" si="73"/>
        <v>5.5</v>
      </c>
      <c r="J1568">
        <v>10</v>
      </c>
      <c r="K1568" s="16">
        <f t="shared" si="74"/>
        <v>550000000</v>
      </c>
    </row>
    <row r="1569" spans="1:11">
      <c r="A1569">
        <v>1</v>
      </c>
      <c r="B1569" t="s">
        <v>8</v>
      </c>
      <c r="C1569">
        <v>69</v>
      </c>
      <c r="D1569" s="1" t="s">
        <v>16</v>
      </c>
      <c r="E1569" s="1">
        <v>8</v>
      </c>
      <c r="F1569">
        <v>4</v>
      </c>
      <c r="G1569">
        <v>1</v>
      </c>
      <c r="H1569">
        <v>9.9999999999999995E-7</v>
      </c>
      <c r="I1569">
        <f t="shared" si="73"/>
        <v>2.5</v>
      </c>
      <c r="J1569">
        <v>10</v>
      </c>
      <c r="K1569" s="16">
        <f t="shared" si="74"/>
        <v>250000000</v>
      </c>
    </row>
    <row r="1570" spans="1:11">
      <c r="A1570">
        <v>1</v>
      </c>
      <c r="B1570" t="s">
        <v>8</v>
      </c>
      <c r="C1570">
        <v>69</v>
      </c>
      <c r="D1570" s="1" t="s">
        <v>16</v>
      </c>
      <c r="E1570" s="1">
        <v>9</v>
      </c>
      <c r="F1570">
        <v>8</v>
      </c>
      <c r="G1570">
        <v>7</v>
      </c>
      <c r="H1570">
        <v>9.9999999999999995E-7</v>
      </c>
      <c r="I1570">
        <f t="shared" si="73"/>
        <v>7.5</v>
      </c>
      <c r="J1570">
        <v>10</v>
      </c>
      <c r="K1570" s="16">
        <f t="shared" si="74"/>
        <v>750000000</v>
      </c>
    </row>
    <row r="1571" spans="1:11">
      <c r="A1571">
        <v>1</v>
      </c>
      <c r="B1571" t="s">
        <v>8</v>
      </c>
      <c r="C1571">
        <v>69</v>
      </c>
      <c r="D1571" s="1" t="s">
        <v>16</v>
      </c>
      <c r="E1571" s="1">
        <v>10</v>
      </c>
      <c r="F1571">
        <v>4</v>
      </c>
      <c r="G1571">
        <v>1</v>
      </c>
      <c r="H1571">
        <v>9.9999999999999995E-7</v>
      </c>
      <c r="I1571">
        <f t="shared" si="73"/>
        <v>2.5</v>
      </c>
      <c r="J1571">
        <v>10</v>
      </c>
      <c r="K1571" s="16">
        <f t="shared" si="74"/>
        <v>250000000</v>
      </c>
    </row>
    <row r="1572" spans="1:11">
      <c r="A1572">
        <v>1</v>
      </c>
      <c r="B1572" t="s">
        <v>8</v>
      </c>
      <c r="C1572">
        <v>69.5</v>
      </c>
      <c r="D1572" s="1" t="s">
        <v>16</v>
      </c>
      <c r="E1572" s="1">
        <v>1</v>
      </c>
      <c r="F1572">
        <v>5</v>
      </c>
      <c r="G1572">
        <v>8</v>
      </c>
      <c r="H1572">
        <v>1.0000000000000001E-5</v>
      </c>
      <c r="I1572">
        <f t="shared" ref="I1572:I1602" si="75">AVERAGE(F1572:G1572)</f>
        <v>6.5</v>
      </c>
      <c r="J1572">
        <v>10</v>
      </c>
      <c r="K1572" s="16">
        <f t="shared" si="74"/>
        <v>64999999.999999993</v>
      </c>
    </row>
    <row r="1573" spans="1:11">
      <c r="A1573">
        <v>1</v>
      </c>
      <c r="B1573" t="s">
        <v>8</v>
      </c>
      <c r="C1573">
        <v>69.5</v>
      </c>
      <c r="D1573" s="1" t="s">
        <v>16</v>
      </c>
      <c r="E1573" s="1">
        <v>2</v>
      </c>
      <c r="F1573">
        <v>3</v>
      </c>
      <c r="G1573">
        <v>2</v>
      </c>
      <c r="H1573">
        <v>9.9999999999999995E-7</v>
      </c>
      <c r="I1573">
        <f t="shared" si="75"/>
        <v>2.5</v>
      </c>
      <c r="J1573">
        <v>10</v>
      </c>
      <c r="K1573" s="16">
        <f t="shared" si="74"/>
        <v>250000000</v>
      </c>
    </row>
    <row r="1574" spans="1:11">
      <c r="A1574">
        <v>1</v>
      </c>
      <c r="B1574" t="s">
        <v>8</v>
      </c>
      <c r="C1574">
        <v>69.5</v>
      </c>
      <c r="D1574" s="1" t="s">
        <v>16</v>
      </c>
      <c r="E1574" s="1">
        <v>3</v>
      </c>
      <c r="F1574">
        <v>7</v>
      </c>
      <c r="G1574">
        <v>10</v>
      </c>
      <c r="H1574">
        <v>1.0000000000000001E-5</v>
      </c>
      <c r="I1574">
        <f t="shared" si="75"/>
        <v>8.5</v>
      </c>
      <c r="J1574">
        <v>10</v>
      </c>
      <c r="K1574" s="16">
        <f t="shared" si="74"/>
        <v>85000000</v>
      </c>
    </row>
    <row r="1575" spans="1:11">
      <c r="A1575">
        <v>1</v>
      </c>
      <c r="B1575" t="s">
        <v>8</v>
      </c>
      <c r="C1575">
        <v>69.5</v>
      </c>
      <c r="D1575" s="1" t="s">
        <v>16</v>
      </c>
      <c r="E1575" s="1">
        <v>4</v>
      </c>
      <c r="F1575" s="5">
        <v>2</v>
      </c>
      <c r="G1575">
        <v>3</v>
      </c>
      <c r="H1575">
        <v>9.9999999999999995E-7</v>
      </c>
      <c r="I1575">
        <f t="shared" si="75"/>
        <v>2.5</v>
      </c>
      <c r="J1575">
        <v>10</v>
      </c>
      <c r="K1575" s="16">
        <f t="shared" si="74"/>
        <v>250000000</v>
      </c>
    </row>
    <row r="1576" spans="1:11">
      <c r="A1576">
        <v>1</v>
      </c>
      <c r="B1576" t="s">
        <v>8</v>
      </c>
      <c r="C1576">
        <v>69.5</v>
      </c>
      <c r="D1576" s="1" t="s">
        <v>16</v>
      </c>
      <c r="E1576" s="1">
        <v>5</v>
      </c>
      <c r="F1576">
        <v>7</v>
      </c>
      <c r="G1576">
        <v>9</v>
      </c>
      <c r="H1576">
        <v>1.0000000000000001E-5</v>
      </c>
      <c r="I1576">
        <f t="shared" si="75"/>
        <v>8</v>
      </c>
      <c r="J1576">
        <v>10</v>
      </c>
      <c r="K1576" s="16">
        <f t="shared" si="74"/>
        <v>80000000</v>
      </c>
    </row>
    <row r="1577" spans="1:11">
      <c r="A1577">
        <v>1</v>
      </c>
      <c r="B1577" t="s">
        <v>8</v>
      </c>
      <c r="C1577">
        <v>69.5</v>
      </c>
      <c r="D1577" s="1" t="s">
        <v>16</v>
      </c>
      <c r="E1577" s="1">
        <v>6</v>
      </c>
      <c r="F1577">
        <v>13</v>
      </c>
      <c r="G1577">
        <v>9</v>
      </c>
      <c r="H1577">
        <v>1E-4</v>
      </c>
      <c r="I1577">
        <f t="shared" si="75"/>
        <v>11</v>
      </c>
      <c r="J1577">
        <v>10</v>
      </c>
      <c r="K1577" s="16">
        <f t="shared" si="74"/>
        <v>10999999.999999998</v>
      </c>
    </row>
    <row r="1578" spans="1:11">
      <c r="A1578">
        <v>1</v>
      </c>
      <c r="B1578" t="s">
        <v>8</v>
      </c>
      <c r="C1578">
        <v>69.5</v>
      </c>
      <c r="D1578" s="1" t="s">
        <v>16</v>
      </c>
      <c r="E1578" s="1">
        <v>7</v>
      </c>
      <c r="F1578">
        <v>7</v>
      </c>
      <c r="G1578">
        <v>8</v>
      </c>
      <c r="H1578">
        <v>1.0000000000000001E-5</v>
      </c>
      <c r="I1578">
        <f t="shared" si="75"/>
        <v>7.5</v>
      </c>
      <c r="J1578">
        <v>10</v>
      </c>
      <c r="K1578" s="16">
        <f t="shared" si="74"/>
        <v>75000000</v>
      </c>
    </row>
    <row r="1579" spans="1:11">
      <c r="A1579">
        <v>1</v>
      </c>
      <c r="B1579" t="s">
        <v>8</v>
      </c>
      <c r="C1579">
        <v>69.5</v>
      </c>
      <c r="D1579" s="1" t="s">
        <v>16</v>
      </c>
      <c r="E1579" s="1">
        <v>8</v>
      </c>
      <c r="F1579">
        <v>6</v>
      </c>
      <c r="G1579">
        <v>6</v>
      </c>
      <c r="H1579">
        <v>1.0000000000000001E-5</v>
      </c>
      <c r="I1579">
        <f t="shared" si="75"/>
        <v>6</v>
      </c>
      <c r="J1579">
        <v>10</v>
      </c>
      <c r="K1579" s="16">
        <f t="shared" si="74"/>
        <v>59999999.999999993</v>
      </c>
    </row>
    <row r="1580" spans="1:11">
      <c r="A1580">
        <v>1</v>
      </c>
      <c r="B1580" t="s">
        <v>8</v>
      </c>
      <c r="C1580">
        <v>69.5</v>
      </c>
      <c r="D1580" s="1" t="s">
        <v>16</v>
      </c>
      <c r="E1580" s="1">
        <v>9</v>
      </c>
      <c r="F1580">
        <v>1</v>
      </c>
      <c r="G1580">
        <v>1</v>
      </c>
      <c r="H1580">
        <v>1.0000000000000001E-5</v>
      </c>
      <c r="I1580">
        <f t="shared" si="75"/>
        <v>1</v>
      </c>
      <c r="J1580">
        <v>10</v>
      </c>
      <c r="K1580" s="16">
        <f t="shared" si="74"/>
        <v>10000000</v>
      </c>
    </row>
    <row r="1581" spans="1:11">
      <c r="A1581">
        <v>1</v>
      </c>
      <c r="B1581" t="s">
        <v>8</v>
      </c>
      <c r="C1581">
        <v>69.5</v>
      </c>
      <c r="D1581" s="1" t="s">
        <v>16</v>
      </c>
      <c r="E1581" s="1">
        <v>10</v>
      </c>
      <c r="F1581">
        <v>3</v>
      </c>
      <c r="G1581">
        <v>3</v>
      </c>
      <c r="H1581">
        <v>1.0000000000000001E-5</v>
      </c>
      <c r="I1581">
        <f t="shared" si="75"/>
        <v>3</v>
      </c>
      <c r="J1581">
        <v>10</v>
      </c>
      <c r="K1581" s="16">
        <f t="shared" si="74"/>
        <v>29999999.999999996</v>
      </c>
    </row>
    <row r="1582" spans="1:11">
      <c r="A1582">
        <v>1</v>
      </c>
      <c r="B1582" t="s">
        <v>8</v>
      </c>
      <c r="C1582">
        <v>70</v>
      </c>
      <c r="D1582" s="1" t="s">
        <v>16</v>
      </c>
      <c r="E1582" s="1">
        <v>1</v>
      </c>
      <c r="F1582">
        <v>4</v>
      </c>
      <c r="G1582">
        <v>3</v>
      </c>
      <c r="H1582">
        <v>9.9999999999999995E-7</v>
      </c>
      <c r="I1582">
        <f t="shared" si="75"/>
        <v>3.5</v>
      </c>
      <c r="J1582">
        <v>10</v>
      </c>
      <c r="K1582" s="16">
        <f t="shared" si="74"/>
        <v>350000000</v>
      </c>
    </row>
    <row r="1583" spans="1:11">
      <c r="A1583">
        <v>1</v>
      </c>
      <c r="B1583" t="s">
        <v>8</v>
      </c>
      <c r="C1583">
        <v>70</v>
      </c>
      <c r="D1583" s="1" t="s">
        <v>16</v>
      </c>
      <c r="E1583" s="1">
        <v>2</v>
      </c>
      <c r="F1583">
        <v>2</v>
      </c>
      <c r="G1583">
        <v>3</v>
      </c>
      <c r="H1583">
        <v>9.9999999999999995E-7</v>
      </c>
      <c r="I1583">
        <f t="shared" si="75"/>
        <v>2.5</v>
      </c>
      <c r="J1583">
        <v>10</v>
      </c>
      <c r="K1583" s="16">
        <f t="shared" si="74"/>
        <v>250000000</v>
      </c>
    </row>
    <row r="1584" spans="1:11">
      <c r="A1584">
        <v>1</v>
      </c>
      <c r="B1584" t="s">
        <v>8</v>
      </c>
      <c r="C1584">
        <v>70</v>
      </c>
      <c r="D1584" s="1" t="s">
        <v>16</v>
      </c>
      <c r="E1584" s="1">
        <v>3</v>
      </c>
      <c r="F1584">
        <v>3</v>
      </c>
      <c r="G1584">
        <v>4</v>
      </c>
      <c r="H1584">
        <v>9.9999999999999995E-7</v>
      </c>
      <c r="I1584">
        <f t="shared" si="75"/>
        <v>3.5</v>
      </c>
      <c r="J1584">
        <v>10</v>
      </c>
      <c r="K1584" s="16">
        <f t="shared" si="74"/>
        <v>350000000</v>
      </c>
    </row>
    <row r="1585" spans="1:11">
      <c r="A1585">
        <v>1</v>
      </c>
      <c r="B1585" t="s">
        <v>8</v>
      </c>
      <c r="C1585">
        <v>70</v>
      </c>
      <c r="D1585" s="1" t="s">
        <v>16</v>
      </c>
      <c r="E1585" s="1">
        <v>4</v>
      </c>
      <c r="F1585">
        <v>1</v>
      </c>
      <c r="G1585">
        <v>2</v>
      </c>
      <c r="H1585">
        <v>9.9999999999999995E-7</v>
      </c>
      <c r="I1585">
        <f t="shared" si="75"/>
        <v>1.5</v>
      </c>
      <c r="J1585">
        <v>10</v>
      </c>
      <c r="K1585" s="16">
        <f t="shared" si="74"/>
        <v>150000000</v>
      </c>
    </row>
    <row r="1586" spans="1:11">
      <c r="A1586">
        <v>1</v>
      </c>
      <c r="B1586" t="s">
        <v>8</v>
      </c>
      <c r="C1586">
        <v>70</v>
      </c>
      <c r="D1586" s="1" t="s">
        <v>16</v>
      </c>
      <c r="E1586" s="1">
        <v>5</v>
      </c>
      <c r="F1586">
        <v>2</v>
      </c>
      <c r="G1586">
        <v>4</v>
      </c>
      <c r="H1586">
        <v>9.9999999999999995E-7</v>
      </c>
      <c r="I1586">
        <f t="shared" si="75"/>
        <v>3</v>
      </c>
      <c r="J1586">
        <v>10</v>
      </c>
      <c r="K1586" s="16">
        <f t="shared" si="74"/>
        <v>300000000</v>
      </c>
    </row>
    <row r="1587" spans="1:11">
      <c r="A1587">
        <v>1</v>
      </c>
      <c r="B1587" t="s">
        <v>8</v>
      </c>
      <c r="C1587">
        <v>70</v>
      </c>
      <c r="D1587" s="1" t="s">
        <v>16</v>
      </c>
      <c r="E1587" s="1">
        <v>6</v>
      </c>
      <c r="F1587">
        <v>4</v>
      </c>
      <c r="G1587">
        <v>2</v>
      </c>
      <c r="H1587">
        <v>9.9999999999999995E-7</v>
      </c>
      <c r="I1587">
        <f t="shared" si="75"/>
        <v>3</v>
      </c>
      <c r="J1587">
        <v>10</v>
      </c>
      <c r="K1587" s="16">
        <f t="shared" si="74"/>
        <v>300000000</v>
      </c>
    </row>
    <row r="1588" spans="1:11">
      <c r="A1588">
        <v>1</v>
      </c>
      <c r="B1588" t="s">
        <v>8</v>
      </c>
      <c r="C1588">
        <v>70</v>
      </c>
      <c r="D1588" s="1" t="s">
        <v>16</v>
      </c>
      <c r="E1588" s="1">
        <v>7</v>
      </c>
      <c r="F1588">
        <v>1</v>
      </c>
      <c r="G1588">
        <v>3</v>
      </c>
      <c r="H1588">
        <v>9.9999999999999995E-7</v>
      </c>
      <c r="I1588">
        <f t="shared" si="75"/>
        <v>2</v>
      </c>
      <c r="J1588">
        <v>10</v>
      </c>
      <c r="K1588" s="16">
        <f t="shared" si="74"/>
        <v>200000000</v>
      </c>
    </row>
    <row r="1589" spans="1:11">
      <c r="A1589">
        <v>1</v>
      </c>
      <c r="B1589" t="s">
        <v>8</v>
      </c>
      <c r="C1589">
        <v>70</v>
      </c>
      <c r="D1589" s="1" t="s">
        <v>16</v>
      </c>
      <c r="E1589" s="1">
        <v>8</v>
      </c>
      <c r="F1589">
        <v>5</v>
      </c>
      <c r="G1589">
        <v>3</v>
      </c>
      <c r="H1589">
        <v>9.9999999999999995E-7</v>
      </c>
      <c r="I1589">
        <f t="shared" si="75"/>
        <v>4</v>
      </c>
      <c r="J1589">
        <v>10</v>
      </c>
      <c r="K1589" s="16">
        <f t="shared" si="74"/>
        <v>400000000</v>
      </c>
    </row>
    <row r="1590" spans="1:11">
      <c r="A1590">
        <v>1</v>
      </c>
      <c r="B1590" t="s">
        <v>8</v>
      </c>
      <c r="C1590">
        <v>70</v>
      </c>
      <c r="D1590" s="1" t="s">
        <v>16</v>
      </c>
      <c r="E1590" s="1">
        <v>9</v>
      </c>
      <c r="F1590">
        <v>4</v>
      </c>
      <c r="G1590">
        <v>6</v>
      </c>
      <c r="H1590">
        <v>9.9999999999999995E-7</v>
      </c>
      <c r="I1590">
        <f t="shared" si="75"/>
        <v>5</v>
      </c>
      <c r="J1590">
        <v>10</v>
      </c>
      <c r="K1590" s="16">
        <f t="shared" si="74"/>
        <v>500000000</v>
      </c>
    </row>
    <row r="1591" spans="1:11">
      <c r="A1591">
        <v>1</v>
      </c>
      <c r="B1591" t="s">
        <v>8</v>
      </c>
      <c r="C1591">
        <v>70</v>
      </c>
      <c r="D1591" s="1" t="s">
        <v>16</v>
      </c>
      <c r="E1591" s="1">
        <v>10</v>
      </c>
      <c r="F1591" s="5">
        <v>20</v>
      </c>
      <c r="G1591">
        <v>29</v>
      </c>
      <c r="H1591">
        <v>1.0000000000000001E-5</v>
      </c>
      <c r="I1591">
        <f t="shared" si="75"/>
        <v>24.5</v>
      </c>
      <c r="J1591">
        <v>10</v>
      </c>
      <c r="K1591" s="16">
        <f t="shared" si="74"/>
        <v>244999999.99999997</v>
      </c>
    </row>
    <row r="1592" spans="1:11">
      <c r="A1592">
        <v>1</v>
      </c>
      <c r="B1592" t="s">
        <v>8</v>
      </c>
      <c r="C1592">
        <v>70.5</v>
      </c>
      <c r="D1592" s="1" t="s">
        <v>16</v>
      </c>
      <c r="E1592" s="1">
        <v>1</v>
      </c>
      <c r="F1592">
        <v>1</v>
      </c>
      <c r="G1592">
        <v>1</v>
      </c>
      <c r="H1592">
        <v>9.9999999999999995E-7</v>
      </c>
      <c r="I1592">
        <f t="shared" si="75"/>
        <v>1</v>
      </c>
      <c r="J1592">
        <v>10</v>
      </c>
      <c r="K1592" s="16">
        <f t="shared" si="74"/>
        <v>100000000</v>
      </c>
    </row>
    <row r="1593" spans="1:11">
      <c r="A1593">
        <v>1</v>
      </c>
      <c r="B1593" t="s">
        <v>8</v>
      </c>
      <c r="C1593">
        <v>70.5</v>
      </c>
      <c r="D1593" s="1" t="s">
        <v>16</v>
      </c>
      <c r="E1593" s="1">
        <v>2</v>
      </c>
      <c r="F1593">
        <v>5</v>
      </c>
      <c r="G1593">
        <v>3</v>
      </c>
      <c r="H1593">
        <v>9.9999999999999995E-7</v>
      </c>
      <c r="I1593">
        <f t="shared" si="75"/>
        <v>4</v>
      </c>
      <c r="J1593">
        <v>10</v>
      </c>
      <c r="K1593" s="16">
        <f t="shared" si="74"/>
        <v>400000000</v>
      </c>
    </row>
    <row r="1594" spans="1:11">
      <c r="A1594">
        <v>1</v>
      </c>
      <c r="B1594" t="s">
        <v>8</v>
      </c>
      <c r="C1594">
        <v>70.5</v>
      </c>
      <c r="D1594" s="1" t="s">
        <v>16</v>
      </c>
      <c r="E1594" s="1">
        <v>3</v>
      </c>
      <c r="F1594">
        <v>4</v>
      </c>
      <c r="G1594">
        <v>2</v>
      </c>
      <c r="H1594">
        <v>9.9999999999999995E-7</v>
      </c>
      <c r="I1594">
        <f t="shared" si="75"/>
        <v>3</v>
      </c>
      <c r="J1594">
        <v>10</v>
      </c>
      <c r="K1594" s="16">
        <f t="shared" si="74"/>
        <v>300000000</v>
      </c>
    </row>
    <row r="1595" spans="1:11">
      <c r="A1595">
        <v>1</v>
      </c>
      <c r="B1595" t="s">
        <v>8</v>
      </c>
      <c r="C1595">
        <v>70.5</v>
      </c>
      <c r="D1595" s="1" t="s">
        <v>16</v>
      </c>
      <c r="E1595" s="1">
        <v>4</v>
      </c>
      <c r="F1595">
        <v>2</v>
      </c>
      <c r="G1595">
        <v>3</v>
      </c>
      <c r="H1595">
        <v>1.0000000000000001E-5</v>
      </c>
      <c r="I1595">
        <f t="shared" si="75"/>
        <v>2.5</v>
      </c>
      <c r="J1595">
        <v>10</v>
      </c>
      <c r="K1595" s="16">
        <f t="shared" si="74"/>
        <v>24999999.999999996</v>
      </c>
    </row>
    <row r="1596" spans="1:11">
      <c r="A1596">
        <v>1</v>
      </c>
      <c r="B1596" t="s">
        <v>8</v>
      </c>
      <c r="C1596">
        <v>70.5</v>
      </c>
      <c r="D1596" s="1" t="s">
        <v>16</v>
      </c>
      <c r="E1596" s="1">
        <v>5</v>
      </c>
      <c r="F1596">
        <v>6</v>
      </c>
      <c r="G1596">
        <v>8</v>
      </c>
      <c r="H1596">
        <v>1.0000000000000001E-5</v>
      </c>
      <c r="I1596">
        <f t="shared" si="75"/>
        <v>7</v>
      </c>
      <c r="J1596">
        <v>10</v>
      </c>
      <c r="K1596" s="16">
        <f t="shared" si="74"/>
        <v>70000000</v>
      </c>
    </row>
    <row r="1597" spans="1:11">
      <c r="A1597">
        <v>1</v>
      </c>
      <c r="B1597" t="s">
        <v>8</v>
      </c>
      <c r="C1597">
        <v>70.5</v>
      </c>
      <c r="D1597" s="1" t="s">
        <v>16</v>
      </c>
      <c r="E1597" s="1">
        <v>6</v>
      </c>
      <c r="F1597">
        <v>3</v>
      </c>
      <c r="G1597">
        <v>7</v>
      </c>
      <c r="H1597">
        <v>1.0000000000000001E-5</v>
      </c>
      <c r="I1597">
        <f t="shared" si="75"/>
        <v>5</v>
      </c>
      <c r="J1597">
        <v>10</v>
      </c>
      <c r="K1597" s="16">
        <f t="shared" si="74"/>
        <v>49999999.999999993</v>
      </c>
    </row>
    <row r="1598" spans="1:11">
      <c r="A1598">
        <v>1</v>
      </c>
      <c r="B1598" t="s">
        <v>8</v>
      </c>
      <c r="C1598">
        <v>70.5</v>
      </c>
      <c r="D1598" s="1" t="s">
        <v>16</v>
      </c>
      <c r="E1598" s="1">
        <v>7</v>
      </c>
      <c r="F1598">
        <v>11</v>
      </c>
      <c r="G1598">
        <v>10</v>
      </c>
      <c r="H1598">
        <v>1.0000000000000001E-5</v>
      </c>
      <c r="I1598">
        <f t="shared" si="75"/>
        <v>10.5</v>
      </c>
      <c r="J1598">
        <v>10</v>
      </c>
      <c r="K1598" s="16">
        <f t="shared" si="74"/>
        <v>104999999.99999999</v>
      </c>
    </row>
    <row r="1599" spans="1:11">
      <c r="A1599">
        <v>1</v>
      </c>
      <c r="B1599" t="s">
        <v>8</v>
      </c>
      <c r="C1599">
        <v>70.5</v>
      </c>
      <c r="D1599" s="1" t="s">
        <v>16</v>
      </c>
      <c r="E1599" s="1">
        <v>8</v>
      </c>
      <c r="F1599">
        <v>13</v>
      </c>
      <c r="G1599">
        <v>6</v>
      </c>
      <c r="H1599">
        <v>1.0000000000000001E-5</v>
      </c>
      <c r="I1599">
        <f t="shared" si="75"/>
        <v>9.5</v>
      </c>
      <c r="J1599">
        <v>10</v>
      </c>
      <c r="K1599" s="16">
        <f t="shared" si="74"/>
        <v>94999999.999999985</v>
      </c>
    </row>
    <row r="1600" spans="1:11">
      <c r="A1600">
        <v>1</v>
      </c>
      <c r="B1600" t="s">
        <v>8</v>
      </c>
      <c r="C1600">
        <v>70.5</v>
      </c>
      <c r="D1600" s="1" t="s">
        <v>16</v>
      </c>
      <c r="E1600" s="1">
        <v>9</v>
      </c>
      <c r="F1600">
        <v>6</v>
      </c>
      <c r="G1600">
        <v>4</v>
      </c>
      <c r="H1600">
        <v>1.0000000000000001E-5</v>
      </c>
      <c r="I1600">
        <f t="shared" si="75"/>
        <v>5</v>
      </c>
      <c r="J1600">
        <v>10</v>
      </c>
      <c r="K1600" s="16">
        <f t="shared" si="74"/>
        <v>49999999.999999993</v>
      </c>
    </row>
    <row r="1601" spans="1:11">
      <c r="A1601">
        <v>1</v>
      </c>
      <c r="B1601" t="s">
        <v>8</v>
      </c>
      <c r="C1601">
        <v>70.5</v>
      </c>
      <c r="D1601" s="1" t="s">
        <v>16</v>
      </c>
      <c r="E1601" s="1">
        <v>10</v>
      </c>
      <c r="F1601">
        <v>7</v>
      </c>
      <c r="G1601">
        <v>7</v>
      </c>
      <c r="H1601">
        <v>1.0000000000000001E-5</v>
      </c>
      <c r="I1601">
        <f t="shared" si="75"/>
        <v>7</v>
      </c>
      <c r="J1601">
        <v>10</v>
      </c>
      <c r="K1601" s="16">
        <f t="shared" si="74"/>
        <v>70000000</v>
      </c>
    </row>
    <row r="1602" spans="1:11">
      <c r="A1602">
        <v>1</v>
      </c>
      <c r="B1602" t="s">
        <v>8</v>
      </c>
      <c r="C1602">
        <v>71</v>
      </c>
      <c r="D1602" s="1" t="s">
        <v>16</v>
      </c>
      <c r="E1602" s="1">
        <v>1</v>
      </c>
      <c r="F1602">
        <v>2</v>
      </c>
      <c r="G1602">
        <v>2</v>
      </c>
      <c r="H1602">
        <v>9.9999999999999995E-7</v>
      </c>
      <c r="I1602">
        <f t="shared" si="75"/>
        <v>2</v>
      </c>
      <c r="J1602">
        <v>10</v>
      </c>
      <c r="K1602" s="16">
        <f t="shared" si="74"/>
        <v>200000000</v>
      </c>
    </row>
    <row r="1603" spans="1:11">
      <c r="A1603">
        <v>1</v>
      </c>
      <c r="B1603" t="s">
        <v>8</v>
      </c>
      <c r="C1603">
        <v>71</v>
      </c>
      <c r="D1603" s="1" t="s">
        <v>16</v>
      </c>
      <c r="E1603" s="1">
        <v>2</v>
      </c>
      <c r="F1603">
        <v>4</v>
      </c>
      <c r="G1603">
        <v>6</v>
      </c>
      <c r="H1603">
        <v>9.9999999999999995E-7</v>
      </c>
      <c r="I1603">
        <f t="shared" ref="I1603:I1636" si="76">AVERAGE(F1603:G1603)</f>
        <v>5</v>
      </c>
      <c r="J1603">
        <v>10</v>
      </c>
      <c r="K1603" s="16">
        <f t="shared" si="74"/>
        <v>500000000</v>
      </c>
    </row>
    <row r="1604" spans="1:11">
      <c r="A1604">
        <v>1</v>
      </c>
      <c r="B1604" t="s">
        <v>8</v>
      </c>
      <c r="C1604">
        <v>71</v>
      </c>
      <c r="D1604" s="1" t="s">
        <v>16</v>
      </c>
      <c r="E1604" s="1">
        <v>3</v>
      </c>
      <c r="F1604">
        <v>4</v>
      </c>
      <c r="G1604">
        <v>3</v>
      </c>
      <c r="H1604">
        <v>9.9999999999999995E-7</v>
      </c>
      <c r="I1604">
        <f t="shared" si="76"/>
        <v>3.5</v>
      </c>
      <c r="J1604">
        <v>10</v>
      </c>
      <c r="K1604" s="16">
        <f t="shared" si="74"/>
        <v>350000000</v>
      </c>
    </row>
    <row r="1605" spans="1:11">
      <c r="A1605">
        <v>1</v>
      </c>
      <c r="B1605" t="s">
        <v>8</v>
      </c>
      <c r="C1605">
        <v>71</v>
      </c>
      <c r="D1605" s="1" t="s">
        <v>16</v>
      </c>
      <c r="E1605" s="1">
        <v>4</v>
      </c>
      <c r="F1605">
        <v>3</v>
      </c>
      <c r="G1605">
        <v>3</v>
      </c>
      <c r="H1605">
        <v>9.9999999999999995E-7</v>
      </c>
      <c r="I1605">
        <f t="shared" si="76"/>
        <v>3</v>
      </c>
      <c r="J1605">
        <v>10</v>
      </c>
      <c r="K1605" s="16">
        <f t="shared" si="74"/>
        <v>300000000</v>
      </c>
    </row>
    <row r="1606" spans="1:11">
      <c r="A1606">
        <v>1</v>
      </c>
      <c r="B1606" t="s">
        <v>8</v>
      </c>
      <c r="C1606">
        <v>71</v>
      </c>
      <c r="D1606" s="1" t="s">
        <v>16</v>
      </c>
      <c r="E1606" s="1">
        <v>5</v>
      </c>
      <c r="F1606">
        <v>1</v>
      </c>
      <c r="G1606">
        <v>1</v>
      </c>
      <c r="H1606">
        <v>9.9999999999999995E-7</v>
      </c>
      <c r="I1606">
        <f t="shared" si="76"/>
        <v>1</v>
      </c>
      <c r="J1606">
        <v>10</v>
      </c>
      <c r="K1606" s="16">
        <f t="shared" si="74"/>
        <v>100000000</v>
      </c>
    </row>
    <row r="1607" spans="1:11">
      <c r="A1607">
        <v>1</v>
      </c>
      <c r="B1607" t="s">
        <v>8</v>
      </c>
      <c r="C1607">
        <v>71</v>
      </c>
      <c r="D1607" s="1" t="s">
        <v>16</v>
      </c>
      <c r="E1607" s="1">
        <v>6</v>
      </c>
      <c r="F1607">
        <v>3</v>
      </c>
      <c r="G1607">
        <v>4</v>
      </c>
      <c r="H1607">
        <v>9.9999999999999995E-7</v>
      </c>
      <c r="I1607">
        <f t="shared" si="76"/>
        <v>3.5</v>
      </c>
      <c r="J1607">
        <v>10</v>
      </c>
      <c r="K1607" s="16">
        <f t="shared" si="74"/>
        <v>350000000</v>
      </c>
    </row>
    <row r="1608" spans="1:11">
      <c r="A1608">
        <v>1</v>
      </c>
      <c r="B1608" t="s">
        <v>8</v>
      </c>
      <c r="C1608">
        <v>71</v>
      </c>
      <c r="D1608" s="1" t="s">
        <v>16</v>
      </c>
      <c r="E1608" s="1">
        <v>7</v>
      </c>
      <c r="F1608">
        <v>2</v>
      </c>
      <c r="G1608">
        <v>2</v>
      </c>
      <c r="H1608">
        <v>9.9999999999999995E-7</v>
      </c>
      <c r="I1608">
        <f t="shared" si="76"/>
        <v>2</v>
      </c>
      <c r="J1608">
        <v>10</v>
      </c>
      <c r="K1608" s="16">
        <f t="shared" si="74"/>
        <v>200000000</v>
      </c>
    </row>
    <row r="1609" spans="1:11">
      <c r="A1609">
        <v>1</v>
      </c>
      <c r="B1609" t="s">
        <v>8</v>
      </c>
      <c r="C1609">
        <v>71</v>
      </c>
      <c r="D1609" s="1" t="s">
        <v>16</v>
      </c>
      <c r="E1609" s="1">
        <v>8</v>
      </c>
      <c r="F1609">
        <v>11</v>
      </c>
      <c r="G1609">
        <v>13</v>
      </c>
      <c r="H1609">
        <v>1.0000000000000001E-5</v>
      </c>
      <c r="I1609">
        <f t="shared" si="76"/>
        <v>12</v>
      </c>
      <c r="J1609">
        <v>10</v>
      </c>
      <c r="K1609" s="16">
        <f t="shared" si="74"/>
        <v>119999999.99999999</v>
      </c>
    </row>
    <row r="1610" spans="1:11">
      <c r="A1610">
        <v>1</v>
      </c>
      <c r="B1610" t="s">
        <v>8</v>
      </c>
      <c r="C1610">
        <v>71</v>
      </c>
      <c r="D1610" s="1" t="s">
        <v>16</v>
      </c>
      <c r="E1610" s="1">
        <v>9</v>
      </c>
      <c r="F1610">
        <v>23</v>
      </c>
      <c r="G1610" s="5">
        <v>50</v>
      </c>
      <c r="H1610">
        <v>1.0000000000000001E-5</v>
      </c>
      <c r="I1610">
        <f t="shared" si="76"/>
        <v>36.5</v>
      </c>
      <c r="J1610">
        <v>10</v>
      </c>
      <c r="K1610" s="16">
        <f t="shared" si="74"/>
        <v>364999999.99999994</v>
      </c>
    </row>
    <row r="1611" spans="1:11">
      <c r="A1611">
        <v>1</v>
      </c>
      <c r="B1611" t="s">
        <v>8</v>
      </c>
      <c r="C1611">
        <v>71</v>
      </c>
      <c r="D1611" s="1" t="s">
        <v>16</v>
      </c>
      <c r="E1611" s="1">
        <v>10</v>
      </c>
      <c r="F1611">
        <v>22</v>
      </c>
      <c r="G1611" s="5">
        <v>20</v>
      </c>
      <c r="H1611">
        <v>1.0000000000000001E-5</v>
      </c>
      <c r="I1611">
        <f t="shared" si="76"/>
        <v>21</v>
      </c>
      <c r="J1611">
        <v>10</v>
      </c>
      <c r="K1611" s="16">
        <f t="shared" si="74"/>
        <v>209999999.99999997</v>
      </c>
    </row>
    <row r="1612" spans="1:11">
      <c r="A1612">
        <v>1</v>
      </c>
      <c r="B1612" t="s">
        <v>8</v>
      </c>
      <c r="C1612">
        <v>71.5</v>
      </c>
      <c r="D1612" s="1" t="s">
        <v>16</v>
      </c>
      <c r="E1612" s="1">
        <v>1</v>
      </c>
      <c r="F1612">
        <v>2</v>
      </c>
      <c r="G1612">
        <v>2</v>
      </c>
      <c r="H1612">
        <v>1.0000000000000001E-5</v>
      </c>
      <c r="I1612">
        <f t="shared" si="76"/>
        <v>2</v>
      </c>
      <c r="J1612">
        <v>10</v>
      </c>
      <c r="K1612" s="16">
        <f t="shared" si="74"/>
        <v>20000000</v>
      </c>
    </row>
    <row r="1613" spans="1:11">
      <c r="A1613">
        <v>1</v>
      </c>
      <c r="B1613" t="s">
        <v>8</v>
      </c>
      <c r="C1613">
        <v>71.5</v>
      </c>
      <c r="D1613" s="1" t="s">
        <v>16</v>
      </c>
      <c r="E1613" s="1">
        <v>2</v>
      </c>
      <c r="F1613">
        <v>17</v>
      </c>
      <c r="G1613">
        <v>7</v>
      </c>
      <c r="H1613">
        <v>1.0000000000000001E-5</v>
      </c>
      <c r="I1613">
        <f t="shared" si="76"/>
        <v>12</v>
      </c>
      <c r="J1613">
        <v>10</v>
      </c>
      <c r="K1613" s="16">
        <f t="shared" si="74"/>
        <v>119999999.99999999</v>
      </c>
    </row>
    <row r="1614" spans="1:11">
      <c r="A1614">
        <v>1</v>
      </c>
      <c r="B1614" t="s">
        <v>8</v>
      </c>
      <c r="C1614">
        <v>71.5</v>
      </c>
      <c r="D1614" s="1" t="s">
        <v>16</v>
      </c>
      <c r="E1614" s="1">
        <v>3</v>
      </c>
      <c r="F1614">
        <v>17</v>
      </c>
      <c r="G1614">
        <v>9</v>
      </c>
      <c r="H1614">
        <v>1.0000000000000001E-5</v>
      </c>
      <c r="I1614">
        <f t="shared" si="76"/>
        <v>13</v>
      </c>
      <c r="J1614">
        <v>10</v>
      </c>
      <c r="K1614" s="16">
        <f t="shared" si="74"/>
        <v>129999999.99999999</v>
      </c>
    </row>
    <row r="1615" spans="1:11">
      <c r="A1615">
        <v>1</v>
      </c>
      <c r="B1615" t="s">
        <v>8</v>
      </c>
      <c r="C1615">
        <v>71.5</v>
      </c>
      <c r="D1615" s="1" t="s">
        <v>16</v>
      </c>
      <c r="E1615" s="1">
        <v>4</v>
      </c>
      <c r="F1615">
        <v>9</v>
      </c>
      <c r="G1615">
        <v>4</v>
      </c>
      <c r="H1615">
        <v>1.0000000000000001E-5</v>
      </c>
      <c r="I1615">
        <f t="shared" si="76"/>
        <v>6.5</v>
      </c>
      <c r="J1615">
        <v>10</v>
      </c>
      <c r="K1615" s="16">
        <f t="shared" si="74"/>
        <v>64999999.999999993</v>
      </c>
    </row>
    <row r="1616" spans="1:11">
      <c r="A1616">
        <v>1</v>
      </c>
      <c r="B1616" t="s">
        <v>8</v>
      </c>
      <c r="C1616">
        <v>71.5</v>
      </c>
      <c r="D1616" s="1" t="s">
        <v>16</v>
      </c>
      <c r="E1616" s="1">
        <v>5</v>
      </c>
      <c r="F1616">
        <v>14</v>
      </c>
      <c r="G1616">
        <v>11</v>
      </c>
      <c r="H1616">
        <v>1.0000000000000001E-5</v>
      </c>
      <c r="I1616">
        <f t="shared" si="76"/>
        <v>12.5</v>
      </c>
      <c r="J1616">
        <v>10</v>
      </c>
      <c r="K1616" s="16">
        <f t="shared" si="74"/>
        <v>124999999.99999999</v>
      </c>
    </row>
    <row r="1617" spans="1:11">
      <c r="A1617">
        <v>1</v>
      </c>
      <c r="B1617" t="s">
        <v>8</v>
      </c>
      <c r="C1617">
        <v>71.5</v>
      </c>
      <c r="D1617" s="1" t="s">
        <v>16</v>
      </c>
      <c r="E1617" s="1">
        <v>6</v>
      </c>
      <c r="F1617">
        <v>9</v>
      </c>
      <c r="G1617">
        <v>6</v>
      </c>
      <c r="H1617">
        <v>1.0000000000000001E-5</v>
      </c>
      <c r="I1617">
        <f t="shared" si="76"/>
        <v>7.5</v>
      </c>
      <c r="J1617">
        <v>10</v>
      </c>
      <c r="K1617" s="16">
        <f t="shared" si="74"/>
        <v>75000000</v>
      </c>
    </row>
    <row r="1618" spans="1:11">
      <c r="A1618">
        <v>1</v>
      </c>
      <c r="B1618" t="s">
        <v>8</v>
      </c>
      <c r="C1618">
        <v>71.5</v>
      </c>
      <c r="D1618" s="1" t="s">
        <v>16</v>
      </c>
      <c r="E1618" s="1">
        <v>7</v>
      </c>
      <c r="F1618">
        <v>10</v>
      </c>
      <c r="G1618">
        <v>7</v>
      </c>
      <c r="H1618">
        <v>1E-4</v>
      </c>
      <c r="I1618">
        <f t="shared" si="76"/>
        <v>8.5</v>
      </c>
      <c r="J1618">
        <v>10</v>
      </c>
      <c r="K1618" s="16">
        <f t="shared" si="74"/>
        <v>8499999.9999999981</v>
      </c>
    </row>
    <row r="1619" spans="1:11">
      <c r="A1619">
        <v>1</v>
      </c>
      <c r="B1619" t="s">
        <v>8</v>
      </c>
      <c r="C1619">
        <v>71.5</v>
      </c>
      <c r="D1619" s="1" t="s">
        <v>16</v>
      </c>
      <c r="E1619" s="1">
        <v>8</v>
      </c>
      <c r="F1619">
        <v>2</v>
      </c>
      <c r="G1619">
        <v>10</v>
      </c>
      <c r="H1619">
        <v>1.0000000000000001E-5</v>
      </c>
      <c r="I1619">
        <f t="shared" si="76"/>
        <v>6</v>
      </c>
      <c r="J1619">
        <v>10</v>
      </c>
      <c r="K1619" s="16">
        <f t="shared" ref="K1619:K1682" si="77">I1619/(H1619*(J1619/1000))</f>
        <v>59999999.999999993</v>
      </c>
    </row>
    <row r="1620" spans="1:11">
      <c r="A1620">
        <v>1</v>
      </c>
      <c r="B1620" t="s">
        <v>8</v>
      </c>
      <c r="C1620">
        <v>71.5</v>
      </c>
      <c r="D1620" s="1" t="s">
        <v>16</v>
      </c>
      <c r="E1620" s="1">
        <v>9</v>
      </c>
      <c r="F1620">
        <v>4</v>
      </c>
      <c r="G1620">
        <v>1</v>
      </c>
      <c r="H1620">
        <v>1.0000000000000001E-5</v>
      </c>
      <c r="I1620">
        <f t="shared" si="76"/>
        <v>2.5</v>
      </c>
      <c r="J1620">
        <v>10</v>
      </c>
      <c r="K1620" s="16">
        <f t="shared" si="77"/>
        <v>24999999.999999996</v>
      </c>
    </row>
    <row r="1621" spans="1:11">
      <c r="A1621">
        <v>1</v>
      </c>
      <c r="B1621" t="s">
        <v>8</v>
      </c>
      <c r="C1621">
        <v>71.5</v>
      </c>
      <c r="D1621" s="1" t="s">
        <v>16</v>
      </c>
      <c r="E1621" s="1">
        <v>10</v>
      </c>
      <c r="F1621">
        <v>6</v>
      </c>
      <c r="G1621">
        <v>6</v>
      </c>
      <c r="H1621">
        <v>1.0000000000000001E-5</v>
      </c>
      <c r="I1621">
        <f t="shared" si="76"/>
        <v>6</v>
      </c>
      <c r="J1621">
        <v>10</v>
      </c>
      <c r="K1621" s="16">
        <f t="shared" si="77"/>
        <v>59999999.999999993</v>
      </c>
    </row>
    <row r="1622" spans="1:11">
      <c r="A1622">
        <v>1</v>
      </c>
      <c r="B1622" t="s">
        <v>8</v>
      </c>
      <c r="C1622">
        <v>72</v>
      </c>
      <c r="D1622" s="1" t="s">
        <v>16</v>
      </c>
      <c r="E1622" s="1">
        <v>1</v>
      </c>
      <c r="F1622">
        <v>6</v>
      </c>
      <c r="G1622">
        <v>5</v>
      </c>
      <c r="H1622">
        <v>9.9999999999999995E-7</v>
      </c>
      <c r="I1622">
        <f t="shared" si="76"/>
        <v>5.5</v>
      </c>
      <c r="J1622">
        <v>10</v>
      </c>
      <c r="K1622" s="16">
        <f t="shared" si="77"/>
        <v>550000000</v>
      </c>
    </row>
    <row r="1623" spans="1:11">
      <c r="A1623">
        <v>1</v>
      </c>
      <c r="B1623" t="s">
        <v>8</v>
      </c>
      <c r="C1623">
        <v>72</v>
      </c>
      <c r="D1623" s="1" t="s">
        <v>16</v>
      </c>
      <c r="E1623" s="1">
        <v>2</v>
      </c>
      <c r="F1623">
        <v>4</v>
      </c>
      <c r="G1623">
        <v>2</v>
      </c>
      <c r="H1623">
        <v>9.9999999999999995E-7</v>
      </c>
      <c r="I1623">
        <f t="shared" si="76"/>
        <v>3</v>
      </c>
      <c r="J1623">
        <v>10</v>
      </c>
      <c r="K1623" s="16">
        <f t="shared" si="77"/>
        <v>300000000</v>
      </c>
    </row>
    <row r="1624" spans="1:11">
      <c r="A1624">
        <v>1</v>
      </c>
      <c r="B1624" t="s">
        <v>8</v>
      </c>
      <c r="C1624">
        <v>72</v>
      </c>
      <c r="D1624" s="1" t="s">
        <v>16</v>
      </c>
      <c r="E1624" s="1">
        <v>3</v>
      </c>
      <c r="F1624">
        <v>2</v>
      </c>
      <c r="G1624">
        <v>2</v>
      </c>
      <c r="H1624">
        <v>9.9999999999999995E-7</v>
      </c>
      <c r="I1624">
        <f t="shared" si="76"/>
        <v>2</v>
      </c>
      <c r="J1624">
        <v>10</v>
      </c>
      <c r="K1624" s="16">
        <f t="shared" si="77"/>
        <v>200000000</v>
      </c>
    </row>
    <row r="1625" spans="1:11">
      <c r="A1625">
        <v>1</v>
      </c>
      <c r="B1625" t="s">
        <v>8</v>
      </c>
      <c r="C1625">
        <v>72</v>
      </c>
      <c r="D1625" s="1" t="s">
        <v>16</v>
      </c>
      <c r="E1625" s="1">
        <v>4</v>
      </c>
      <c r="F1625">
        <v>3</v>
      </c>
      <c r="G1625">
        <v>3</v>
      </c>
      <c r="H1625">
        <v>9.9999999999999995E-7</v>
      </c>
      <c r="I1625">
        <f t="shared" si="76"/>
        <v>3</v>
      </c>
      <c r="J1625">
        <v>10</v>
      </c>
      <c r="K1625" s="16">
        <f t="shared" si="77"/>
        <v>300000000</v>
      </c>
    </row>
    <row r="1626" spans="1:11">
      <c r="A1626">
        <v>1</v>
      </c>
      <c r="B1626" t="s">
        <v>8</v>
      </c>
      <c r="C1626">
        <v>72</v>
      </c>
      <c r="D1626" s="1" t="s">
        <v>16</v>
      </c>
      <c r="E1626" s="1">
        <v>5</v>
      </c>
      <c r="F1626">
        <v>4</v>
      </c>
      <c r="G1626">
        <v>3</v>
      </c>
      <c r="H1626">
        <v>9.9999999999999995E-7</v>
      </c>
      <c r="I1626">
        <f t="shared" si="76"/>
        <v>3.5</v>
      </c>
      <c r="J1626">
        <v>10</v>
      </c>
      <c r="K1626" s="16">
        <f t="shared" si="77"/>
        <v>350000000</v>
      </c>
    </row>
    <row r="1627" spans="1:11">
      <c r="A1627">
        <v>1</v>
      </c>
      <c r="B1627" t="s">
        <v>8</v>
      </c>
      <c r="C1627">
        <v>72</v>
      </c>
      <c r="D1627" s="1" t="s">
        <v>16</v>
      </c>
      <c r="E1627" s="1">
        <v>6</v>
      </c>
      <c r="F1627">
        <v>9</v>
      </c>
      <c r="G1627">
        <v>6</v>
      </c>
      <c r="H1627">
        <v>9.9999999999999995E-7</v>
      </c>
      <c r="I1627">
        <f t="shared" si="76"/>
        <v>7.5</v>
      </c>
      <c r="J1627">
        <v>10</v>
      </c>
      <c r="K1627" s="16">
        <f t="shared" si="77"/>
        <v>750000000</v>
      </c>
    </row>
    <row r="1628" spans="1:11">
      <c r="A1628">
        <v>1</v>
      </c>
      <c r="B1628" t="s">
        <v>8</v>
      </c>
      <c r="C1628">
        <v>72</v>
      </c>
      <c r="D1628" s="1" t="s">
        <v>16</v>
      </c>
      <c r="E1628" s="1">
        <v>7</v>
      </c>
      <c r="F1628">
        <v>6</v>
      </c>
      <c r="G1628">
        <v>4</v>
      </c>
      <c r="H1628">
        <v>9.9999999999999995E-7</v>
      </c>
      <c r="I1628">
        <f t="shared" si="76"/>
        <v>5</v>
      </c>
      <c r="J1628">
        <v>10</v>
      </c>
      <c r="K1628" s="16">
        <f t="shared" si="77"/>
        <v>500000000</v>
      </c>
    </row>
    <row r="1629" spans="1:11">
      <c r="A1629">
        <v>1</v>
      </c>
      <c r="B1629" t="s">
        <v>8</v>
      </c>
      <c r="C1629">
        <v>72</v>
      </c>
      <c r="D1629" s="1" t="s">
        <v>16</v>
      </c>
      <c r="E1629" s="1">
        <v>8</v>
      </c>
      <c r="F1629">
        <v>1</v>
      </c>
      <c r="G1629">
        <v>6</v>
      </c>
      <c r="H1629">
        <v>9.9999999999999995E-7</v>
      </c>
      <c r="I1629">
        <f t="shared" si="76"/>
        <v>3.5</v>
      </c>
      <c r="J1629">
        <v>10</v>
      </c>
      <c r="K1629" s="16">
        <f t="shared" si="77"/>
        <v>350000000</v>
      </c>
    </row>
    <row r="1630" spans="1:11">
      <c r="A1630">
        <v>1</v>
      </c>
      <c r="B1630" t="s">
        <v>8</v>
      </c>
      <c r="C1630">
        <v>72</v>
      </c>
      <c r="D1630" s="1" t="s">
        <v>16</v>
      </c>
      <c r="E1630" s="1">
        <v>9</v>
      </c>
      <c r="F1630">
        <v>8</v>
      </c>
      <c r="G1630">
        <v>2</v>
      </c>
      <c r="H1630">
        <v>9.9999999999999995E-7</v>
      </c>
      <c r="I1630">
        <f t="shared" si="76"/>
        <v>5</v>
      </c>
      <c r="J1630">
        <v>10</v>
      </c>
      <c r="K1630" s="16">
        <f t="shared" si="77"/>
        <v>500000000</v>
      </c>
    </row>
    <row r="1631" spans="1:11">
      <c r="A1631">
        <v>1</v>
      </c>
      <c r="B1631" t="s">
        <v>8</v>
      </c>
      <c r="C1631">
        <v>72</v>
      </c>
      <c r="D1631" s="1" t="s">
        <v>16</v>
      </c>
      <c r="E1631" s="1">
        <v>10</v>
      </c>
      <c r="F1631">
        <v>1</v>
      </c>
      <c r="G1631">
        <v>2</v>
      </c>
      <c r="H1631">
        <v>9.9999999999999995E-7</v>
      </c>
      <c r="I1631">
        <f t="shared" si="76"/>
        <v>1.5</v>
      </c>
      <c r="J1631">
        <v>10</v>
      </c>
      <c r="K1631" s="16">
        <f t="shared" si="77"/>
        <v>150000000</v>
      </c>
    </row>
    <row r="1632" spans="1:11">
      <c r="A1632">
        <v>1</v>
      </c>
      <c r="B1632" t="s">
        <v>8</v>
      </c>
      <c r="C1632">
        <v>72.5</v>
      </c>
      <c r="D1632" s="1" t="s">
        <v>16</v>
      </c>
      <c r="E1632" s="1">
        <v>1</v>
      </c>
      <c r="F1632">
        <v>8</v>
      </c>
      <c r="G1632">
        <v>13</v>
      </c>
      <c r="H1632">
        <v>1.0000000000000001E-5</v>
      </c>
      <c r="I1632">
        <f t="shared" si="76"/>
        <v>10.5</v>
      </c>
      <c r="J1632">
        <v>10</v>
      </c>
      <c r="K1632" s="16">
        <f t="shared" si="77"/>
        <v>104999999.99999999</v>
      </c>
    </row>
    <row r="1633" spans="1:11">
      <c r="A1633">
        <v>1</v>
      </c>
      <c r="B1633" t="s">
        <v>8</v>
      </c>
      <c r="C1633">
        <v>72.5</v>
      </c>
      <c r="D1633" s="1" t="s">
        <v>16</v>
      </c>
      <c r="E1633" s="1">
        <v>2</v>
      </c>
      <c r="F1633">
        <v>3</v>
      </c>
      <c r="G1633">
        <v>4</v>
      </c>
      <c r="H1633">
        <v>9.9999999999999995E-7</v>
      </c>
      <c r="I1633">
        <f t="shared" si="76"/>
        <v>3.5</v>
      </c>
      <c r="J1633">
        <v>10</v>
      </c>
      <c r="K1633" s="16">
        <f t="shared" si="77"/>
        <v>350000000</v>
      </c>
    </row>
    <row r="1634" spans="1:11">
      <c r="A1634">
        <v>1</v>
      </c>
      <c r="B1634" t="s">
        <v>8</v>
      </c>
      <c r="C1634">
        <v>72.5</v>
      </c>
      <c r="D1634" s="1" t="s">
        <v>16</v>
      </c>
      <c r="E1634" s="1">
        <v>3</v>
      </c>
      <c r="F1634">
        <v>19</v>
      </c>
      <c r="G1634">
        <v>24</v>
      </c>
      <c r="H1634">
        <v>1.0000000000000001E-5</v>
      </c>
      <c r="I1634">
        <f t="shared" si="76"/>
        <v>21.5</v>
      </c>
      <c r="J1634">
        <v>10</v>
      </c>
      <c r="K1634" s="16">
        <f t="shared" si="77"/>
        <v>214999999.99999997</v>
      </c>
    </row>
    <row r="1635" spans="1:11">
      <c r="A1635">
        <v>1</v>
      </c>
      <c r="B1635" t="s">
        <v>8</v>
      </c>
      <c r="C1635">
        <v>72.5</v>
      </c>
      <c r="D1635" s="1" t="s">
        <v>16</v>
      </c>
      <c r="E1635" s="1">
        <v>4</v>
      </c>
      <c r="F1635">
        <v>5</v>
      </c>
      <c r="G1635">
        <v>8</v>
      </c>
      <c r="H1635">
        <v>1.0000000000000001E-5</v>
      </c>
      <c r="I1635">
        <f t="shared" si="76"/>
        <v>6.5</v>
      </c>
      <c r="J1635">
        <v>10</v>
      </c>
      <c r="K1635" s="16">
        <f t="shared" si="77"/>
        <v>64999999.999999993</v>
      </c>
    </row>
    <row r="1636" spans="1:11">
      <c r="A1636">
        <v>1</v>
      </c>
      <c r="B1636" t="s">
        <v>8</v>
      </c>
      <c r="C1636">
        <v>72.5</v>
      </c>
      <c r="D1636" s="1" t="s">
        <v>16</v>
      </c>
      <c r="E1636" s="1">
        <v>5</v>
      </c>
      <c r="F1636">
        <v>9</v>
      </c>
      <c r="G1636">
        <v>5</v>
      </c>
      <c r="H1636">
        <v>1.0000000000000001E-5</v>
      </c>
      <c r="I1636">
        <f t="shared" si="76"/>
        <v>7</v>
      </c>
      <c r="J1636">
        <v>10</v>
      </c>
      <c r="K1636" s="16">
        <f t="shared" si="77"/>
        <v>70000000</v>
      </c>
    </row>
    <row r="1637" spans="1:11">
      <c r="A1637">
        <v>1</v>
      </c>
      <c r="B1637" t="s">
        <v>8</v>
      </c>
      <c r="C1637">
        <v>72.5</v>
      </c>
      <c r="D1637" s="1" t="s">
        <v>16</v>
      </c>
      <c r="E1637" s="1">
        <v>6</v>
      </c>
      <c r="F1637">
        <v>6</v>
      </c>
      <c r="G1637">
        <v>3</v>
      </c>
      <c r="H1637">
        <v>9.9999999999999995E-7</v>
      </c>
      <c r="I1637">
        <f t="shared" ref="I1637:I1670" si="78">AVERAGE(F1637:G1637)</f>
        <v>4.5</v>
      </c>
      <c r="J1637">
        <v>10</v>
      </c>
      <c r="K1637" s="16">
        <f t="shared" si="77"/>
        <v>450000000</v>
      </c>
    </row>
    <row r="1638" spans="1:11">
      <c r="A1638">
        <v>1</v>
      </c>
      <c r="B1638" t="s">
        <v>8</v>
      </c>
      <c r="C1638">
        <v>72.5</v>
      </c>
      <c r="D1638" s="1" t="s">
        <v>16</v>
      </c>
      <c r="E1638" s="1">
        <v>7</v>
      </c>
      <c r="F1638">
        <v>9</v>
      </c>
      <c r="G1638">
        <v>10</v>
      </c>
      <c r="H1638">
        <v>1.0000000000000001E-5</v>
      </c>
      <c r="I1638">
        <f t="shared" si="78"/>
        <v>9.5</v>
      </c>
      <c r="J1638">
        <v>10</v>
      </c>
      <c r="K1638" s="16">
        <f t="shared" si="77"/>
        <v>94999999.999999985</v>
      </c>
    </row>
    <row r="1639" spans="1:11">
      <c r="A1639">
        <v>1</v>
      </c>
      <c r="B1639" t="s">
        <v>8</v>
      </c>
      <c r="C1639">
        <v>72.5</v>
      </c>
      <c r="D1639" s="1" t="s">
        <v>16</v>
      </c>
      <c r="E1639" s="1">
        <v>8</v>
      </c>
      <c r="F1639">
        <v>5</v>
      </c>
      <c r="G1639">
        <v>9</v>
      </c>
      <c r="H1639">
        <v>1.0000000000000001E-5</v>
      </c>
      <c r="I1639">
        <f t="shared" si="78"/>
        <v>7</v>
      </c>
      <c r="J1639">
        <v>10</v>
      </c>
      <c r="K1639" s="16">
        <f t="shared" si="77"/>
        <v>70000000</v>
      </c>
    </row>
    <row r="1640" spans="1:11">
      <c r="A1640">
        <v>1</v>
      </c>
      <c r="B1640" t="s">
        <v>8</v>
      </c>
      <c r="C1640">
        <v>72.5</v>
      </c>
      <c r="D1640" s="1" t="s">
        <v>16</v>
      </c>
      <c r="E1640" s="1">
        <v>9</v>
      </c>
      <c r="F1640">
        <v>4</v>
      </c>
      <c r="G1640">
        <v>11</v>
      </c>
      <c r="H1640">
        <v>1E-4</v>
      </c>
      <c r="I1640">
        <f t="shared" si="78"/>
        <v>7.5</v>
      </c>
      <c r="J1640">
        <v>10</v>
      </c>
      <c r="K1640" s="16">
        <f t="shared" si="77"/>
        <v>7499999.9999999991</v>
      </c>
    </row>
    <row r="1641" spans="1:11">
      <c r="A1641">
        <v>1</v>
      </c>
      <c r="B1641" t="s">
        <v>8</v>
      </c>
      <c r="C1641">
        <v>72.5</v>
      </c>
      <c r="D1641" s="1" t="s">
        <v>16</v>
      </c>
      <c r="E1641" s="1">
        <v>10</v>
      </c>
      <c r="F1641">
        <v>12</v>
      </c>
      <c r="G1641">
        <v>17</v>
      </c>
      <c r="H1641">
        <v>1.0000000000000001E-5</v>
      </c>
      <c r="I1641">
        <f t="shared" si="78"/>
        <v>14.5</v>
      </c>
      <c r="J1641">
        <v>10</v>
      </c>
      <c r="K1641" s="16">
        <f t="shared" si="77"/>
        <v>145000000</v>
      </c>
    </row>
    <row r="1642" spans="1:11">
      <c r="A1642">
        <v>1</v>
      </c>
      <c r="B1642" t="s">
        <v>8</v>
      </c>
      <c r="C1642">
        <v>73</v>
      </c>
      <c r="D1642" s="1" t="s">
        <v>16</v>
      </c>
      <c r="E1642" s="1">
        <v>1</v>
      </c>
      <c r="F1642">
        <v>7</v>
      </c>
      <c r="G1642">
        <v>6</v>
      </c>
      <c r="H1642">
        <v>9.9999999999999995E-7</v>
      </c>
      <c r="I1642">
        <f t="shared" si="78"/>
        <v>6.5</v>
      </c>
      <c r="J1642">
        <v>10</v>
      </c>
      <c r="K1642" s="16">
        <f t="shared" si="77"/>
        <v>650000000</v>
      </c>
    </row>
    <row r="1643" spans="1:11">
      <c r="A1643">
        <v>1</v>
      </c>
      <c r="B1643" t="s">
        <v>8</v>
      </c>
      <c r="C1643">
        <v>73</v>
      </c>
      <c r="D1643" s="1" t="s">
        <v>16</v>
      </c>
      <c r="E1643" s="1">
        <v>2</v>
      </c>
      <c r="F1643">
        <v>4</v>
      </c>
      <c r="G1643">
        <v>2</v>
      </c>
      <c r="H1643">
        <v>9.9999999999999995E-7</v>
      </c>
      <c r="I1643">
        <f t="shared" si="78"/>
        <v>3</v>
      </c>
      <c r="J1643">
        <v>10</v>
      </c>
      <c r="K1643" s="16">
        <f t="shared" si="77"/>
        <v>300000000</v>
      </c>
    </row>
    <row r="1644" spans="1:11">
      <c r="A1644">
        <v>1</v>
      </c>
      <c r="B1644" t="s">
        <v>8</v>
      </c>
      <c r="C1644">
        <v>73</v>
      </c>
      <c r="D1644" s="1" t="s">
        <v>16</v>
      </c>
      <c r="E1644" s="1">
        <v>3</v>
      </c>
      <c r="F1644">
        <v>2</v>
      </c>
      <c r="G1644">
        <v>3</v>
      </c>
      <c r="H1644">
        <v>9.9999999999999995E-7</v>
      </c>
      <c r="I1644">
        <f t="shared" si="78"/>
        <v>2.5</v>
      </c>
      <c r="J1644">
        <v>10</v>
      </c>
      <c r="K1644" s="16">
        <f t="shared" si="77"/>
        <v>250000000</v>
      </c>
    </row>
    <row r="1645" spans="1:11">
      <c r="A1645">
        <v>1</v>
      </c>
      <c r="B1645" t="s">
        <v>8</v>
      </c>
      <c r="C1645">
        <v>73</v>
      </c>
      <c r="D1645" s="1" t="s">
        <v>16</v>
      </c>
      <c r="E1645" s="1">
        <v>4</v>
      </c>
      <c r="F1645">
        <v>2</v>
      </c>
      <c r="G1645">
        <v>2</v>
      </c>
      <c r="H1645">
        <v>9.9999999999999995E-7</v>
      </c>
      <c r="I1645">
        <f t="shared" si="78"/>
        <v>2</v>
      </c>
      <c r="J1645">
        <v>10</v>
      </c>
      <c r="K1645" s="16">
        <f t="shared" si="77"/>
        <v>200000000</v>
      </c>
    </row>
    <row r="1646" spans="1:11">
      <c r="A1646">
        <v>1</v>
      </c>
      <c r="B1646" t="s">
        <v>8</v>
      </c>
      <c r="C1646">
        <v>73</v>
      </c>
      <c r="D1646" s="1" t="s">
        <v>16</v>
      </c>
      <c r="E1646" s="1">
        <v>5</v>
      </c>
      <c r="F1646">
        <v>4</v>
      </c>
      <c r="G1646">
        <v>1</v>
      </c>
      <c r="H1646">
        <v>9.9999999999999995E-7</v>
      </c>
      <c r="I1646">
        <f t="shared" si="78"/>
        <v>2.5</v>
      </c>
      <c r="J1646">
        <v>10</v>
      </c>
      <c r="K1646" s="16">
        <f t="shared" si="77"/>
        <v>250000000</v>
      </c>
    </row>
    <row r="1647" spans="1:11">
      <c r="A1647">
        <v>1</v>
      </c>
      <c r="B1647" t="s">
        <v>8</v>
      </c>
      <c r="C1647">
        <v>73</v>
      </c>
      <c r="D1647" s="1" t="s">
        <v>16</v>
      </c>
      <c r="E1647" s="1">
        <v>6</v>
      </c>
      <c r="F1647">
        <v>8</v>
      </c>
      <c r="G1647">
        <v>1</v>
      </c>
      <c r="H1647">
        <v>9.9999999999999995E-7</v>
      </c>
      <c r="I1647">
        <f t="shared" si="78"/>
        <v>4.5</v>
      </c>
      <c r="J1647">
        <v>10</v>
      </c>
      <c r="K1647" s="16">
        <f t="shared" si="77"/>
        <v>450000000</v>
      </c>
    </row>
    <row r="1648" spans="1:11">
      <c r="A1648">
        <v>1</v>
      </c>
      <c r="B1648" t="s">
        <v>8</v>
      </c>
      <c r="C1648">
        <v>73</v>
      </c>
      <c r="D1648" s="1" t="s">
        <v>16</v>
      </c>
      <c r="E1648" s="1">
        <v>7</v>
      </c>
      <c r="F1648">
        <v>22</v>
      </c>
      <c r="G1648" s="5">
        <v>40</v>
      </c>
      <c r="H1648">
        <v>1.0000000000000001E-5</v>
      </c>
      <c r="I1648">
        <f t="shared" si="78"/>
        <v>31</v>
      </c>
      <c r="J1648">
        <v>10</v>
      </c>
      <c r="K1648" s="16">
        <f t="shared" si="77"/>
        <v>310000000</v>
      </c>
    </row>
    <row r="1649" spans="1:11">
      <c r="A1649">
        <v>1</v>
      </c>
      <c r="B1649" t="s">
        <v>8</v>
      </c>
      <c r="C1649">
        <v>73</v>
      </c>
      <c r="D1649" s="1" t="s">
        <v>16</v>
      </c>
      <c r="E1649" s="1">
        <v>8</v>
      </c>
      <c r="F1649">
        <v>2</v>
      </c>
      <c r="G1649">
        <v>5</v>
      </c>
      <c r="H1649">
        <v>9.9999999999999995E-7</v>
      </c>
      <c r="I1649">
        <f t="shared" si="78"/>
        <v>3.5</v>
      </c>
      <c r="J1649">
        <v>10</v>
      </c>
      <c r="K1649" s="16">
        <f t="shared" si="77"/>
        <v>350000000</v>
      </c>
    </row>
    <row r="1650" spans="1:11">
      <c r="A1650">
        <v>1</v>
      </c>
      <c r="B1650" t="s">
        <v>8</v>
      </c>
      <c r="C1650">
        <v>73</v>
      </c>
      <c r="D1650" s="1" t="s">
        <v>16</v>
      </c>
      <c r="E1650" s="1">
        <v>9</v>
      </c>
      <c r="F1650">
        <v>4</v>
      </c>
      <c r="G1650">
        <v>4</v>
      </c>
      <c r="H1650">
        <v>9.9999999999999995E-7</v>
      </c>
      <c r="I1650">
        <f t="shared" si="78"/>
        <v>4</v>
      </c>
      <c r="J1650">
        <v>10</v>
      </c>
      <c r="K1650" s="16">
        <f t="shared" si="77"/>
        <v>400000000</v>
      </c>
    </row>
    <row r="1651" spans="1:11">
      <c r="A1651">
        <v>1</v>
      </c>
      <c r="B1651" t="s">
        <v>8</v>
      </c>
      <c r="C1651">
        <v>73</v>
      </c>
      <c r="D1651" s="1" t="s">
        <v>16</v>
      </c>
      <c r="E1651" s="1">
        <v>10</v>
      </c>
      <c r="F1651">
        <v>3</v>
      </c>
      <c r="G1651">
        <v>3</v>
      </c>
      <c r="H1651">
        <v>9.9999999999999995E-7</v>
      </c>
      <c r="I1651">
        <f t="shared" si="78"/>
        <v>3</v>
      </c>
      <c r="J1651">
        <v>10</v>
      </c>
      <c r="K1651" s="16">
        <f t="shared" si="77"/>
        <v>300000000</v>
      </c>
    </row>
    <row r="1652" spans="1:11">
      <c r="A1652">
        <v>1</v>
      </c>
      <c r="B1652" t="s">
        <v>8</v>
      </c>
      <c r="C1652">
        <v>73.5</v>
      </c>
      <c r="D1652" s="1" t="s">
        <v>16</v>
      </c>
      <c r="E1652" s="1">
        <v>1</v>
      </c>
      <c r="F1652">
        <v>3</v>
      </c>
      <c r="G1652">
        <v>7</v>
      </c>
      <c r="H1652">
        <v>1.0000000000000001E-5</v>
      </c>
      <c r="I1652">
        <f t="shared" si="78"/>
        <v>5</v>
      </c>
      <c r="J1652">
        <v>10</v>
      </c>
      <c r="K1652" s="16">
        <f t="shared" si="77"/>
        <v>49999999.999999993</v>
      </c>
    </row>
    <row r="1653" spans="1:11">
      <c r="A1653">
        <v>1</v>
      </c>
      <c r="B1653" t="s">
        <v>8</v>
      </c>
      <c r="C1653">
        <v>73.5</v>
      </c>
      <c r="D1653" s="1" t="s">
        <v>16</v>
      </c>
      <c r="E1653" s="1">
        <v>2</v>
      </c>
      <c r="F1653">
        <v>2</v>
      </c>
      <c r="G1653">
        <v>4</v>
      </c>
      <c r="H1653">
        <v>9.9999999999999995E-7</v>
      </c>
      <c r="I1653">
        <f t="shared" si="78"/>
        <v>3</v>
      </c>
      <c r="J1653">
        <v>10</v>
      </c>
      <c r="K1653" s="16">
        <f t="shared" si="77"/>
        <v>300000000</v>
      </c>
    </row>
    <row r="1654" spans="1:11">
      <c r="A1654">
        <v>1</v>
      </c>
      <c r="B1654" t="s">
        <v>8</v>
      </c>
      <c r="C1654">
        <v>73.5</v>
      </c>
      <c r="D1654" s="1" t="s">
        <v>16</v>
      </c>
      <c r="E1654" s="1">
        <v>3</v>
      </c>
      <c r="F1654">
        <v>2</v>
      </c>
      <c r="G1654">
        <v>2</v>
      </c>
      <c r="H1654">
        <v>9.9999999999999995E-7</v>
      </c>
      <c r="I1654">
        <f t="shared" si="78"/>
        <v>2</v>
      </c>
      <c r="J1654">
        <v>10</v>
      </c>
      <c r="K1654" s="16">
        <f t="shared" si="77"/>
        <v>200000000</v>
      </c>
    </row>
    <row r="1655" spans="1:11">
      <c r="A1655">
        <v>1</v>
      </c>
      <c r="B1655" t="s">
        <v>8</v>
      </c>
      <c r="C1655">
        <v>73.5</v>
      </c>
      <c r="D1655" s="1" t="s">
        <v>16</v>
      </c>
      <c r="E1655" s="1">
        <v>4</v>
      </c>
      <c r="F1655">
        <v>1</v>
      </c>
      <c r="G1655">
        <v>1</v>
      </c>
      <c r="H1655">
        <v>9.9999999999999995E-7</v>
      </c>
      <c r="I1655">
        <f t="shared" si="78"/>
        <v>1</v>
      </c>
      <c r="J1655">
        <v>10</v>
      </c>
      <c r="K1655" s="16">
        <f t="shared" si="77"/>
        <v>100000000</v>
      </c>
    </row>
    <row r="1656" spans="1:11">
      <c r="A1656">
        <v>1</v>
      </c>
      <c r="B1656" t="s">
        <v>8</v>
      </c>
      <c r="C1656">
        <v>73.5</v>
      </c>
      <c r="D1656" s="1" t="s">
        <v>16</v>
      </c>
      <c r="E1656" s="1">
        <v>5</v>
      </c>
      <c r="F1656">
        <v>10</v>
      </c>
      <c r="G1656">
        <v>11</v>
      </c>
      <c r="H1656">
        <v>1.0000000000000001E-5</v>
      </c>
      <c r="I1656">
        <f t="shared" si="78"/>
        <v>10.5</v>
      </c>
      <c r="J1656">
        <v>10</v>
      </c>
      <c r="K1656" s="16">
        <f t="shared" si="77"/>
        <v>104999999.99999999</v>
      </c>
    </row>
    <row r="1657" spans="1:11">
      <c r="A1657">
        <v>1</v>
      </c>
      <c r="B1657" t="s">
        <v>8</v>
      </c>
      <c r="C1657">
        <v>73.5</v>
      </c>
      <c r="D1657" s="1" t="s">
        <v>16</v>
      </c>
      <c r="E1657" s="1">
        <v>6</v>
      </c>
      <c r="F1657">
        <v>22</v>
      </c>
      <c r="G1657">
        <v>15</v>
      </c>
      <c r="H1657">
        <v>1.0000000000000001E-5</v>
      </c>
      <c r="I1657">
        <f t="shared" si="78"/>
        <v>18.5</v>
      </c>
      <c r="J1657">
        <v>10</v>
      </c>
      <c r="K1657" s="16">
        <f t="shared" si="77"/>
        <v>184999999.99999997</v>
      </c>
    </row>
    <row r="1658" spans="1:11">
      <c r="A1658">
        <v>1</v>
      </c>
      <c r="B1658" t="s">
        <v>8</v>
      </c>
      <c r="C1658">
        <v>73.5</v>
      </c>
      <c r="D1658" s="1" t="s">
        <v>16</v>
      </c>
      <c r="E1658" s="1">
        <v>7</v>
      </c>
      <c r="F1658">
        <v>1</v>
      </c>
      <c r="G1658">
        <v>3</v>
      </c>
      <c r="H1658">
        <v>1.0000000000000001E-5</v>
      </c>
      <c r="I1658">
        <f t="shared" si="78"/>
        <v>2</v>
      </c>
      <c r="J1658">
        <v>10</v>
      </c>
      <c r="K1658" s="16">
        <f t="shared" si="77"/>
        <v>20000000</v>
      </c>
    </row>
    <row r="1659" spans="1:11">
      <c r="A1659">
        <v>1</v>
      </c>
      <c r="B1659" t="s">
        <v>8</v>
      </c>
      <c r="C1659">
        <v>73.5</v>
      </c>
      <c r="D1659" s="1" t="s">
        <v>16</v>
      </c>
      <c r="E1659" s="1">
        <v>8</v>
      </c>
      <c r="F1659">
        <v>6</v>
      </c>
      <c r="G1659">
        <v>5</v>
      </c>
      <c r="H1659">
        <v>1.0000000000000001E-5</v>
      </c>
      <c r="I1659">
        <f t="shared" si="78"/>
        <v>5.5</v>
      </c>
      <c r="J1659">
        <v>10</v>
      </c>
      <c r="K1659" s="16">
        <f t="shared" si="77"/>
        <v>54999999.999999993</v>
      </c>
    </row>
    <row r="1660" spans="1:11">
      <c r="A1660">
        <v>1</v>
      </c>
      <c r="B1660" t="s">
        <v>8</v>
      </c>
      <c r="C1660">
        <v>73.5</v>
      </c>
      <c r="D1660" s="1" t="s">
        <v>16</v>
      </c>
      <c r="E1660" s="1">
        <v>9</v>
      </c>
      <c r="F1660">
        <v>26</v>
      </c>
      <c r="G1660">
        <v>31</v>
      </c>
      <c r="H1660">
        <v>1E-4</v>
      </c>
      <c r="I1660">
        <f t="shared" si="78"/>
        <v>28.5</v>
      </c>
      <c r="J1660">
        <v>10</v>
      </c>
      <c r="K1660" s="16">
        <f t="shared" si="77"/>
        <v>28499999.999999996</v>
      </c>
    </row>
    <row r="1661" spans="1:11">
      <c r="A1661">
        <v>1</v>
      </c>
      <c r="B1661" t="s">
        <v>8</v>
      </c>
      <c r="C1661">
        <v>73.5</v>
      </c>
      <c r="D1661" s="1" t="s">
        <v>16</v>
      </c>
      <c r="E1661" s="1">
        <v>10</v>
      </c>
      <c r="F1661">
        <v>2</v>
      </c>
      <c r="G1661">
        <v>4</v>
      </c>
      <c r="H1661">
        <v>1.0000000000000001E-5</v>
      </c>
      <c r="I1661">
        <f t="shared" si="78"/>
        <v>3</v>
      </c>
      <c r="J1661">
        <v>10</v>
      </c>
      <c r="K1661" s="16">
        <f t="shared" si="77"/>
        <v>29999999.999999996</v>
      </c>
    </row>
    <row r="1662" spans="1:11">
      <c r="A1662">
        <v>1</v>
      </c>
      <c r="B1662" t="s">
        <v>8</v>
      </c>
      <c r="C1662">
        <v>74</v>
      </c>
      <c r="D1662" s="1" t="s">
        <v>16</v>
      </c>
      <c r="E1662" s="1">
        <v>1</v>
      </c>
      <c r="F1662">
        <v>9</v>
      </c>
      <c r="G1662">
        <v>8</v>
      </c>
      <c r="H1662">
        <v>9.9999999999999995E-7</v>
      </c>
      <c r="I1662">
        <f t="shared" si="78"/>
        <v>8.5</v>
      </c>
      <c r="J1662">
        <v>10</v>
      </c>
      <c r="K1662" s="16">
        <f t="shared" si="77"/>
        <v>850000000</v>
      </c>
    </row>
    <row r="1663" spans="1:11">
      <c r="A1663">
        <v>1</v>
      </c>
      <c r="B1663" t="s">
        <v>8</v>
      </c>
      <c r="C1663">
        <v>74</v>
      </c>
      <c r="D1663" s="1" t="s">
        <v>16</v>
      </c>
      <c r="E1663" s="1">
        <v>2</v>
      </c>
      <c r="F1663">
        <v>1</v>
      </c>
      <c r="G1663">
        <v>2</v>
      </c>
      <c r="H1663">
        <v>9.9999999999999995E-7</v>
      </c>
      <c r="I1663">
        <f t="shared" si="78"/>
        <v>1.5</v>
      </c>
      <c r="J1663">
        <v>10</v>
      </c>
      <c r="K1663" s="16">
        <f t="shared" si="77"/>
        <v>150000000</v>
      </c>
    </row>
    <row r="1664" spans="1:11">
      <c r="A1664">
        <v>1</v>
      </c>
      <c r="B1664" t="s">
        <v>8</v>
      </c>
      <c r="C1664">
        <v>74</v>
      </c>
      <c r="D1664" s="1" t="s">
        <v>16</v>
      </c>
      <c r="E1664" s="1">
        <v>3</v>
      </c>
      <c r="F1664">
        <v>8</v>
      </c>
      <c r="G1664">
        <v>6</v>
      </c>
      <c r="H1664">
        <v>9.9999999999999995E-7</v>
      </c>
      <c r="I1664">
        <f t="shared" si="78"/>
        <v>7</v>
      </c>
      <c r="J1664">
        <v>10</v>
      </c>
      <c r="K1664" s="16">
        <f t="shared" si="77"/>
        <v>700000000</v>
      </c>
    </row>
    <row r="1665" spans="1:11">
      <c r="A1665">
        <v>1</v>
      </c>
      <c r="B1665" t="s">
        <v>8</v>
      </c>
      <c r="C1665">
        <v>74</v>
      </c>
      <c r="D1665" s="1" t="s">
        <v>16</v>
      </c>
      <c r="E1665" s="1">
        <v>4</v>
      </c>
      <c r="F1665">
        <v>5</v>
      </c>
      <c r="G1665">
        <v>2</v>
      </c>
      <c r="H1665">
        <v>9.9999999999999995E-7</v>
      </c>
      <c r="I1665">
        <f t="shared" si="78"/>
        <v>3.5</v>
      </c>
      <c r="J1665">
        <v>10</v>
      </c>
      <c r="K1665" s="16">
        <f t="shared" si="77"/>
        <v>350000000</v>
      </c>
    </row>
    <row r="1666" spans="1:11">
      <c r="A1666">
        <v>1</v>
      </c>
      <c r="B1666" t="s">
        <v>8</v>
      </c>
      <c r="C1666">
        <v>74</v>
      </c>
      <c r="D1666" s="1" t="s">
        <v>16</v>
      </c>
      <c r="E1666" s="1">
        <v>5</v>
      </c>
      <c r="F1666">
        <v>6</v>
      </c>
      <c r="G1666">
        <v>5</v>
      </c>
      <c r="H1666">
        <v>9.9999999999999995E-7</v>
      </c>
      <c r="I1666">
        <f t="shared" si="78"/>
        <v>5.5</v>
      </c>
      <c r="J1666">
        <v>10</v>
      </c>
      <c r="K1666" s="16">
        <f t="shared" si="77"/>
        <v>550000000</v>
      </c>
    </row>
    <row r="1667" spans="1:11">
      <c r="A1667">
        <v>1</v>
      </c>
      <c r="B1667" t="s">
        <v>8</v>
      </c>
      <c r="C1667">
        <v>74</v>
      </c>
      <c r="D1667" s="1" t="s">
        <v>16</v>
      </c>
      <c r="E1667" s="1">
        <v>6</v>
      </c>
      <c r="F1667">
        <v>1</v>
      </c>
      <c r="G1667">
        <v>3</v>
      </c>
      <c r="H1667">
        <v>9.9999999999999995E-7</v>
      </c>
      <c r="I1667">
        <f t="shared" si="78"/>
        <v>2</v>
      </c>
      <c r="J1667">
        <v>10</v>
      </c>
      <c r="K1667" s="16">
        <f t="shared" si="77"/>
        <v>200000000</v>
      </c>
    </row>
    <row r="1668" spans="1:11">
      <c r="A1668">
        <v>1</v>
      </c>
      <c r="B1668" t="s">
        <v>8</v>
      </c>
      <c r="C1668">
        <v>74</v>
      </c>
      <c r="D1668" s="1" t="s">
        <v>16</v>
      </c>
      <c r="E1668" s="1">
        <v>7</v>
      </c>
      <c r="F1668">
        <v>8</v>
      </c>
      <c r="G1668">
        <v>8</v>
      </c>
      <c r="H1668">
        <v>9.9999999999999995E-7</v>
      </c>
      <c r="I1668">
        <f t="shared" si="78"/>
        <v>8</v>
      </c>
      <c r="J1668">
        <v>10</v>
      </c>
      <c r="K1668" s="16">
        <f t="shared" si="77"/>
        <v>800000000</v>
      </c>
    </row>
    <row r="1669" spans="1:11">
      <c r="A1669">
        <v>1</v>
      </c>
      <c r="B1669" t="s">
        <v>8</v>
      </c>
      <c r="C1669">
        <v>74</v>
      </c>
      <c r="D1669" s="1" t="s">
        <v>16</v>
      </c>
      <c r="E1669" s="1">
        <v>8</v>
      </c>
      <c r="F1669">
        <v>6</v>
      </c>
      <c r="G1669">
        <v>3</v>
      </c>
      <c r="H1669">
        <v>9.9999999999999995E-7</v>
      </c>
      <c r="I1669">
        <f t="shared" si="78"/>
        <v>4.5</v>
      </c>
      <c r="J1669">
        <v>10</v>
      </c>
      <c r="K1669" s="16">
        <f t="shared" si="77"/>
        <v>450000000</v>
      </c>
    </row>
    <row r="1670" spans="1:11">
      <c r="A1670">
        <v>1</v>
      </c>
      <c r="B1670" t="s">
        <v>8</v>
      </c>
      <c r="C1670">
        <v>74</v>
      </c>
      <c r="D1670" s="1" t="s">
        <v>16</v>
      </c>
      <c r="E1670" s="1">
        <v>9</v>
      </c>
      <c r="F1670">
        <v>4</v>
      </c>
      <c r="G1670">
        <v>3</v>
      </c>
      <c r="H1670">
        <v>9.9999999999999995E-7</v>
      </c>
      <c r="I1670">
        <f t="shared" si="78"/>
        <v>3.5</v>
      </c>
      <c r="J1670">
        <v>10</v>
      </c>
      <c r="K1670" s="16">
        <f t="shared" si="77"/>
        <v>350000000</v>
      </c>
    </row>
    <row r="1671" spans="1:11">
      <c r="A1671">
        <v>1</v>
      </c>
      <c r="B1671" t="s">
        <v>8</v>
      </c>
      <c r="C1671">
        <v>74</v>
      </c>
      <c r="D1671" s="1" t="s">
        <v>16</v>
      </c>
      <c r="E1671" s="1">
        <v>10</v>
      </c>
      <c r="F1671">
        <v>24</v>
      </c>
      <c r="G1671" s="5">
        <v>20</v>
      </c>
      <c r="H1671">
        <v>1.0000000000000001E-5</v>
      </c>
      <c r="I1671">
        <f t="shared" ref="I1671:I1701" si="79">AVERAGE(F1671:G1671)</f>
        <v>22</v>
      </c>
      <c r="J1671">
        <v>10</v>
      </c>
      <c r="K1671" s="16">
        <f t="shared" si="77"/>
        <v>219999999.99999997</v>
      </c>
    </row>
    <row r="1672" spans="1:11">
      <c r="A1672">
        <v>1</v>
      </c>
      <c r="B1672" t="s">
        <v>8</v>
      </c>
      <c r="C1672">
        <v>74.5</v>
      </c>
      <c r="D1672" s="1" t="s">
        <v>16</v>
      </c>
      <c r="E1672" s="1">
        <v>1</v>
      </c>
      <c r="F1672">
        <v>12</v>
      </c>
      <c r="G1672">
        <v>12</v>
      </c>
      <c r="H1672">
        <v>1.0000000000000001E-5</v>
      </c>
      <c r="I1672">
        <f t="shared" si="79"/>
        <v>12</v>
      </c>
      <c r="J1672">
        <v>10</v>
      </c>
      <c r="K1672" s="16">
        <f t="shared" si="77"/>
        <v>119999999.99999999</v>
      </c>
    </row>
    <row r="1673" spans="1:11">
      <c r="A1673">
        <v>1</v>
      </c>
      <c r="B1673" t="s">
        <v>8</v>
      </c>
      <c r="C1673">
        <v>74.5</v>
      </c>
      <c r="D1673" s="1" t="s">
        <v>16</v>
      </c>
      <c r="E1673" s="1">
        <v>2</v>
      </c>
      <c r="F1673">
        <v>5</v>
      </c>
      <c r="G1673">
        <v>6</v>
      </c>
      <c r="H1673">
        <v>9.9999999999999995E-7</v>
      </c>
      <c r="I1673">
        <f t="shared" si="79"/>
        <v>5.5</v>
      </c>
      <c r="J1673">
        <v>10</v>
      </c>
      <c r="K1673" s="16">
        <f t="shared" si="77"/>
        <v>550000000</v>
      </c>
    </row>
    <row r="1674" spans="1:11">
      <c r="A1674">
        <v>1</v>
      </c>
      <c r="B1674" t="s">
        <v>8</v>
      </c>
      <c r="C1674">
        <v>74.5</v>
      </c>
      <c r="D1674" s="1" t="s">
        <v>16</v>
      </c>
      <c r="E1674" s="1">
        <v>3</v>
      </c>
      <c r="F1674">
        <v>36</v>
      </c>
      <c r="G1674">
        <v>32</v>
      </c>
      <c r="H1674">
        <v>1.0000000000000001E-5</v>
      </c>
      <c r="I1674">
        <f t="shared" si="79"/>
        <v>34</v>
      </c>
      <c r="J1674">
        <v>10</v>
      </c>
      <c r="K1674" s="16">
        <f t="shared" si="77"/>
        <v>340000000</v>
      </c>
    </row>
    <row r="1675" spans="1:11">
      <c r="A1675">
        <v>1</v>
      </c>
      <c r="B1675" t="s">
        <v>8</v>
      </c>
      <c r="C1675">
        <v>74.5</v>
      </c>
      <c r="D1675" s="1" t="s">
        <v>16</v>
      </c>
      <c r="E1675" s="1">
        <v>4</v>
      </c>
      <c r="F1675">
        <v>13</v>
      </c>
      <c r="G1675">
        <v>16</v>
      </c>
      <c r="H1675">
        <v>1.0000000000000001E-5</v>
      </c>
      <c r="I1675">
        <f t="shared" si="79"/>
        <v>14.5</v>
      </c>
      <c r="J1675">
        <v>10</v>
      </c>
      <c r="K1675" s="16">
        <f t="shared" si="77"/>
        <v>145000000</v>
      </c>
    </row>
    <row r="1676" spans="1:11">
      <c r="A1676">
        <v>1</v>
      </c>
      <c r="B1676" t="s">
        <v>8</v>
      </c>
      <c r="C1676">
        <v>74.5</v>
      </c>
      <c r="D1676" s="1" t="s">
        <v>16</v>
      </c>
      <c r="E1676" s="1">
        <v>5</v>
      </c>
      <c r="F1676">
        <v>11</v>
      </c>
      <c r="G1676">
        <v>9</v>
      </c>
      <c r="H1676">
        <v>1.0000000000000001E-5</v>
      </c>
      <c r="I1676">
        <f t="shared" si="79"/>
        <v>10</v>
      </c>
      <c r="J1676">
        <v>10</v>
      </c>
      <c r="K1676" s="16">
        <f t="shared" si="77"/>
        <v>99999999.999999985</v>
      </c>
    </row>
    <row r="1677" spans="1:11">
      <c r="A1677">
        <v>1</v>
      </c>
      <c r="B1677" t="s">
        <v>8</v>
      </c>
      <c r="C1677">
        <v>74.5</v>
      </c>
      <c r="D1677" s="1" t="s">
        <v>16</v>
      </c>
      <c r="E1677" s="1">
        <v>6</v>
      </c>
      <c r="F1677">
        <v>9</v>
      </c>
      <c r="G1677">
        <v>6</v>
      </c>
      <c r="H1677">
        <v>1.0000000000000001E-5</v>
      </c>
      <c r="I1677">
        <f t="shared" si="79"/>
        <v>7.5</v>
      </c>
      <c r="J1677">
        <v>10</v>
      </c>
      <c r="K1677" s="16">
        <f t="shared" si="77"/>
        <v>75000000</v>
      </c>
    </row>
    <row r="1678" spans="1:11">
      <c r="A1678">
        <v>1</v>
      </c>
      <c r="B1678" t="s">
        <v>8</v>
      </c>
      <c r="C1678">
        <v>74.5</v>
      </c>
      <c r="D1678" s="1" t="s">
        <v>16</v>
      </c>
      <c r="E1678" s="1">
        <v>7</v>
      </c>
      <c r="F1678">
        <v>15</v>
      </c>
      <c r="G1678">
        <v>13</v>
      </c>
      <c r="H1678">
        <v>1.0000000000000001E-5</v>
      </c>
      <c r="I1678">
        <f t="shared" si="79"/>
        <v>14</v>
      </c>
      <c r="J1678">
        <v>10</v>
      </c>
      <c r="K1678" s="16">
        <f t="shared" si="77"/>
        <v>140000000</v>
      </c>
    </row>
    <row r="1679" spans="1:11">
      <c r="A1679">
        <v>1</v>
      </c>
      <c r="B1679" t="s">
        <v>8</v>
      </c>
      <c r="C1679">
        <v>74.5</v>
      </c>
      <c r="D1679" s="1" t="s">
        <v>16</v>
      </c>
      <c r="E1679" s="1">
        <v>8</v>
      </c>
      <c r="F1679">
        <v>17</v>
      </c>
      <c r="G1679">
        <v>11</v>
      </c>
      <c r="H1679">
        <v>1.0000000000000001E-5</v>
      </c>
      <c r="I1679">
        <f t="shared" si="79"/>
        <v>14</v>
      </c>
      <c r="J1679">
        <v>10</v>
      </c>
      <c r="K1679" s="16">
        <f t="shared" si="77"/>
        <v>140000000</v>
      </c>
    </row>
    <row r="1680" spans="1:11">
      <c r="A1680">
        <v>1</v>
      </c>
      <c r="B1680" t="s">
        <v>8</v>
      </c>
      <c r="C1680">
        <v>74.5</v>
      </c>
      <c r="D1680" s="1" t="s">
        <v>16</v>
      </c>
      <c r="E1680" s="1">
        <v>9</v>
      </c>
      <c r="F1680">
        <v>10</v>
      </c>
      <c r="G1680">
        <v>7</v>
      </c>
      <c r="H1680">
        <v>1.0000000000000001E-5</v>
      </c>
      <c r="I1680">
        <f t="shared" si="79"/>
        <v>8.5</v>
      </c>
      <c r="J1680">
        <v>10</v>
      </c>
      <c r="K1680" s="16">
        <f t="shared" si="77"/>
        <v>85000000</v>
      </c>
    </row>
    <row r="1681" spans="1:11">
      <c r="A1681">
        <v>1</v>
      </c>
      <c r="B1681" t="s">
        <v>8</v>
      </c>
      <c r="C1681">
        <v>74.5</v>
      </c>
      <c r="D1681" s="1" t="s">
        <v>16</v>
      </c>
      <c r="E1681" s="1">
        <v>10</v>
      </c>
      <c r="F1681">
        <v>17</v>
      </c>
      <c r="G1681">
        <v>8</v>
      </c>
      <c r="H1681">
        <v>1.0000000000000001E-5</v>
      </c>
      <c r="I1681">
        <f t="shared" si="79"/>
        <v>12.5</v>
      </c>
      <c r="J1681">
        <v>10</v>
      </c>
      <c r="K1681" s="16">
        <f t="shared" si="77"/>
        <v>124999999.99999999</v>
      </c>
    </row>
    <row r="1682" spans="1:11">
      <c r="A1682">
        <v>1</v>
      </c>
      <c r="B1682" t="s">
        <v>8</v>
      </c>
      <c r="C1682">
        <v>75</v>
      </c>
      <c r="D1682" s="1" t="s">
        <v>16</v>
      </c>
      <c r="E1682" s="1">
        <v>1</v>
      </c>
      <c r="F1682">
        <v>4</v>
      </c>
      <c r="G1682">
        <v>2</v>
      </c>
      <c r="H1682">
        <v>9.9999999999999995E-7</v>
      </c>
      <c r="I1682">
        <f t="shared" si="79"/>
        <v>3</v>
      </c>
      <c r="J1682">
        <v>10</v>
      </c>
      <c r="K1682" s="16">
        <f t="shared" si="77"/>
        <v>300000000</v>
      </c>
    </row>
    <row r="1683" spans="1:11">
      <c r="A1683">
        <v>1</v>
      </c>
      <c r="B1683" t="s">
        <v>8</v>
      </c>
      <c r="C1683">
        <v>75</v>
      </c>
      <c r="D1683" s="1" t="s">
        <v>16</v>
      </c>
      <c r="E1683" s="1">
        <v>2</v>
      </c>
      <c r="F1683">
        <v>3</v>
      </c>
      <c r="G1683">
        <v>2</v>
      </c>
      <c r="H1683">
        <v>9.9999999999999995E-7</v>
      </c>
      <c r="I1683">
        <f t="shared" si="79"/>
        <v>2.5</v>
      </c>
      <c r="J1683">
        <v>10</v>
      </c>
      <c r="K1683" s="16">
        <f t="shared" ref="K1683:K1746" si="80">I1683/(H1683*(J1683/1000))</f>
        <v>250000000</v>
      </c>
    </row>
    <row r="1684" spans="1:11">
      <c r="A1684">
        <v>1</v>
      </c>
      <c r="B1684" t="s">
        <v>8</v>
      </c>
      <c r="C1684">
        <v>75</v>
      </c>
      <c r="D1684" s="1" t="s">
        <v>16</v>
      </c>
      <c r="E1684" s="1">
        <v>3</v>
      </c>
      <c r="F1684">
        <v>5</v>
      </c>
      <c r="G1684">
        <v>7</v>
      </c>
      <c r="H1684">
        <v>9.9999999999999995E-7</v>
      </c>
      <c r="I1684">
        <f t="shared" si="79"/>
        <v>6</v>
      </c>
      <c r="J1684">
        <v>10</v>
      </c>
      <c r="K1684" s="16">
        <f t="shared" si="80"/>
        <v>600000000</v>
      </c>
    </row>
    <row r="1685" spans="1:11">
      <c r="A1685">
        <v>1</v>
      </c>
      <c r="B1685" t="s">
        <v>8</v>
      </c>
      <c r="C1685">
        <v>75</v>
      </c>
      <c r="D1685" s="1" t="s">
        <v>16</v>
      </c>
      <c r="E1685" s="1">
        <v>4</v>
      </c>
      <c r="F1685">
        <v>9</v>
      </c>
      <c r="H1685">
        <v>9.9999999999999995E-7</v>
      </c>
      <c r="I1685">
        <f t="shared" si="79"/>
        <v>9</v>
      </c>
      <c r="J1685">
        <v>10</v>
      </c>
      <c r="K1685" s="16">
        <f t="shared" si="80"/>
        <v>900000000</v>
      </c>
    </row>
    <row r="1686" spans="1:11">
      <c r="A1686">
        <v>1</v>
      </c>
      <c r="B1686" t="s">
        <v>8</v>
      </c>
      <c r="C1686">
        <v>75</v>
      </c>
      <c r="D1686" s="1" t="s">
        <v>16</v>
      </c>
      <c r="E1686" s="1">
        <v>5</v>
      </c>
      <c r="F1686">
        <v>4</v>
      </c>
      <c r="G1686">
        <v>2</v>
      </c>
      <c r="H1686">
        <v>9.9999999999999995E-7</v>
      </c>
      <c r="I1686">
        <f t="shared" si="79"/>
        <v>3</v>
      </c>
      <c r="J1686">
        <v>10</v>
      </c>
      <c r="K1686" s="16">
        <f t="shared" si="80"/>
        <v>300000000</v>
      </c>
    </row>
    <row r="1687" spans="1:11">
      <c r="A1687">
        <v>1</v>
      </c>
      <c r="B1687" t="s">
        <v>8</v>
      </c>
      <c r="C1687">
        <v>75</v>
      </c>
      <c r="D1687" s="1" t="s">
        <v>16</v>
      </c>
      <c r="E1687" s="1">
        <v>6</v>
      </c>
      <c r="F1687">
        <v>5</v>
      </c>
      <c r="G1687">
        <v>1</v>
      </c>
      <c r="H1687">
        <v>9.9999999999999995E-7</v>
      </c>
      <c r="I1687">
        <f t="shared" si="79"/>
        <v>3</v>
      </c>
      <c r="J1687">
        <v>10</v>
      </c>
      <c r="K1687" s="16">
        <f t="shared" si="80"/>
        <v>300000000</v>
      </c>
    </row>
    <row r="1688" spans="1:11">
      <c r="A1688">
        <v>1</v>
      </c>
      <c r="B1688" t="s">
        <v>8</v>
      </c>
      <c r="C1688">
        <v>75</v>
      </c>
      <c r="D1688" s="1" t="s">
        <v>16</v>
      </c>
      <c r="E1688" s="1">
        <v>7</v>
      </c>
      <c r="F1688">
        <v>3</v>
      </c>
      <c r="G1688">
        <v>5</v>
      </c>
      <c r="H1688">
        <v>9.9999999999999995E-7</v>
      </c>
      <c r="I1688">
        <f t="shared" si="79"/>
        <v>4</v>
      </c>
      <c r="J1688">
        <v>10</v>
      </c>
      <c r="K1688" s="16">
        <f t="shared" si="80"/>
        <v>400000000</v>
      </c>
    </row>
    <row r="1689" spans="1:11">
      <c r="A1689">
        <v>1</v>
      </c>
      <c r="B1689" t="s">
        <v>8</v>
      </c>
      <c r="C1689">
        <v>75</v>
      </c>
      <c r="D1689" s="1" t="s">
        <v>16</v>
      </c>
      <c r="E1689" s="1">
        <v>8</v>
      </c>
      <c r="F1689">
        <v>7</v>
      </c>
      <c r="G1689">
        <v>2</v>
      </c>
      <c r="H1689">
        <v>9.9999999999999995E-7</v>
      </c>
      <c r="I1689">
        <f t="shared" si="79"/>
        <v>4.5</v>
      </c>
      <c r="J1689">
        <v>10</v>
      </c>
      <c r="K1689" s="16">
        <f t="shared" si="80"/>
        <v>450000000</v>
      </c>
    </row>
    <row r="1690" spans="1:11">
      <c r="A1690">
        <v>1</v>
      </c>
      <c r="B1690" t="s">
        <v>8</v>
      </c>
      <c r="C1690">
        <v>75</v>
      </c>
      <c r="D1690" s="1" t="s">
        <v>16</v>
      </c>
      <c r="E1690" s="1">
        <v>9</v>
      </c>
      <c r="F1690">
        <v>3</v>
      </c>
      <c r="G1690">
        <v>4</v>
      </c>
      <c r="H1690">
        <v>9.9999999999999995E-7</v>
      </c>
      <c r="I1690">
        <f t="shared" si="79"/>
        <v>3.5</v>
      </c>
      <c r="J1690">
        <v>10</v>
      </c>
      <c r="K1690" s="16">
        <f t="shared" si="80"/>
        <v>350000000</v>
      </c>
    </row>
    <row r="1691" spans="1:11">
      <c r="A1691">
        <v>1</v>
      </c>
      <c r="B1691" t="s">
        <v>8</v>
      </c>
      <c r="C1691">
        <v>75</v>
      </c>
      <c r="D1691" s="1" t="s">
        <v>16</v>
      </c>
      <c r="E1691" s="1">
        <v>10</v>
      </c>
      <c r="F1691">
        <v>23</v>
      </c>
      <c r="G1691">
        <v>29</v>
      </c>
      <c r="H1691">
        <v>1.0000000000000001E-5</v>
      </c>
      <c r="I1691">
        <f t="shared" si="79"/>
        <v>26</v>
      </c>
      <c r="J1691">
        <v>10</v>
      </c>
      <c r="K1691" s="16">
        <f t="shared" si="80"/>
        <v>259999999.99999997</v>
      </c>
    </row>
    <row r="1692" spans="1:11">
      <c r="A1692">
        <v>1</v>
      </c>
      <c r="B1692" t="s">
        <v>8</v>
      </c>
      <c r="C1692">
        <v>75.5</v>
      </c>
      <c r="D1692" s="1" t="s">
        <v>16</v>
      </c>
      <c r="E1692" s="1">
        <v>1</v>
      </c>
      <c r="F1692">
        <v>10</v>
      </c>
      <c r="G1692">
        <v>4</v>
      </c>
      <c r="H1692">
        <v>1.0000000000000001E-5</v>
      </c>
      <c r="I1692">
        <f t="shared" si="79"/>
        <v>7</v>
      </c>
      <c r="J1692">
        <v>10</v>
      </c>
      <c r="K1692" s="16">
        <f t="shared" si="80"/>
        <v>70000000</v>
      </c>
    </row>
    <row r="1693" spans="1:11">
      <c r="A1693">
        <v>1</v>
      </c>
      <c r="B1693" t="s">
        <v>8</v>
      </c>
      <c r="C1693">
        <v>75.5</v>
      </c>
      <c r="D1693" s="1" t="s">
        <v>16</v>
      </c>
      <c r="E1693" s="1">
        <v>2</v>
      </c>
      <c r="F1693">
        <v>14</v>
      </c>
      <c r="G1693">
        <v>16</v>
      </c>
      <c r="H1693">
        <v>1.0000000000000001E-5</v>
      </c>
      <c r="I1693">
        <f t="shared" si="79"/>
        <v>15</v>
      </c>
      <c r="J1693">
        <v>10</v>
      </c>
      <c r="K1693" s="16">
        <f t="shared" si="80"/>
        <v>150000000</v>
      </c>
    </row>
    <row r="1694" spans="1:11">
      <c r="A1694">
        <v>1</v>
      </c>
      <c r="B1694" t="s">
        <v>8</v>
      </c>
      <c r="C1694">
        <v>75.5</v>
      </c>
      <c r="D1694" s="1" t="s">
        <v>16</v>
      </c>
      <c r="E1694" s="1">
        <v>3</v>
      </c>
      <c r="F1694">
        <v>17</v>
      </c>
      <c r="G1694">
        <v>19</v>
      </c>
      <c r="H1694">
        <v>1.0000000000000001E-5</v>
      </c>
      <c r="I1694">
        <f t="shared" si="79"/>
        <v>18</v>
      </c>
      <c r="J1694">
        <v>10</v>
      </c>
      <c r="K1694" s="16">
        <f t="shared" si="80"/>
        <v>179999999.99999997</v>
      </c>
    </row>
    <row r="1695" spans="1:11">
      <c r="A1695">
        <v>1</v>
      </c>
      <c r="B1695" t="s">
        <v>8</v>
      </c>
      <c r="C1695">
        <v>75.5</v>
      </c>
      <c r="D1695" s="1" t="s">
        <v>16</v>
      </c>
      <c r="E1695" s="1">
        <v>4</v>
      </c>
      <c r="F1695">
        <v>10</v>
      </c>
      <c r="G1695">
        <v>12</v>
      </c>
      <c r="H1695">
        <v>1.0000000000000001E-5</v>
      </c>
      <c r="I1695">
        <f t="shared" si="79"/>
        <v>11</v>
      </c>
      <c r="J1695">
        <v>10</v>
      </c>
      <c r="K1695" s="16">
        <f t="shared" si="80"/>
        <v>109999999.99999999</v>
      </c>
    </row>
    <row r="1696" spans="1:11">
      <c r="A1696">
        <v>1</v>
      </c>
      <c r="B1696" t="s">
        <v>8</v>
      </c>
      <c r="C1696">
        <v>75.5</v>
      </c>
      <c r="D1696" s="1" t="s">
        <v>16</v>
      </c>
      <c r="E1696" s="1">
        <v>5</v>
      </c>
      <c r="F1696">
        <v>11</v>
      </c>
      <c r="G1696">
        <v>14</v>
      </c>
      <c r="H1696">
        <v>1.0000000000000001E-5</v>
      </c>
      <c r="I1696">
        <f t="shared" si="79"/>
        <v>12.5</v>
      </c>
      <c r="J1696">
        <v>10</v>
      </c>
      <c r="K1696" s="16">
        <f t="shared" si="80"/>
        <v>124999999.99999999</v>
      </c>
    </row>
    <row r="1697" spans="1:11">
      <c r="A1697">
        <v>1</v>
      </c>
      <c r="B1697" t="s">
        <v>8</v>
      </c>
      <c r="C1697">
        <v>75.5</v>
      </c>
      <c r="D1697" s="1" t="s">
        <v>16</v>
      </c>
      <c r="E1697" s="1">
        <v>6</v>
      </c>
      <c r="F1697">
        <v>11</v>
      </c>
      <c r="G1697">
        <v>10</v>
      </c>
      <c r="H1697">
        <v>1.0000000000000001E-5</v>
      </c>
      <c r="I1697">
        <f t="shared" si="79"/>
        <v>10.5</v>
      </c>
      <c r="J1697">
        <v>10</v>
      </c>
      <c r="K1697" s="16">
        <f t="shared" si="80"/>
        <v>104999999.99999999</v>
      </c>
    </row>
    <row r="1698" spans="1:11">
      <c r="A1698">
        <v>1</v>
      </c>
      <c r="B1698" t="s">
        <v>8</v>
      </c>
      <c r="C1698">
        <v>75.5</v>
      </c>
      <c r="D1698" s="1" t="s">
        <v>16</v>
      </c>
      <c r="E1698" s="1">
        <v>7</v>
      </c>
      <c r="F1698">
        <v>11</v>
      </c>
      <c r="G1698">
        <v>16</v>
      </c>
      <c r="H1698">
        <v>1.0000000000000001E-5</v>
      </c>
      <c r="I1698">
        <f t="shared" si="79"/>
        <v>13.5</v>
      </c>
      <c r="J1698">
        <v>10</v>
      </c>
      <c r="K1698" s="16">
        <f t="shared" si="80"/>
        <v>135000000</v>
      </c>
    </row>
    <row r="1699" spans="1:11">
      <c r="A1699">
        <v>1</v>
      </c>
      <c r="B1699" t="s">
        <v>8</v>
      </c>
      <c r="C1699">
        <v>75.5</v>
      </c>
      <c r="D1699" s="1" t="s">
        <v>16</v>
      </c>
      <c r="E1699" s="1">
        <v>8</v>
      </c>
      <c r="F1699">
        <v>14</v>
      </c>
      <c r="G1699">
        <v>15</v>
      </c>
      <c r="H1699">
        <v>1.0000000000000001E-5</v>
      </c>
      <c r="I1699">
        <f t="shared" si="79"/>
        <v>14.5</v>
      </c>
      <c r="J1699">
        <v>10</v>
      </c>
      <c r="K1699" s="16">
        <f t="shared" si="80"/>
        <v>145000000</v>
      </c>
    </row>
    <row r="1700" spans="1:11">
      <c r="A1700">
        <v>1</v>
      </c>
      <c r="B1700" t="s">
        <v>8</v>
      </c>
      <c r="C1700">
        <v>75.5</v>
      </c>
      <c r="D1700" s="1" t="s">
        <v>16</v>
      </c>
      <c r="E1700" s="1">
        <v>9</v>
      </c>
      <c r="F1700">
        <v>8</v>
      </c>
      <c r="G1700">
        <v>9</v>
      </c>
      <c r="H1700">
        <v>1.0000000000000001E-5</v>
      </c>
      <c r="I1700">
        <f t="shared" si="79"/>
        <v>8.5</v>
      </c>
      <c r="J1700">
        <v>10</v>
      </c>
      <c r="K1700" s="16">
        <f t="shared" si="80"/>
        <v>85000000</v>
      </c>
    </row>
    <row r="1701" spans="1:11">
      <c r="A1701">
        <v>1</v>
      </c>
      <c r="B1701" t="s">
        <v>8</v>
      </c>
      <c r="C1701">
        <v>75.5</v>
      </c>
      <c r="D1701" s="1" t="s">
        <v>16</v>
      </c>
      <c r="E1701" s="1">
        <v>10</v>
      </c>
      <c r="F1701">
        <v>2</v>
      </c>
      <c r="G1701">
        <v>2</v>
      </c>
      <c r="H1701">
        <v>9.9999999999999995E-7</v>
      </c>
      <c r="I1701">
        <f t="shared" si="79"/>
        <v>2</v>
      </c>
      <c r="J1701">
        <v>10</v>
      </c>
      <c r="K1701" s="16">
        <f t="shared" si="80"/>
        <v>200000000</v>
      </c>
    </row>
    <row r="1702" spans="1:11">
      <c r="A1702">
        <v>1</v>
      </c>
      <c r="B1702" t="s">
        <v>8</v>
      </c>
      <c r="C1702">
        <v>76</v>
      </c>
      <c r="D1702" s="1" t="s">
        <v>16</v>
      </c>
      <c r="E1702" s="1">
        <v>1</v>
      </c>
      <c r="F1702">
        <v>6</v>
      </c>
      <c r="G1702">
        <v>5</v>
      </c>
      <c r="H1702">
        <v>9.9999999999999995E-7</v>
      </c>
      <c r="I1702">
        <f t="shared" ref="I1702:I1731" si="81">AVERAGE(F1702:G1702)</f>
        <v>5.5</v>
      </c>
      <c r="J1702">
        <v>10</v>
      </c>
      <c r="K1702" s="16">
        <f t="shared" si="80"/>
        <v>550000000</v>
      </c>
    </row>
    <row r="1703" spans="1:11">
      <c r="A1703">
        <v>1</v>
      </c>
      <c r="B1703" t="s">
        <v>8</v>
      </c>
      <c r="C1703">
        <v>76</v>
      </c>
      <c r="D1703" s="1" t="s">
        <v>16</v>
      </c>
      <c r="E1703" s="1">
        <v>2</v>
      </c>
      <c r="F1703">
        <v>2</v>
      </c>
      <c r="G1703">
        <v>3</v>
      </c>
      <c r="H1703">
        <v>9.9999999999999995E-7</v>
      </c>
      <c r="I1703">
        <f t="shared" si="81"/>
        <v>2.5</v>
      </c>
      <c r="J1703">
        <v>10</v>
      </c>
      <c r="K1703" s="16">
        <f t="shared" si="80"/>
        <v>250000000</v>
      </c>
    </row>
    <row r="1704" spans="1:11">
      <c r="A1704">
        <v>1</v>
      </c>
      <c r="B1704" t="s">
        <v>8</v>
      </c>
      <c r="C1704">
        <v>76</v>
      </c>
      <c r="D1704" s="1" t="s">
        <v>16</v>
      </c>
      <c r="E1704" s="1">
        <v>3</v>
      </c>
      <c r="F1704">
        <v>23</v>
      </c>
      <c r="G1704">
        <v>17</v>
      </c>
      <c r="H1704">
        <v>1.0000000000000001E-5</v>
      </c>
      <c r="I1704">
        <f t="shared" si="81"/>
        <v>20</v>
      </c>
      <c r="J1704">
        <v>10</v>
      </c>
      <c r="K1704" s="16">
        <f t="shared" si="80"/>
        <v>199999999.99999997</v>
      </c>
    </row>
    <row r="1705" spans="1:11">
      <c r="A1705">
        <v>1</v>
      </c>
      <c r="B1705" t="s">
        <v>8</v>
      </c>
      <c r="C1705">
        <v>76</v>
      </c>
      <c r="D1705" s="1" t="s">
        <v>16</v>
      </c>
      <c r="E1705" s="1">
        <v>4</v>
      </c>
      <c r="F1705">
        <v>2</v>
      </c>
      <c r="G1705">
        <v>5</v>
      </c>
      <c r="H1705">
        <v>9.9999999999999995E-7</v>
      </c>
      <c r="I1705">
        <f t="shared" si="81"/>
        <v>3.5</v>
      </c>
      <c r="J1705">
        <v>10</v>
      </c>
      <c r="K1705" s="16">
        <f t="shared" si="80"/>
        <v>350000000</v>
      </c>
    </row>
    <row r="1706" spans="1:11">
      <c r="A1706">
        <v>1</v>
      </c>
      <c r="B1706" t="s">
        <v>8</v>
      </c>
      <c r="C1706">
        <v>76</v>
      </c>
      <c r="D1706" s="1" t="s">
        <v>16</v>
      </c>
      <c r="E1706" s="1">
        <v>5</v>
      </c>
      <c r="F1706">
        <v>1</v>
      </c>
      <c r="G1706">
        <v>9</v>
      </c>
      <c r="H1706">
        <v>9.9999999999999995E-7</v>
      </c>
      <c r="I1706">
        <f t="shared" si="81"/>
        <v>5</v>
      </c>
      <c r="J1706">
        <v>10</v>
      </c>
      <c r="K1706" s="16">
        <f t="shared" si="80"/>
        <v>500000000</v>
      </c>
    </row>
    <row r="1707" spans="1:11">
      <c r="A1707">
        <v>1</v>
      </c>
      <c r="B1707" t="s">
        <v>8</v>
      </c>
      <c r="C1707">
        <v>76</v>
      </c>
      <c r="D1707" s="1" t="s">
        <v>16</v>
      </c>
      <c r="E1707" s="1">
        <v>6</v>
      </c>
      <c r="F1707">
        <v>4</v>
      </c>
      <c r="G1707">
        <v>3</v>
      </c>
      <c r="H1707">
        <v>9.9999999999999995E-7</v>
      </c>
      <c r="I1707">
        <f t="shared" si="81"/>
        <v>3.5</v>
      </c>
      <c r="J1707">
        <v>10</v>
      </c>
      <c r="K1707" s="16">
        <f t="shared" si="80"/>
        <v>350000000</v>
      </c>
    </row>
    <row r="1708" spans="1:11">
      <c r="A1708">
        <v>1</v>
      </c>
      <c r="B1708" t="s">
        <v>8</v>
      </c>
      <c r="C1708">
        <v>76</v>
      </c>
      <c r="D1708" s="1" t="s">
        <v>16</v>
      </c>
      <c r="E1708" s="1">
        <v>7</v>
      </c>
      <c r="F1708">
        <v>4</v>
      </c>
      <c r="G1708">
        <v>6</v>
      </c>
      <c r="H1708">
        <v>9.9999999999999995E-7</v>
      </c>
      <c r="I1708">
        <f t="shared" si="81"/>
        <v>5</v>
      </c>
      <c r="J1708">
        <v>10</v>
      </c>
      <c r="K1708" s="16">
        <f t="shared" si="80"/>
        <v>500000000</v>
      </c>
    </row>
    <row r="1709" spans="1:11">
      <c r="A1709">
        <v>1</v>
      </c>
      <c r="B1709" t="s">
        <v>8</v>
      </c>
      <c r="C1709">
        <v>76</v>
      </c>
      <c r="D1709" s="1" t="s">
        <v>16</v>
      </c>
      <c r="E1709" s="1">
        <v>8</v>
      </c>
      <c r="F1709">
        <v>1</v>
      </c>
      <c r="G1709">
        <v>7</v>
      </c>
      <c r="H1709">
        <v>9.9999999999999995E-7</v>
      </c>
      <c r="I1709">
        <f t="shared" si="81"/>
        <v>4</v>
      </c>
      <c r="J1709">
        <v>10</v>
      </c>
      <c r="K1709" s="16">
        <f t="shared" si="80"/>
        <v>400000000</v>
      </c>
    </row>
    <row r="1710" spans="1:11">
      <c r="A1710">
        <v>1</v>
      </c>
      <c r="B1710" t="s">
        <v>8</v>
      </c>
      <c r="C1710">
        <v>76</v>
      </c>
      <c r="D1710" s="1" t="s">
        <v>16</v>
      </c>
      <c r="E1710" s="1">
        <v>9</v>
      </c>
      <c r="F1710">
        <v>3</v>
      </c>
      <c r="G1710">
        <v>2</v>
      </c>
      <c r="H1710">
        <v>9.9999999999999995E-7</v>
      </c>
      <c r="I1710">
        <f t="shared" si="81"/>
        <v>2.5</v>
      </c>
      <c r="J1710">
        <v>10</v>
      </c>
      <c r="K1710" s="16">
        <f t="shared" si="80"/>
        <v>250000000</v>
      </c>
    </row>
    <row r="1711" spans="1:11">
      <c r="A1711">
        <v>1</v>
      </c>
      <c r="B1711" t="s">
        <v>8</v>
      </c>
      <c r="C1711">
        <v>76</v>
      </c>
      <c r="D1711" s="1" t="s">
        <v>16</v>
      </c>
      <c r="E1711" s="1">
        <v>10</v>
      </c>
      <c r="F1711">
        <v>2</v>
      </c>
      <c r="G1711">
        <v>4</v>
      </c>
      <c r="H1711">
        <v>9.9999999999999995E-7</v>
      </c>
      <c r="I1711">
        <f t="shared" si="81"/>
        <v>3</v>
      </c>
      <c r="J1711">
        <v>10</v>
      </c>
      <c r="K1711" s="16">
        <f t="shared" si="80"/>
        <v>300000000</v>
      </c>
    </row>
    <row r="1712" spans="1:11">
      <c r="A1712">
        <v>1</v>
      </c>
      <c r="B1712" t="s">
        <v>8</v>
      </c>
      <c r="C1712">
        <v>76.5</v>
      </c>
      <c r="D1712" s="1" t="s">
        <v>16</v>
      </c>
      <c r="E1712" s="1">
        <v>1</v>
      </c>
      <c r="F1712">
        <v>26</v>
      </c>
      <c r="G1712">
        <v>14</v>
      </c>
      <c r="H1712">
        <v>1.0000000000000001E-5</v>
      </c>
      <c r="I1712">
        <f t="shared" si="81"/>
        <v>20</v>
      </c>
      <c r="J1712">
        <v>10</v>
      </c>
      <c r="K1712" s="16">
        <f t="shared" si="80"/>
        <v>199999999.99999997</v>
      </c>
    </row>
    <row r="1713" spans="1:11">
      <c r="A1713">
        <v>1</v>
      </c>
      <c r="B1713" t="s">
        <v>8</v>
      </c>
      <c r="C1713">
        <v>76.5</v>
      </c>
      <c r="D1713" s="1" t="s">
        <v>16</v>
      </c>
      <c r="E1713" s="1">
        <v>2</v>
      </c>
      <c r="F1713">
        <v>15</v>
      </c>
      <c r="G1713">
        <v>14</v>
      </c>
      <c r="H1713">
        <v>1.0000000000000001E-5</v>
      </c>
      <c r="I1713">
        <f t="shared" si="81"/>
        <v>14.5</v>
      </c>
      <c r="J1713">
        <v>10</v>
      </c>
      <c r="K1713" s="16">
        <f t="shared" si="80"/>
        <v>145000000</v>
      </c>
    </row>
    <row r="1714" spans="1:11">
      <c r="A1714">
        <v>1</v>
      </c>
      <c r="B1714" t="s">
        <v>8</v>
      </c>
      <c r="C1714">
        <v>76.5</v>
      </c>
      <c r="D1714" s="1" t="s">
        <v>16</v>
      </c>
      <c r="E1714" s="1">
        <v>3</v>
      </c>
      <c r="F1714">
        <v>11</v>
      </c>
      <c r="G1714">
        <v>9</v>
      </c>
      <c r="H1714">
        <v>1.0000000000000001E-5</v>
      </c>
      <c r="I1714">
        <f t="shared" si="81"/>
        <v>10</v>
      </c>
      <c r="J1714">
        <v>10</v>
      </c>
      <c r="K1714" s="16">
        <f t="shared" si="80"/>
        <v>99999999.999999985</v>
      </c>
    </row>
    <row r="1715" spans="1:11">
      <c r="A1715">
        <v>1</v>
      </c>
      <c r="B1715" t="s">
        <v>8</v>
      </c>
      <c r="C1715">
        <v>76.5</v>
      </c>
      <c r="D1715" s="1" t="s">
        <v>16</v>
      </c>
      <c r="E1715" s="1">
        <v>4</v>
      </c>
      <c r="F1715">
        <v>11</v>
      </c>
      <c r="G1715">
        <v>9</v>
      </c>
      <c r="H1715">
        <v>1.0000000000000001E-5</v>
      </c>
      <c r="I1715">
        <f t="shared" si="81"/>
        <v>10</v>
      </c>
      <c r="J1715">
        <v>10</v>
      </c>
      <c r="K1715" s="16">
        <f t="shared" si="80"/>
        <v>99999999.999999985</v>
      </c>
    </row>
    <row r="1716" spans="1:11">
      <c r="A1716">
        <v>1</v>
      </c>
      <c r="B1716" t="s">
        <v>8</v>
      </c>
      <c r="C1716">
        <v>76.5</v>
      </c>
      <c r="D1716" s="1" t="s">
        <v>16</v>
      </c>
      <c r="E1716" s="1">
        <v>5</v>
      </c>
      <c r="F1716">
        <v>12</v>
      </c>
      <c r="G1716">
        <v>11</v>
      </c>
      <c r="H1716">
        <v>1.0000000000000001E-5</v>
      </c>
      <c r="I1716">
        <f t="shared" si="81"/>
        <v>11.5</v>
      </c>
      <c r="J1716">
        <v>10</v>
      </c>
      <c r="K1716" s="16">
        <f t="shared" si="80"/>
        <v>114999999.99999999</v>
      </c>
    </row>
    <row r="1717" spans="1:11">
      <c r="A1717">
        <v>1</v>
      </c>
      <c r="B1717" t="s">
        <v>8</v>
      </c>
      <c r="C1717">
        <v>76.5</v>
      </c>
      <c r="D1717" s="1" t="s">
        <v>16</v>
      </c>
      <c r="E1717" s="1">
        <v>6</v>
      </c>
      <c r="F1717">
        <v>15</v>
      </c>
      <c r="G1717">
        <v>18</v>
      </c>
      <c r="H1717">
        <v>1.0000000000000001E-5</v>
      </c>
      <c r="I1717">
        <f t="shared" si="81"/>
        <v>16.5</v>
      </c>
      <c r="J1717">
        <v>10</v>
      </c>
      <c r="K1717" s="16">
        <f t="shared" si="80"/>
        <v>165000000</v>
      </c>
    </row>
    <row r="1718" spans="1:11">
      <c r="A1718">
        <v>1</v>
      </c>
      <c r="B1718" t="s">
        <v>8</v>
      </c>
      <c r="C1718">
        <v>76.5</v>
      </c>
      <c r="D1718" s="1" t="s">
        <v>16</v>
      </c>
      <c r="E1718" s="1">
        <v>7</v>
      </c>
      <c r="F1718">
        <v>14</v>
      </c>
      <c r="G1718">
        <v>11</v>
      </c>
      <c r="H1718">
        <v>1.0000000000000001E-5</v>
      </c>
      <c r="I1718">
        <f t="shared" si="81"/>
        <v>12.5</v>
      </c>
      <c r="J1718">
        <v>10</v>
      </c>
      <c r="K1718" s="16">
        <f t="shared" si="80"/>
        <v>124999999.99999999</v>
      </c>
    </row>
    <row r="1719" spans="1:11">
      <c r="A1719">
        <v>1</v>
      </c>
      <c r="B1719" t="s">
        <v>8</v>
      </c>
      <c r="C1719">
        <v>76.5</v>
      </c>
      <c r="D1719" s="1" t="s">
        <v>16</v>
      </c>
      <c r="E1719" s="1">
        <v>8</v>
      </c>
      <c r="F1719">
        <v>13</v>
      </c>
      <c r="G1719">
        <v>15</v>
      </c>
      <c r="H1719">
        <v>1.0000000000000001E-5</v>
      </c>
      <c r="I1719">
        <f t="shared" si="81"/>
        <v>14</v>
      </c>
      <c r="J1719">
        <v>10</v>
      </c>
      <c r="K1719" s="16">
        <f t="shared" si="80"/>
        <v>140000000</v>
      </c>
    </row>
    <row r="1720" spans="1:11">
      <c r="A1720">
        <v>1</v>
      </c>
      <c r="B1720" t="s">
        <v>8</v>
      </c>
      <c r="C1720">
        <v>76.5</v>
      </c>
      <c r="D1720" s="1" t="s">
        <v>16</v>
      </c>
      <c r="E1720" s="1">
        <v>9</v>
      </c>
      <c r="F1720">
        <v>9</v>
      </c>
      <c r="G1720">
        <v>9</v>
      </c>
      <c r="H1720">
        <v>1.0000000000000001E-5</v>
      </c>
      <c r="I1720">
        <f t="shared" si="81"/>
        <v>9</v>
      </c>
      <c r="J1720">
        <v>10</v>
      </c>
      <c r="K1720" s="16">
        <f t="shared" si="80"/>
        <v>89999999.999999985</v>
      </c>
    </row>
    <row r="1721" spans="1:11">
      <c r="A1721">
        <v>1</v>
      </c>
      <c r="B1721" t="s">
        <v>8</v>
      </c>
      <c r="C1721">
        <v>76.5</v>
      </c>
      <c r="D1721" s="1" t="s">
        <v>16</v>
      </c>
      <c r="E1721" s="1">
        <v>10</v>
      </c>
      <c r="F1721">
        <v>9</v>
      </c>
      <c r="G1721">
        <v>8</v>
      </c>
      <c r="H1721">
        <v>1.0000000000000001E-5</v>
      </c>
      <c r="I1721">
        <f t="shared" si="81"/>
        <v>8.5</v>
      </c>
      <c r="J1721">
        <v>10</v>
      </c>
      <c r="K1721" s="16">
        <f t="shared" si="80"/>
        <v>85000000</v>
      </c>
    </row>
    <row r="1722" spans="1:11">
      <c r="A1722">
        <v>1</v>
      </c>
      <c r="B1722" t="s">
        <v>8</v>
      </c>
      <c r="C1722">
        <v>77</v>
      </c>
      <c r="D1722" s="1" t="s">
        <v>16</v>
      </c>
      <c r="E1722" s="1">
        <v>1</v>
      </c>
      <c r="F1722">
        <v>4</v>
      </c>
      <c r="G1722">
        <v>8</v>
      </c>
      <c r="H1722">
        <v>9.9999999999999995E-7</v>
      </c>
      <c r="I1722">
        <f t="shared" si="81"/>
        <v>6</v>
      </c>
      <c r="J1722">
        <v>10</v>
      </c>
      <c r="K1722" s="16">
        <f t="shared" si="80"/>
        <v>600000000</v>
      </c>
    </row>
    <row r="1723" spans="1:11">
      <c r="A1723">
        <v>1</v>
      </c>
      <c r="B1723" t="s">
        <v>8</v>
      </c>
      <c r="C1723">
        <v>77</v>
      </c>
      <c r="D1723" s="1" t="s">
        <v>16</v>
      </c>
      <c r="E1723" s="1">
        <v>2</v>
      </c>
      <c r="F1723">
        <v>9</v>
      </c>
      <c r="G1723">
        <v>14</v>
      </c>
      <c r="H1723">
        <v>9.9999999999999995E-7</v>
      </c>
      <c r="I1723">
        <f t="shared" si="81"/>
        <v>11.5</v>
      </c>
      <c r="J1723">
        <v>10</v>
      </c>
      <c r="K1723" s="16">
        <f t="shared" si="80"/>
        <v>1150000000</v>
      </c>
    </row>
    <row r="1724" spans="1:11">
      <c r="A1724">
        <v>1</v>
      </c>
      <c r="B1724" t="s">
        <v>8</v>
      </c>
      <c r="C1724">
        <v>77</v>
      </c>
      <c r="D1724" s="1" t="s">
        <v>16</v>
      </c>
      <c r="E1724" s="1">
        <v>3</v>
      </c>
      <c r="F1724">
        <v>2</v>
      </c>
      <c r="G1724">
        <v>8</v>
      </c>
      <c r="H1724">
        <v>9.9999999999999995E-7</v>
      </c>
      <c r="I1724">
        <f t="shared" si="81"/>
        <v>5</v>
      </c>
      <c r="J1724">
        <v>10</v>
      </c>
      <c r="K1724" s="16">
        <f t="shared" si="80"/>
        <v>500000000</v>
      </c>
    </row>
    <row r="1725" spans="1:11">
      <c r="A1725">
        <v>1</v>
      </c>
      <c r="B1725" t="s">
        <v>8</v>
      </c>
      <c r="C1725">
        <v>77</v>
      </c>
      <c r="D1725" s="1" t="s">
        <v>16</v>
      </c>
      <c r="E1725" s="1">
        <v>4</v>
      </c>
      <c r="F1725">
        <v>5</v>
      </c>
      <c r="G1725">
        <v>6</v>
      </c>
      <c r="H1725">
        <v>9.9999999999999995E-7</v>
      </c>
      <c r="I1725">
        <f t="shared" si="81"/>
        <v>5.5</v>
      </c>
      <c r="J1725">
        <v>10</v>
      </c>
      <c r="K1725" s="16">
        <f t="shared" si="80"/>
        <v>550000000</v>
      </c>
    </row>
    <row r="1726" spans="1:11">
      <c r="A1726">
        <v>1</v>
      </c>
      <c r="B1726" t="s">
        <v>8</v>
      </c>
      <c r="C1726">
        <v>77</v>
      </c>
      <c r="D1726" s="1" t="s">
        <v>16</v>
      </c>
      <c r="E1726" s="1">
        <v>5</v>
      </c>
      <c r="F1726">
        <v>4</v>
      </c>
      <c r="G1726">
        <v>5</v>
      </c>
      <c r="H1726">
        <v>9.9999999999999995E-7</v>
      </c>
      <c r="I1726">
        <f t="shared" si="81"/>
        <v>4.5</v>
      </c>
      <c r="J1726">
        <v>10</v>
      </c>
      <c r="K1726" s="16">
        <f t="shared" si="80"/>
        <v>450000000</v>
      </c>
    </row>
    <row r="1727" spans="1:11">
      <c r="A1727">
        <v>1</v>
      </c>
      <c r="B1727" t="s">
        <v>8</v>
      </c>
      <c r="C1727">
        <v>77</v>
      </c>
      <c r="D1727" s="1" t="s">
        <v>16</v>
      </c>
      <c r="E1727" s="1">
        <v>6</v>
      </c>
      <c r="F1727">
        <v>6</v>
      </c>
      <c r="G1727">
        <v>4</v>
      </c>
      <c r="H1727">
        <v>9.9999999999999995E-7</v>
      </c>
      <c r="I1727">
        <f t="shared" si="81"/>
        <v>5</v>
      </c>
      <c r="J1727">
        <v>10</v>
      </c>
      <c r="K1727" s="16">
        <f t="shared" si="80"/>
        <v>500000000</v>
      </c>
    </row>
    <row r="1728" spans="1:11">
      <c r="A1728">
        <v>1</v>
      </c>
      <c r="B1728" t="s">
        <v>8</v>
      </c>
      <c r="C1728">
        <v>77</v>
      </c>
      <c r="D1728" s="1" t="s">
        <v>16</v>
      </c>
      <c r="E1728" s="1">
        <v>7</v>
      </c>
      <c r="F1728">
        <v>8</v>
      </c>
      <c r="G1728">
        <v>6</v>
      </c>
      <c r="H1728">
        <v>9.9999999999999995E-7</v>
      </c>
      <c r="I1728">
        <f t="shared" si="81"/>
        <v>7</v>
      </c>
      <c r="J1728">
        <v>10</v>
      </c>
      <c r="K1728" s="16">
        <f t="shared" si="80"/>
        <v>700000000</v>
      </c>
    </row>
    <row r="1729" spans="1:11">
      <c r="A1729">
        <v>1</v>
      </c>
      <c r="B1729" t="s">
        <v>8</v>
      </c>
      <c r="C1729">
        <v>77</v>
      </c>
      <c r="D1729" s="1" t="s">
        <v>16</v>
      </c>
      <c r="E1729" s="1">
        <v>8</v>
      </c>
      <c r="F1729">
        <v>12</v>
      </c>
      <c r="G1729">
        <v>7</v>
      </c>
      <c r="H1729">
        <v>9.9999999999999995E-7</v>
      </c>
      <c r="I1729">
        <f t="shared" si="81"/>
        <v>9.5</v>
      </c>
      <c r="J1729">
        <v>10</v>
      </c>
      <c r="K1729" s="16">
        <f t="shared" si="80"/>
        <v>950000000</v>
      </c>
    </row>
    <row r="1730" spans="1:11">
      <c r="A1730">
        <v>1</v>
      </c>
      <c r="B1730" t="s">
        <v>8</v>
      </c>
      <c r="C1730">
        <v>77</v>
      </c>
      <c r="D1730" s="1" t="s">
        <v>16</v>
      </c>
      <c r="E1730" s="1">
        <v>9</v>
      </c>
      <c r="F1730">
        <v>2</v>
      </c>
      <c r="G1730">
        <v>3</v>
      </c>
      <c r="H1730">
        <v>9.9999999999999995E-7</v>
      </c>
      <c r="I1730">
        <f t="shared" si="81"/>
        <v>2.5</v>
      </c>
      <c r="J1730">
        <v>10</v>
      </c>
      <c r="K1730" s="16">
        <f t="shared" si="80"/>
        <v>250000000</v>
      </c>
    </row>
    <row r="1731" spans="1:11">
      <c r="A1731">
        <v>1</v>
      </c>
      <c r="B1731" t="s">
        <v>8</v>
      </c>
      <c r="C1731">
        <v>77</v>
      </c>
      <c r="D1731" s="1" t="s">
        <v>16</v>
      </c>
      <c r="E1731" s="1">
        <v>10</v>
      </c>
      <c r="F1731">
        <v>6</v>
      </c>
      <c r="G1731">
        <v>2</v>
      </c>
      <c r="H1731">
        <v>9.9999999999999995E-7</v>
      </c>
      <c r="I1731">
        <f t="shared" si="81"/>
        <v>4</v>
      </c>
      <c r="J1731">
        <v>10</v>
      </c>
      <c r="K1731" s="16">
        <f t="shared" si="80"/>
        <v>400000000</v>
      </c>
    </row>
    <row r="1732" spans="1:11">
      <c r="A1732">
        <v>1</v>
      </c>
      <c r="B1732" t="s">
        <v>8</v>
      </c>
      <c r="C1732">
        <v>77.5</v>
      </c>
      <c r="D1732" s="1" t="s">
        <v>16</v>
      </c>
      <c r="E1732" s="1">
        <v>1</v>
      </c>
      <c r="F1732">
        <v>1</v>
      </c>
      <c r="G1732">
        <v>1</v>
      </c>
      <c r="H1732">
        <v>1.0000000000000001E-5</v>
      </c>
      <c r="I1732">
        <f t="shared" ref="I1732:I1762" si="82">AVERAGE(F1732:G1732)</f>
        <v>1</v>
      </c>
      <c r="J1732">
        <v>10</v>
      </c>
      <c r="K1732" s="16">
        <f t="shared" si="80"/>
        <v>10000000</v>
      </c>
    </row>
    <row r="1733" spans="1:11">
      <c r="A1733">
        <v>1</v>
      </c>
      <c r="B1733" t="s">
        <v>8</v>
      </c>
      <c r="C1733">
        <v>77.5</v>
      </c>
      <c r="D1733" s="1" t="s">
        <v>16</v>
      </c>
      <c r="E1733" s="1">
        <v>2</v>
      </c>
      <c r="F1733">
        <v>3</v>
      </c>
      <c r="G1733">
        <v>9</v>
      </c>
      <c r="H1733">
        <v>9.9999999999999995E-7</v>
      </c>
      <c r="I1733">
        <f t="shared" si="82"/>
        <v>6</v>
      </c>
      <c r="J1733">
        <v>10</v>
      </c>
      <c r="K1733" s="16">
        <f t="shared" si="80"/>
        <v>600000000</v>
      </c>
    </row>
    <row r="1734" spans="1:11">
      <c r="A1734">
        <v>1</v>
      </c>
      <c r="B1734" t="s">
        <v>8</v>
      </c>
      <c r="C1734">
        <v>77.5</v>
      </c>
      <c r="D1734" s="1" t="s">
        <v>16</v>
      </c>
      <c r="E1734" s="1">
        <v>3</v>
      </c>
      <c r="F1734">
        <v>5</v>
      </c>
      <c r="G1734">
        <v>2</v>
      </c>
      <c r="H1734">
        <v>9.9999999999999995E-7</v>
      </c>
      <c r="I1734">
        <f t="shared" si="82"/>
        <v>3.5</v>
      </c>
      <c r="J1734">
        <v>10</v>
      </c>
      <c r="K1734" s="16">
        <f t="shared" si="80"/>
        <v>350000000</v>
      </c>
    </row>
    <row r="1735" spans="1:11">
      <c r="A1735">
        <v>1</v>
      </c>
      <c r="B1735" t="s">
        <v>8</v>
      </c>
      <c r="C1735">
        <v>77.5</v>
      </c>
      <c r="D1735" s="1" t="s">
        <v>16</v>
      </c>
      <c r="E1735" s="1">
        <v>4</v>
      </c>
      <c r="F1735">
        <v>2</v>
      </c>
      <c r="G1735">
        <v>8</v>
      </c>
      <c r="H1735">
        <v>1E-4</v>
      </c>
      <c r="I1735">
        <f t="shared" si="82"/>
        <v>5</v>
      </c>
      <c r="J1735">
        <v>10</v>
      </c>
      <c r="K1735" s="16">
        <f t="shared" si="80"/>
        <v>4999999.9999999991</v>
      </c>
    </row>
    <row r="1736" spans="1:11">
      <c r="A1736">
        <v>1</v>
      </c>
      <c r="B1736" t="s">
        <v>8</v>
      </c>
      <c r="C1736">
        <v>77.5</v>
      </c>
      <c r="D1736" s="1" t="s">
        <v>16</v>
      </c>
      <c r="E1736" s="1">
        <v>5</v>
      </c>
      <c r="F1736">
        <v>6</v>
      </c>
      <c r="G1736">
        <v>6</v>
      </c>
      <c r="H1736">
        <v>1E-4</v>
      </c>
      <c r="I1736">
        <f t="shared" si="82"/>
        <v>6</v>
      </c>
      <c r="J1736">
        <v>10</v>
      </c>
      <c r="K1736" s="16">
        <f t="shared" si="80"/>
        <v>5999999.9999999991</v>
      </c>
    </row>
    <row r="1737" spans="1:11">
      <c r="A1737">
        <v>1</v>
      </c>
      <c r="B1737" t="s">
        <v>8</v>
      </c>
      <c r="C1737">
        <v>77.5</v>
      </c>
      <c r="D1737" s="1" t="s">
        <v>16</v>
      </c>
      <c r="E1737" s="1">
        <v>6</v>
      </c>
      <c r="F1737">
        <v>6</v>
      </c>
      <c r="G1737">
        <v>6</v>
      </c>
      <c r="H1737">
        <v>1E-4</v>
      </c>
      <c r="I1737">
        <f t="shared" si="82"/>
        <v>6</v>
      </c>
      <c r="J1737">
        <v>10</v>
      </c>
      <c r="K1737" s="16">
        <f t="shared" si="80"/>
        <v>5999999.9999999991</v>
      </c>
    </row>
    <row r="1738" spans="1:11">
      <c r="A1738">
        <v>1</v>
      </c>
      <c r="B1738" t="s">
        <v>8</v>
      </c>
      <c r="C1738">
        <v>77.5</v>
      </c>
      <c r="D1738" s="1" t="s">
        <v>16</v>
      </c>
      <c r="E1738" s="1">
        <v>7</v>
      </c>
      <c r="F1738">
        <v>8</v>
      </c>
      <c r="G1738">
        <v>8</v>
      </c>
      <c r="H1738">
        <v>1E-4</v>
      </c>
      <c r="I1738">
        <f t="shared" si="82"/>
        <v>8</v>
      </c>
      <c r="J1738">
        <v>10</v>
      </c>
      <c r="K1738" s="16">
        <f t="shared" si="80"/>
        <v>7999999.9999999991</v>
      </c>
    </row>
    <row r="1739" spans="1:11">
      <c r="A1739">
        <v>1</v>
      </c>
      <c r="B1739" t="s">
        <v>8</v>
      </c>
      <c r="C1739">
        <v>77.5</v>
      </c>
      <c r="D1739" s="1" t="s">
        <v>16</v>
      </c>
      <c r="E1739" s="1">
        <v>8</v>
      </c>
      <c r="F1739">
        <v>2</v>
      </c>
      <c r="G1739">
        <v>1</v>
      </c>
      <c r="H1739">
        <v>1.0000000000000001E-5</v>
      </c>
      <c r="I1739">
        <f t="shared" si="82"/>
        <v>1.5</v>
      </c>
      <c r="J1739">
        <v>10</v>
      </c>
      <c r="K1739" s="16">
        <f t="shared" si="80"/>
        <v>14999999.999999998</v>
      </c>
    </row>
    <row r="1740" spans="1:11">
      <c r="A1740">
        <v>1</v>
      </c>
      <c r="B1740" t="s">
        <v>8</v>
      </c>
      <c r="C1740">
        <v>77.5</v>
      </c>
      <c r="D1740" s="1" t="s">
        <v>16</v>
      </c>
      <c r="E1740" s="1">
        <v>9</v>
      </c>
      <c r="F1740">
        <v>7</v>
      </c>
      <c r="G1740">
        <v>10</v>
      </c>
      <c r="H1740">
        <v>1E-4</v>
      </c>
      <c r="I1740">
        <f t="shared" si="82"/>
        <v>8.5</v>
      </c>
      <c r="J1740">
        <v>10</v>
      </c>
      <c r="K1740" s="16">
        <f t="shared" si="80"/>
        <v>8499999.9999999981</v>
      </c>
    </row>
    <row r="1741" spans="1:11">
      <c r="A1741">
        <v>1</v>
      </c>
      <c r="B1741" t="s">
        <v>8</v>
      </c>
      <c r="C1741">
        <v>77.5</v>
      </c>
      <c r="D1741" s="1" t="s">
        <v>16</v>
      </c>
      <c r="E1741" s="1">
        <v>10</v>
      </c>
      <c r="F1741">
        <v>5</v>
      </c>
      <c r="G1741">
        <v>1</v>
      </c>
      <c r="H1741">
        <v>1E-4</v>
      </c>
      <c r="I1741">
        <f t="shared" si="82"/>
        <v>3</v>
      </c>
      <c r="J1741">
        <v>10</v>
      </c>
      <c r="K1741" s="16">
        <f t="shared" si="80"/>
        <v>2999999.9999999995</v>
      </c>
    </row>
    <row r="1742" spans="1:11">
      <c r="A1742">
        <v>1</v>
      </c>
      <c r="B1742" t="s">
        <v>8</v>
      </c>
      <c r="C1742">
        <v>78</v>
      </c>
      <c r="D1742" s="1" t="s">
        <v>16</v>
      </c>
      <c r="E1742" s="1">
        <v>1</v>
      </c>
      <c r="F1742">
        <v>6</v>
      </c>
      <c r="G1742">
        <v>2</v>
      </c>
      <c r="H1742">
        <v>9.9999999999999995E-7</v>
      </c>
      <c r="I1742">
        <f t="shared" si="82"/>
        <v>4</v>
      </c>
      <c r="J1742">
        <v>10</v>
      </c>
      <c r="K1742" s="16">
        <f t="shared" si="80"/>
        <v>400000000</v>
      </c>
    </row>
    <row r="1743" spans="1:11">
      <c r="A1743">
        <v>1</v>
      </c>
      <c r="B1743" t="s">
        <v>8</v>
      </c>
      <c r="C1743">
        <v>78</v>
      </c>
      <c r="D1743" s="1" t="s">
        <v>16</v>
      </c>
      <c r="E1743" s="1">
        <v>2</v>
      </c>
      <c r="F1743">
        <v>3</v>
      </c>
      <c r="G1743">
        <v>2</v>
      </c>
      <c r="H1743">
        <v>9.9999999999999995E-7</v>
      </c>
      <c r="I1743">
        <f t="shared" si="82"/>
        <v>2.5</v>
      </c>
      <c r="J1743">
        <v>10</v>
      </c>
      <c r="K1743" s="16">
        <f t="shared" si="80"/>
        <v>250000000</v>
      </c>
    </row>
    <row r="1744" spans="1:11">
      <c r="A1744">
        <v>1</v>
      </c>
      <c r="B1744" t="s">
        <v>8</v>
      </c>
      <c r="C1744">
        <v>78</v>
      </c>
      <c r="D1744" s="1" t="s">
        <v>16</v>
      </c>
      <c r="E1744" s="1">
        <v>3</v>
      </c>
      <c r="F1744">
        <v>4</v>
      </c>
      <c r="G1744">
        <v>5</v>
      </c>
      <c r="H1744">
        <v>9.9999999999999995E-7</v>
      </c>
      <c r="I1744">
        <f t="shared" si="82"/>
        <v>4.5</v>
      </c>
      <c r="J1744">
        <v>10</v>
      </c>
      <c r="K1744" s="16">
        <f t="shared" si="80"/>
        <v>450000000</v>
      </c>
    </row>
    <row r="1745" spans="1:11">
      <c r="A1745">
        <v>1</v>
      </c>
      <c r="B1745" t="s">
        <v>8</v>
      </c>
      <c r="C1745">
        <v>78</v>
      </c>
      <c r="D1745" s="1" t="s">
        <v>16</v>
      </c>
      <c r="E1745" s="1">
        <v>4</v>
      </c>
      <c r="F1745">
        <v>1</v>
      </c>
      <c r="G1745">
        <v>2</v>
      </c>
      <c r="H1745">
        <v>9.9999999999999995E-7</v>
      </c>
      <c r="I1745">
        <f t="shared" si="82"/>
        <v>1.5</v>
      </c>
      <c r="J1745">
        <v>10</v>
      </c>
      <c r="K1745" s="16">
        <f t="shared" si="80"/>
        <v>150000000</v>
      </c>
    </row>
    <row r="1746" spans="1:11">
      <c r="A1746">
        <v>1</v>
      </c>
      <c r="B1746" t="s">
        <v>8</v>
      </c>
      <c r="C1746">
        <v>78</v>
      </c>
      <c r="D1746" s="1" t="s">
        <v>16</v>
      </c>
      <c r="E1746" s="1">
        <v>5</v>
      </c>
      <c r="F1746">
        <v>4</v>
      </c>
      <c r="G1746">
        <v>6</v>
      </c>
      <c r="H1746">
        <v>9.9999999999999995E-7</v>
      </c>
      <c r="I1746">
        <f t="shared" si="82"/>
        <v>5</v>
      </c>
      <c r="J1746">
        <v>10</v>
      </c>
      <c r="K1746" s="16">
        <f t="shared" si="80"/>
        <v>500000000</v>
      </c>
    </row>
    <row r="1747" spans="1:11">
      <c r="A1747">
        <v>1</v>
      </c>
      <c r="B1747" t="s">
        <v>8</v>
      </c>
      <c r="C1747">
        <v>78</v>
      </c>
      <c r="D1747" s="1" t="s">
        <v>16</v>
      </c>
      <c r="E1747" s="1">
        <v>6</v>
      </c>
      <c r="F1747">
        <v>5</v>
      </c>
      <c r="G1747">
        <v>3</v>
      </c>
      <c r="H1747">
        <v>9.9999999999999995E-7</v>
      </c>
      <c r="I1747">
        <f t="shared" si="82"/>
        <v>4</v>
      </c>
      <c r="J1747">
        <v>10</v>
      </c>
      <c r="K1747" s="16">
        <f t="shared" ref="K1747:K1810" si="83">I1747/(H1747*(J1747/1000))</f>
        <v>400000000</v>
      </c>
    </row>
    <row r="1748" spans="1:11">
      <c r="A1748">
        <v>1</v>
      </c>
      <c r="B1748" t="s">
        <v>8</v>
      </c>
      <c r="C1748">
        <v>78</v>
      </c>
      <c r="D1748" s="1" t="s">
        <v>16</v>
      </c>
      <c r="E1748" s="1">
        <v>7</v>
      </c>
      <c r="F1748">
        <v>17</v>
      </c>
      <c r="G1748">
        <v>15</v>
      </c>
      <c r="H1748">
        <v>1.0000000000000001E-5</v>
      </c>
      <c r="I1748">
        <f t="shared" si="82"/>
        <v>16</v>
      </c>
      <c r="J1748">
        <v>10</v>
      </c>
      <c r="K1748" s="16">
        <f t="shared" si="83"/>
        <v>160000000</v>
      </c>
    </row>
    <row r="1749" spans="1:11">
      <c r="A1749">
        <v>1</v>
      </c>
      <c r="B1749" t="s">
        <v>8</v>
      </c>
      <c r="C1749">
        <v>78</v>
      </c>
      <c r="D1749" s="1" t="s">
        <v>16</v>
      </c>
      <c r="E1749" s="1">
        <v>8</v>
      </c>
      <c r="F1749">
        <v>4</v>
      </c>
      <c r="G1749">
        <v>4</v>
      </c>
      <c r="H1749">
        <v>9.9999999999999995E-7</v>
      </c>
      <c r="I1749">
        <f t="shared" si="82"/>
        <v>4</v>
      </c>
      <c r="J1749">
        <v>10</v>
      </c>
      <c r="K1749" s="16">
        <f t="shared" si="83"/>
        <v>400000000</v>
      </c>
    </row>
    <row r="1750" spans="1:11">
      <c r="A1750">
        <v>1</v>
      </c>
      <c r="B1750" t="s">
        <v>8</v>
      </c>
      <c r="C1750">
        <v>78</v>
      </c>
      <c r="D1750" s="1" t="s">
        <v>16</v>
      </c>
      <c r="E1750" s="1">
        <v>9</v>
      </c>
      <c r="F1750">
        <v>8</v>
      </c>
      <c r="G1750">
        <v>4</v>
      </c>
      <c r="H1750">
        <v>9.9999999999999995E-7</v>
      </c>
      <c r="I1750">
        <f t="shared" si="82"/>
        <v>6</v>
      </c>
      <c r="J1750">
        <v>10</v>
      </c>
      <c r="K1750" s="16">
        <f t="shared" si="83"/>
        <v>600000000</v>
      </c>
    </row>
    <row r="1751" spans="1:11">
      <c r="A1751">
        <v>1</v>
      </c>
      <c r="B1751" t="s">
        <v>8</v>
      </c>
      <c r="C1751">
        <v>78</v>
      </c>
      <c r="D1751" s="1" t="s">
        <v>16</v>
      </c>
      <c r="E1751" s="1">
        <v>10</v>
      </c>
      <c r="F1751">
        <v>6</v>
      </c>
      <c r="G1751">
        <v>1</v>
      </c>
      <c r="H1751">
        <v>9.9999999999999995E-7</v>
      </c>
      <c r="I1751">
        <f t="shared" si="82"/>
        <v>3.5</v>
      </c>
      <c r="J1751">
        <v>10</v>
      </c>
      <c r="K1751" s="16">
        <f t="shared" si="83"/>
        <v>350000000</v>
      </c>
    </row>
    <row r="1752" spans="1:11">
      <c r="A1752">
        <v>1</v>
      </c>
      <c r="B1752" t="s">
        <v>8</v>
      </c>
      <c r="C1752">
        <v>78.5</v>
      </c>
      <c r="D1752" s="1" t="s">
        <v>16</v>
      </c>
      <c r="E1752" s="1">
        <v>1</v>
      </c>
      <c r="F1752">
        <v>9</v>
      </c>
      <c r="G1752">
        <v>8</v>
      </c>
      <c r="H1752">
        <v>1.0000000000000001E-5</v>
      </c>
      <c r="I1752">
        <f t="shared" si="82"/>
        <v>8.5</v>
      </c>
      <c r="J1752">
        <v>10</v>
      </c>
      <c r="K1752" s="16">
        <f t="shared" si="83"/>
        <v>85000000</v>
      </c>
    </row>
    <row r="1753" spans="1:11">
      <c r="A1753">
        <v>1</v>
      </c>
      <c r="B1753" t="s">
        <v>8</v>
      </c>
      <c r="C1753">
        <v>78.5</v>
      </c>
      <c r="D1753" s="1" t="s">
        <v>16</v>
      </c>
      <c r="E1753" s="1">
        <v>2</v>
      </c>
      <c r="F1753">
        <v>15</v>
      </c>
      <c r="G1753">
        <v>20</v>
      </c>
      <c r="H1753">
        <v>1.0000000000000001E-5</v>
      </c>
      <c r="I1753">
        <f t="shared" si="82"/>
        <v>17.5</v>
      </c>
      <c r="J1753">
        <v>10</v>
      </c>
      <c r="K1753" s="16">
        <f t="shared" si="83"/>
        <v>174999999.99999997</v>
      </c>
    </row>
    <row r="1754" spans="1:11">
      <c r="A1754">
        <v>1</v>
      </c>
      <c r="B1754" t="s">
        <v>8</v>
      </c>
      <c r="C1754">
        <v>78.5</v>
      </c>
      <c r="D1754" s="1" t="s">
        <v>16</v>
      </c>
      <c r="E1754" s="1">
        <v>3</v>
      </c>
      <c r="F1754">
        <v>24</v>
      </c>
      <c r="G1754">
        <v>14</v>
      </c>
      <c r="H1754">
        <v>1.0000000000000001E-5</v>
      </c>
      <c r="I1754">
        <f t="shared" si="82"/>
        <v>19</v>
      </c>
      <c r="J1754">
        <v>10</v>
      </c>
      <c r="K1754" s="16">
        <f t="shared" si="83"/>
        <v>189999999.99999997</v>
      </c>
    </row>
    <row r="1755" spans="1:11">
      <c r="A1755">
        <v>1</v>
      </c>
      <c r="B1755" t="s">
        <v>8</v>
      </c>
      <c r="C1755">
        <v>78.5</v>
      </c>
      <c r="D1755" s="1" t="s">
        <v>16</v>
      </c>
      <c r="E1755" s="1">
        <v>4</v>
      </c>
      <c r="F1755">
        <v>12</v>
      </c>
      <c r="G1755">
        <v>19</v>
      </c>
      <c r="H1755">
        <v>1.0000000000000001E-5</v>
      </c>
      <c r="I1755">
        <f t="shared" si="82"/>
        <v>15.5</v>
      </c>
      <c r="J1755">
        <v>10</v>
      </c>
      <c r="K1755" s="16">
        <f t="shared" si="83"/>
        <v>155000000</v>
      </c>
    </row>
    <row r="1756" spans="1:11">
      <c r="A1756">
        <v>1</v>
      </c>
      <c r="B1756" t="s">
        <v>8</v>
      </c>
      <c r="C1756">
        <v>78.5</v>
      </c>
      <c r="D1756" s="1" t="s">
        <v>16</v>
      </c>
      <c r="E1756" s="1">
        <v>5</v>
      </c>
      <c r="F1756">
        <v>13</v>
      </c>
      <c r="G1756">
        <v>8</v>
      </c>
      <c r="H1756">
        <v>1.0000000000000001E-5</v>
      </c>
      <c r="I1756">
        <f t="shared" si="82"/>
        <v>10.5</v>
      </c>
      <c r="J1756">
        <v>10</v>
      </c>
      <c r="K1756" s="16">
        <f t="shared" si="83"/>
        <v>104999999.99999999</v>
      </c>
    </row>
    <row r="1757" spans="1:11">
      <c r="A1757">
        <v>1</v>
      </c>
      <c r="B1757" t="s">
        <v>8</v>
      </c>
      <c r="C1757">
        <v>78.5</v>
      </c>
      <c r="D1757" s="1" t="s">
        <v>16</v>
      </c>
      <c r="E1757" s="1">
        <v>6</v>
      </c>
      <c r="F1757">
        <v>23</v>
      </c>
      <c r="G1757">
        <v>16</v>
      </c>
      <c r="H1757">
        <v>1.0000000000000001E-5</v>
      </c>
      <c r="I1757">
        <f t="shared" si="82"/>
        <v>19.5</v>
      </c>
      <c r="J1757">
        <v>10</v>
      </c>
      <c r="K1757" s="16">
        <f t="shared" si="83"/>
        <v>194999999.99999997</v>
      </c>
    </row>
    <row r="1758" spans="1:11">
      <c r="A1758">
        <v>1</v>
      </c>
      <c r="B1758" t="s">
        <v>8</v>
      </c>
      <c r="C1758">
        <v>78.5</v>
      </c>
      <c r="D1758" s="1" t="s">
        <v>16</v>
      </c>
      <c r="E1758" s="1">
        <v>7</v>
      </c>
      <c r="F1758">
        <v>2</v>
      </c>
      <c r="G1758">
        <v>6</v>
      </c>
      <c r="H1758">
        <v>1.0000000000000001E-5</v>
      </c>
      <c r="I1758">
        <f t="shared" si="82"/>
        <v>4</v>
      </c>
      <c r="J1758">
        <v>10</v>
      </c>
      <c r="K1758" s="16">
        <f t="shared" si="83"/>
        <v>40000000</v>
      </c>
    </row>
    <row r="1759" spans="1:11">
      <c r="A1759">
        <v>1</v>
      </c>
      <c r="B1759" t="s">
        <v>8</v>
      </c>
      <c r="C1759">
        <v>78.5</v>
      </c>
      <c r="D1759" s="1" t="s">
        <v>16</v>
      </c>
      <c r="E1759" s="1">
        <v>8</v>
      </c>
      <c r="F1759">
        <v>34</v>
      </c>
      <c r="G1759">
        <v>27</v>
      </c>
      <c r="H1759">
        <v>1.0000000000000001E-5</v>
      </c>
      <c r="I1759">
        <f t="shared" si="82"/>
        <v>30.5</v>
      </c>
      <c r="J1759">
        <v>10</v>
      </c>
      <c r="K1759" s="16">
        <f t="shared" si="83"/>
        <v>305000000</v>
      </c>
    </row>
    <row r="1760" spans="1:11">
      <c r="A1760">
        <v>1</v>
      </c>
      <c r="B1760" t="s">
        <v>8</v>
      </c>
      <c r="C1760">
        <v>78.5</v>
      </c>
      <c r="D1760" s="1" t="s">
        <v>16</v>
      </c>
      <c r="E1760" s="1">
        <v>9</v>
      </c>
      <c r="F1760">
        <v>8</v>
      </c>
      <c r="G1760">
        <v>7</v>
      </c>
      <c r="H1760">
        <v>1.0000000000000001E-5</v>
      </c>
      <c r="I1760">
        <f t="shared" si="82"/>
        <v>7.5</v>
      </c>
      <c r="J1760">
        <v>10</v>
      </c>
      <c r="K1760" s="16">
        <f t="shared" si="83"/>
        <v>75000000</v>
      </c>
    </row>
    <row r="1761" spans="1:11">
      <c r="A1761">
        <v>1</v>
      </c>
      <c r="B1761" t="s">
        <v>8</v>
      </c>
      <c r="C1761">
        <v>78.5</v>
      </c>
      <c r="D1761" s="1" t="s">
        <v>16</v>
      </c>
      <c r="E1761" s="1">
        <v>10</v>
      </c>
      <c r="F1761">
        <v>18</v>
      </c>
      <c r="G1761">
        <v>13</v>
      </c>
      <c r="H1761">
        <v>1.0000000000000001E-5</v>
      </c>
      <c r="I1761">
        <f t="shared" si="82"/>
        <v>15.5</v>
      </c>
      <c r="J1761">
        <v>10</v>
      </c>
      <c r="K1761" s="16">
        <f t="shared" si="83"/>
        <v>155000000</v>
      </c>
    </row>
    <row r="1762" spans="1:11">
      <c r="A1762">
        <v>1</v>
      </c>
      <c r="B1762" t="s">
        <v>8</v>
      </c>
      <c r="C1762">
        <v>79</v>
      </c>
      <c r="D1762" s="1" t="s">
        <v>16</v>
      </c>
      <c r="E1762" s="1">
        <v>1</v>
      </c>
      <c r="F1762">
        <v>5</v>
      </c>
      <c r="G1762">
        <v>4</v>
      </c>
      <c r="H1762">
        <v>9.9999999999999995E-7</v>
      </c>
      <c r="I1762">
        <f t="shared" si="82"/>
        <v>4.5</v>
      </c>
      <c r="J1762">
        <v>10</v>
      </c>
      <c r="K1762" s="16">
        <f t="shared" si="83"/>
        <v>450000000</v>
      </c>
    </row>
    <row r="1763" spans="1:11">
      <c r="A1763">
        <v>1</v>
      </c>
      <c r="B1763" t="s">
        <v>8</v>
      </c>
      <c r="C1763">
        <v>79</v>
      </c>
      <c r="D1763" s="1" t="s">
        <v>16</v>
      </c>
      <c r="E1763" s="1">
        <v>2</v>
      </c>
      <c r="F1763">
        <v>5</v>
      </c>
      <c r="G1763">
        <v>3</v>
      </c>
      <c r="H1763">
        <v>9.9999999999999995E-7</v>
      </c>
      <c r="I1763">
        <f t="shared" ref="I1763:I1796" si="84">AVERAGE(F1763:G1763)</f>
        <v>4</v>
      </c>
      <c r="J1763">
        <v>10</v>
      </c>
      <c r="K1763" s="16">
        <f t="shared" si="83"/>
        <v>400000000</v>
      </c>
    </row>
    <row r="1764" spans="1:11">
      <c r="A1764">
        <v>1</v>
      </c>
      <c r="B1764" t="s">
        <v>8</v>
      </c>
      <c r="C1764">
        <v>79</v>
      </c>
      <c r="D1764" s="1" t="s">
        <v>16</v>
      </c>
      <c r="E1764" s="1">
        <v>3</v>
      </c>
      <c r="F1764">
        <v>1</v>
      </c>
      <c r="G1764">
        <v>3</v>
      </c>
      <c r="H1764">
        <v>9.9999999999999995E-7</v>
      </c>
      <c r="I1764">
        <f t="shared" si="84"/>
        <v>2</v>
      </c>
      <c r="J1764">
        <v>10</v>
      </c>
      <c r="K1764" s="16">
        <f t="shared" si="83"/>
        <v>200000000</v>
      </c>
    </row>
    <row r="1765" spans="1:11">
      <c r="A1765">
        <v>1</v>
      </c>
      <c r="B1765" t="s">
        <v>8</v>
      </c>
      <c r="C1765">
        <v>79</v>
      </c>
      <c r="D1765" s="1" t="s">
        <v>16</v>
      </c>
      <c r="E1765" s="1">
        <v>4</v>
      </c>
      <c r="F1765">
        <v>3</v>
      </c>
      <c r="G1765">
        <v>9</v>
      </c>
      <c r="H1765">
        <v>9.9999999999999995E-7</v>
      </c>
      <c r="I1765">
        <f t="shared" si="84"/>
        <v>6</v>
      </c>
      <c r="J1765">
        <v>10</v>
      </c>
      <c r="K1765" s="16">
        <f t="shared" si="83"/>
        <v>600000000</v>
      </c>
    </row>
    <row r="1766" spans="1:11">
      <c r="A1766">
        <v>1</v>
      </c>
      <c r="B1766" t="s">
        <v>8</v>
      </c>
      <c r="C1766">
        <v>79</v>
      </c>
      <c r="D1766" s="1" t="s">
        <v>16</v>
      </c>
      <c r="E1766" s="1">
        <v>5</v>
      </c>
      <c r="F1766">
        <v>6</v>
      </c>
      <c r="G1766">
        <v>9</v>
      </c>
      <c r="H1766">
        <v>9.9999999999999995E-7</v>
      </c>
      <c r="I1766">
        <f t="shared" si="84"/>
        <v>7.5</v>
      </c>
      <c r="J1766">
        <v>10</v>
      </c>
      <c r="K1766" s="16">
        <f t="shared" si="83"/>
        <v>750000000</v>
      </c>
    </row>
    <row r="1767" spans="1:11">
      <c r="A1767">
        <v>1</v>
      </c>
      <c r="B1767" t="s">
        <v>8</v>
      </c>
      <c r="C1767">
        <v>79</v>
      </c>
      <c r="D1767" s="1" t="s">
        <v>16</v>
      </c>
      <c r="E1767" s="1">
        <v>6</v>
      </c>
      <c r="F1767">
        <v>5</v>
      </c>
      <c r="G1767">
        <v>4</v>
      </c>
      <c r="H1767">
        <v>9.9999999999999995E-7</v>
      </c>
      <c r="I1767">
        <f t="shared" si="84"/>
        <v>4.5</v>
      </c>
      <c r="J1767">
        <v>10</v>
      </c>
      <c r="K1767" s="16">
        <f t="shared" si="83"/>
        <v>450000000</v>
      </c>
    </row>
    <row r="1768" spans="1:11">
      <c r="A1768">
        <v>1</v>
      </c>
      <c r="B1768" t="s">
        <v>8</v>
      </c>
      <c r="C1768">
        <v>79</v>
      </c>
      <c r="D1768" s="1" t="s">
        <v>16</v>
      </c>
      <c r="E1768" s="1">
        <v>7</v>
      </c>
      <c r="F1768">
        <v>6</v>
      </c>
      <c r="G1768">
        <v>1</v>
      </c>
      <c r="H1768">
        <v>9.9999999999999995E-7</v>
      </c>
      <c r="I1768">
        <f t="shared" si="84"/>
        <v>3.5</v>
      </c>
      <c r="J1768">
        <v>10</v>
      </c>
      <c r="K1768" s="16">
        <f t="shared" si="83"/>
        <v>350000000</v>
      </c>
    </row>
    <row r="1769" spans="1:11">
      <c r="A1769">
        <v>1</v>
      </c>
      <c r="B1769" t="s">
        <v>8</v>
      </c>
      <c r="C1769">
        <v>79</v>
      </c>
      <c r="D1769" s="1" t="s">
        <v>16</v>
      </c>
      <c r="E1769" s="1">
        <v>8</v>
      </c>
      <c r="F1769">
        <v>1</v>
      </c>
      <c r="G1769">
        <v>3</v>
      </c>
      <c r="H1769">
        <v>9.9999999999999995E-7</v>
      </c>
      <c r="I1769">
        <f t="shared" si="84"/>
        <v>2</v>
      </c>
      <c r="J1769">
        <v>10</v>
      </c>
      <c r="K1769" s="16">
        <f t="shared" si="83"/>
        <v>200000000</v>
      </c>
    </row>
    <row r="1770" spans="1:11">
      <c r="A1770">
        <v>1</v>
      </c>
      <c r="B1770" t="s">
        <v>8</v>
      </c>
      <c r="C1770">
        <v>79</v>
      </c>
      <c r="D1770" s="1" t="s">
        <v>16</v>
      </c>
      <c r="E1770" s="1">
        <v>9</v>
      </c>
      <c r="F1770">
        <v>3</v>
      </c>
      <c r="G1770">
        <v>6</v>
      </c>
      <c r="H1770">
        <v>9.9999999999999995E-7</v>
      </c>
      <c r="I1770">
        <f t="shared" si="84"/>
        <v>4.5</v>
      </c>
      <c r="J1770">
        <v>10</v>
      </c>
      <c r="K1770" s="16">
        <f t="shared" si="83"/>
        <v>450000000</v>
      </c>
    </row>
    <row r="1771" spans="1:11">
      <c r="A1771">
        <v>1</v>
      </c>
      <c r="B1771" t="s">
        <v>8</v>
      </c>
      <c r="C1771">
        <v>79</v>
      </c>
      <c r="D1771" s="1" t="s">
        <v>16</v>
      </c>
      <c r="E1771" s="1">
        <v>10</v>
      </c>
      <c r="F1771">
        <v>2</v>
      </c>
      <c r="G1771">
        <v>3</v>
      </c>
      <c r="H1771">
        <v>9.9999999999999995E-7</v>
      </c>
      <c r="I1771">
        <f t="shared" si="84"/>
        <v>2.5</v>
      </c>
      <c r="J1771">
        <v>10</v>
      </c>
      <c r="K1771" s="16">
        <f t="shared" si="83"/>
        <v>250000000</v>
      </c>
    </row>
    <row r="1772" spans="1:11">
      <c r="A1772">
        <v>1</v>
      </c>
      <c r="B1772" t="s">
        <v>8</v>
      </c>
      <c r="C1772">
        <v>79.5</v>
      </c>
      <c r="D1772" s="1" t="s">
        <v>16</v>
      </c>
      <c r="E1772" s="1">
        <v>1</v>
      </c>
      <c r="F1772">
        <v>7</v>
      </c>
      <c r="G1772">
        <v>9</v>
      </c>
      <c r="H1772">
        <v>1.0000000000000001E-5</v>
      </c>
      <c r="I1772">
        <f t="shared" si="84"/>
        <v>8</v>
      </c>
      <c r="J1772">
        <v>10</v>
      </c>
      <c r="K1772" s="16">
        <f t="shared" si="83"/>
        <v>80000000</v>
      </c>
    </row>
    <row r="1773" spans="1:11">
      <c r="A1773">
        <v>1</v>
      </c>
      <c r="B1773" t="s">
        <v>8</v>
      </c>
      <c r="C1773">
        <v>79.5</v>
      </c>
      <c r="D1773" s="1" t="s">
        <v>16</v>
      </c>
      <c r="E1773" s="1">
        <v>2</v>
      </c>
      <c r="F1773">
        <v>22</v>
      </c>
      <c r="G1773">
        <v>27</v>
      </c>
      <c r="H1773">
        <v>1.0000000000000001E-5</v>
      </c>
      <c r="I1773">
        <f t="shared" si="84"/>
        <v>24.5</v>
      </c>
      <c r="J1773">
        <v>10</v>
      </c>
      <c r="K1773" s="16">
        <f t="shared" si="83"/>
        <v>244999999.99999997</v>
      </c>
    </row>
    <row r="1774" spans="1:11">
      <c r="A1774">
        <v>1</v>
      </c>
      <c r="B1774" t="s">
        <v>8</v>
      </c>
      <c r="C1774">
        <v>79.5</v>
      </c>
      <c r="D1774" s="1" t="s">
        <v>16</v>
      </c>
      <c r="E1774" s="1">
        <v>3</v>
      </c>
      <c r="F1774">
        <v>19</v>
      </c>
      <c r="G1774">
        <v>16</v>
      </c>
      <c r="H1774">
        <v>1.0000000000000001E-5</v>
      </c>
      <c r="I1774">
        <f t="shared" si="84"/>
        <v>17.5</v>
      </c>
      <c r="J1774">
        <v>10</v>
      </c>
      <c r="K1774" s="16">
        <f t="shared" si="83"/>
        <v>174999999.99999997</v>
      </c>
    </row>
    <row r="1775" spans="1:11">
      <c r="A1775">
        <v>1</v>
      </c>
      <c r="B1775" t="s">
        <v>8</v>
      </c>
      <c r="C1775">
        <v>79.5</v>
      </c>
      <c r="D1775" s="1" t="s">
        <v>16</v>
      </c>
      <c r="E1775" s="1">
        <v>4</v>
      </c>
      <c r="F1775">
        <v>13</v>
      </c>
      <c r="G1775">
        <v>14</v>
      </c>
      <c r="H1775">
        <v>1.0000000000000001E-5</v>
      </c>
      <c r="I1775">
        <f t="shared" si="84"/>
        <v>13.5</v>
      </c>
      <c r="J1775">
        <v>10</v>
      </c>
      <c r="K1775" s="16">
        <f t="shared" si="83"/>
        <v>135000000</v>
      </c>
    </row>
    <row r="1776" spans="1:11">
      <c r="A1776">
        <v>1</v>
      </c>
      <c r="B1776" t="s">
        <v>8</v>
      </c>
      <c r="C1776">
        <v>79.5</v>
      </c>
      <c r="D1776" s="1" t="s">
        <v>16</v>
      </c>
      <c r="E1776" s="1">
        <v>5</v>
      </c>
      <c r="F1776">
        <v>11</v>
      </c>
      <c r="G1776">
        <v>9</v>
      </c>
      <c r="H1776">
        <v>1.0000000000000001E-5</v>
      </c>
      <c r="I1776">
        <f t="shared" si="84"/>
        <v>10</v>
      </c>
      <c r="J1776">
        <v>10</v>
      </c>
      <c r="K1776" s="16">
        <f t="shared" si="83"/>
        <v>99999999.999999985</v>
      </c>
    </row>
    <row r="1777" spans="1:11">
      <c r="A1777">
        <v>1</v>
      </c>
      <c r="B1777" t="s">
        <v>8</v>
      </c>
      <c r="C1777">
        <v>79.5</v>
      </c>
      <c r="D1777" s="1" t="s">
        <v>16</v>
      </c>
      <c r="E1777" s="1">
        <v>6</v>
      </c>
      <c r="F1777">
        <v>16</v>
      </c>
      <c r="G1777">
        <v>6</v>
      </c>
      <c r="H1777">
        <v>1.0000000000000001E-5</v>
      </c>
      <c r="I1777">
        <f t="shared" si="84"/>
        <v>11</v>
      </c>
      <c r="J1777">
        <v>10</v>
      </c>
      <c r="K1777" s="16">
        <f t="shared" si="83"/>
        <v>109999999.99999999</v>
      </c>
    </row>
    <row r="1778" spans="1:11">
      <c r="A1778">
        <v>1</v>
      </c>
      <c r="B1778" t="s">
        <v>8</v>
      </c>
      <c r="C1778">
        <v>79.5</v>
      </c>
      <c r="D1778" s="1" t="s">
        <v>16</v>
      </c>
      <c r="E1778" s="1">
        <v>7</v>
      </c>
      <c r="F1778">
        <v>12</v>
      </c>
      <c r="G1778">
        <v>11</v>
      </c>
      <c r="H1778">
        <v>1.0000000000000001E-5</v>
      </c>
      <c r="I1778">
        <f t="shared" si="84"/>
        <v>11.5</v>
      </c>
      <c r="J1778">
        <v>10</v>
      </c>
      <c r="K1778" s="16">
        <f t="shared" si="83"/>
        <v>114999999.99999999</v>
      </c>
    </row>
    <row r="1779" spans="1:11">
      <c r="A1779">
        <v>1</v>
      </c>
      <c r="B1779" t="s">
        <v>8</v>
      </c>
      <c r="C1779">
        <v>79.5</v>
      </c>
      <c r="D1779" s="1" t="s">
        <v>16</v>
      </c>
      <c r="E1779" s="1">
        <v>8</v>
      </c>
      <c r="F1779">
        <v>2</v>
      </c>
      <c r="G1779">
        <v>2</v>
      </c>
      <c r="H1779">
        <v>9.9999999999999995E-7</v>
      </c>
      <c r="I1779">
        <f t="shared" si="84"/>
        <v>2</v>
      </c>
      <c r="J1779">
        <v>10</v>
      </c>
      <c r="K1779" s="16">
        <f t="shared" si="83"/>
        <v>200000000</v>
      </c>
    </row>
    <row r="1780" spans="1:11">
      <c r="A1780">
        <v>1</v>
      </c>
      <c r="B1780" t="s">
        <v>8</v>
      </c>
      <c r="C1780">
        <v>79.5</v>
      </c>
      <c r="D1780" s="1" t="s">
        <v>16</v>
      </c>
      <c r="E1780" s="1">
        <v>9</v>
      </c>
      <c r="F1780">
        <v>6</v>
      </c>
      <c r="G1780">
        <v>5</v>
      </c>
      <c r="H1780">
        <v>1.0000000000000001E-5</v>
      </c>
      <c r="I1780">
        <f t="shared" si="84"/>
        <v>5.5</v>
      </c>
      <c r="J1780">
        <v>10</v>
      </c>
      <c r="K1780" s="16">
        <f t="shared" si="83"/>
        <v>54999999.999999993</v>
      </c>
    </row>
    <row r="1781" spans="1:11">
      <c r="A1781">
        <v>1</v>
      </c>
      <c r="B1781" t="s">
        <v>8</v>
      </c>
      <c r="C1781">
        <v>79.5</v>
      </c>
      <c r="D1781" s="1" t="s">
        <v>16</v>
      </c>
      <c r="E1781" s="1">
        <v>10</v>
      </c>
      <c r="F1781">
        <v>16</v>
      </c>
      <c r="G1781">
        <v>13</v>
      </c>
      <c r="H1781">
        <v>1.0000000000000001E-5</v>
      </c>
      <c r="I1781">
        <f t="shared" si="84"/>
        <v>14.5</v>
      </c>
      <c r="J1781">
        <v>10</v>
      </c>
      <c r="K1781" s="16">
        <f t="shared" si="83"/>
        <v>145000000</v>
      </c>
    </row>
    <row r="1782" spans="1:11">
      <c r="A1782">
        <v>1</v>
      </c>
      <c r="B1782" t="s">
        <v>8</v>
      </c>
      <c r="C1782">
        <v>80</v>
      </c>
      <c r="D1782" s="1" t="s">
        <v>16</v>
      </c>
      <c r="E1782" s="1">
        <v>1</v>
      </c>
      <c r="F1782">
        <v>5</v>
      </c>
      <c r="G1782">
        <v>3</v>
      </c>
      <c r="H1782">
        <v>9.9999999999999995E-7</v>
      </c>
      <c r="I1782">
        <f t="shared" si="84"/>
        <v>4</v>
      </c>
      <c r="J1782">
        <v>10</v>
      </c>
      <c r="K1782" s="16">
        <f t="shared" si="83"/>
        <v>400000000</v>
      </c>
    </row>
    <row r="1783" spans="1:11">
      <c r="A1783">
        <v>1</v>
      </c>
      <c r="B1783" t="s">
        <v>8</v>
      </c>
      <c r="C1783">
        <v>80</v>
      </c>
      <c r="D1783" s="1" t="s">
        <v>16</v>
      </c>
      <c r="E1783" s="1">
        <v>2</v>
      </c>
      <c r="F1783">
        <v>3</v>
      </c>
      <c r="G1783">
        <v>1</v>
      </c>
      <c r="H1783">
        <v>9.9999999999999995E-7</v>
      </c>
      <c r="I1783">
        <f t="shared" si="84"/>
        <v>2</v>
      </c>
      <c r="J1783">
        <v>10</v>
      </c>
      <c r="K1783" s="16">
        <f t="shared" si="83"/>
        <v>200000000</v>
      </c>
    </row>
    <row r="1784" spans="1:11">
      <c r="A1784">
        <v>1</v>
      </c>
      <c r="B1784" t="s">
        <v>8</v>
      </c>
      <c r="C1784">
        <v>80</v>
      </c>
      <c r="D1784" s="1" t="s">
        <v>16</v>
      </c>
      <c r="E1784" s="1">
        <v>3</v>
      </c>
      <c r="F1784">
        <v>3</v>
      </c>
      <c r="G1784">
        <v>2</v>
      </c>
      <c r="H1784">
        <v>9.9999999999999995E-7</v>
      </c>
      <c r="I1784">
        <f t="shared" si="84"/>
        <v>2.5</v>
      </c>
      <c r="J1784">
        <v>10</v>
      </c>
      <c r="K1784" s="16">
        <f t="shared" si="83"/>
        <v>250000000</v>
      </c>
    </row>
    <row r="1785" spans="1:11">
      <c r="A1785">
        <v>1</v>
      </c>
      <c r="B1785" t="s">
        <v>8</v>
      </c>
      <c r="C1785">
        <v>80</v>
      </c>
      <c r="D1785" s="1" t="s">
        <v>16</v>
      </c>
      <c r="E1785" s="1">
        <v>4</v>
      </c>
      <c r="F1785">
        <v>7</v>
      </c>
      <c r="G1785">
        <v>10</v>
      </c>
      <c r="H1785">
        <v>9.9999999999999995E-7</v>
      </c>
      <c r="I1785">
        <f t="shared" si="84"/>
        <v>8.5</v>
      </c>
      <c r="J1785">
        <v>10</v>
      </c>
      <c r="K1785" s="16">
        <f t="shared" si="83"/>
        <v>850000000</v>
      </c>
    </row>
    <row r="1786" spans="1:11">
      <c r="A1786">
        <v>1</v>
      </c>
      <c r="B1786" t="s">
        <v>8</v>
      </c>
      <c r="C1786">
        <v>80</v>
      </c>
      <c r="D1786" s="1" t="s">
        <v>16</v>
      </c>
      <c r="E1786" s="1">
        <v>5</v>
      </c>
      <c r="F1786">
        <v>7</v>
      </c>
      <c r="G1786">
        <v>6</v>
      </c>
      <c r="H1786">
        <v>9.9999999999999995E-7</v>
      </c>
      <c r="I1786">
        <f t="shared" si="84"/>
        <v>6.5</v>
      </c>
      <c r="J1786">
        <v>10</v>
      </c>
      <c r="K1786" s="16">
        <f t="shared" si="83"/>
        <v>650000000</v>
      </c>
    </row>
    <row r="1787" spans="1:11">
      <c r="A1787">
        <v>1</v>
      </c>
      <c r="B1787" t="s">
        <v>8</v>
      </c>
      <c r="C1787">
        <v>80</v>
      </c>
      <c r="D1787" s="1" t="s">
        <v>16</v>
      </c>
      <c r="E1787" s="1">
        <v>6</v>
      </c>
      <c r="F1787">
        <v>3</v>
      </c>
      <c r="G1787">
        <v>4</v>
      </c>
      <c r="H1787">
        <v>9.9999999999999995E-7</v>
      </c>
      <c r="I1787">
        <f t="shared" si="84"/>
        <v>3.5</v>
      </c>
      <c r="J1787">
        <v>10</v>
      </c>
      <c r="K1787" s="16">
        <f t="shared" si="83"/>
        <v>350000000</v>
      </c>
    </row>
    <row r="1788" spans="1:11">
      <c r="A1788">
        <v>1</v>
      </c>
      <c r="B1788" t="s">
        <v>8</v>
      </c>
      <c r="C1788">
        <v>80</v>
      </c>
      <c r="D1788" s="1" t="s">
        <v>16</v>
      </c>
      <c r="E1788" s="1">
        <v>7</v>
      </c>
      <c r="F1788">
        <v>7</v>
      </c>
      <c r="G1788">
        <v>7</v>
      </c>
      <c r="H1788">
        <v>9.9999999999999995E-7</v>
      </c>
      <c r="I1788">
        <f t="shared" si="84"/>
        <v>7</v>
      </c>
      <c r="J1788">
        <v>10</v>
      </c>
      <c r="K1788" s="16">
        <f t="shared" si="83"/>
        <v>700000000</v>
      </c>
    </row>
    <row r="1789" spans="1:11">
      <c r="A1789">
        <v>1</v>
      </c>
      <c r="B1789" t="s">
        <v>8</v>
      </c>
      <c r="C1789">
        <v>80</v>
      </c>
      <c r="D1789" s="1" t="s">
        <v>16</v>
      </c>
      <c r="E1789" s="1">
        <v>8</v>
      </c>
      <c r="F1789">
        <v>3</v>
      </c>
      <c r="G1789">
        <v>9</v>
      </c>
      <c r="H1789">
        <v>9.9999999999999995E-7</v>
      </c>
      <c r="I1789">
        <f t="shared" si="84"/>
        <v>6</v>
      </c>
      <c r="J1789">
        <v>10</v>
      </c>
      <c r="K1789" s="16">
        <f t="shared" si="83"/>
        <v>600000000</v>
      </c>
    </row>
    <row r="1790" spans="1:11">
      <c r="A1790">
        <v>1</v>
      </c>
      <c r="B1790" t="s">
        <v>8</v>
      </c>
      <c r="C1790">
        <v>80</v>
      </c>
      <c r="D1790" s="1" t="s">
        <v>16</v>
      </c>
      <c r="E1790" s="1">
        <v>9</v>
      </c>
      <c r="F1790">
        <v>7</v>
      </c>
      <c r="G1790">
        <v>1</v>
      </c>
      <c r="H1790">
        <v>9.9999999999999995E-7</v>
      </c>
      <c r="I1790">
        <f t="shared" si="84"/>
        <v>4</v>
      </c>
      <c r="J1790">
        <v>10</v>
      </c>
      <c r="K1790" s="16">
        <f t="shared" si="83"/>
        <v>400000000</v>
      </c>
    </row>
    <row r="1791" spans="1:11">
      <c r="A1791">
        <v>1</v>
      </c>
      <c r="B1791" t="s">
        <v>8</v>
      </c>
      <c r="C1791">
        <v>80</v>
      </c>
      <c r="D1791" s="1" t="s">
        <v>16</v>
      </c>
      <c r="E1791" s="1">
        <v>10</v>
      </c>
      <c r="F1791">
        <v>4</v>
      </c>
      <c r="G1791">
        <v>3</v>
      </c>
      <c r="H1791">
        <v>9.9999999999999995E-7</v>
      </c>
      <c r="I1791">
        <f t="shared" si="84"/>
        <v>3.5</v>
      </c>
      <c r="J1791">
        <v>10</v>
      </c>
      <c r="K1791" s="16">
        <f t="shared" si="83"/>
        <v>350000000</v>
      </c>
    </row>
    <row r="1792" spans="1:11">
      <c r="A1792">
        <v>1</v>
      </c>
      <c r="B1792" t="s">
        <v>8</v>
      </c>
      <c r="C1792">
        <v>80.5</v>
      </c>
      <c r="D1792" s="1" t="s">
        <v>16</v>
      </c>
      <c r="E1792" s="1">
        <v>1</v>
      </c>
      <c r="F1792">
        <v>8</v>
      </c>
      <c r="G1792">
        <v>14</v>
      </c>
      <c r="H1792">
        <v>1.0000000000000001E-5</v>
      </c>
      <c r="I1792">
        <f t="shared" si="84"/>
        <v>11</v>
      </c>
      <c r="J1792">
        <v>10</v>
      </c>
      <c r="K1792" s="16">
        <f t="shared" si="83"/>
        <v>109999999.99999999</v>
      </c>
    </row>
    <row r="1793" spans="1:11">
      <c r="A1793">
        <v>1</v>
      </c>
      <c r="B1793" t="s">
        <v>8</v>
      </c>
      <c r="C1793">
        <v>80.5</v>
      </c>
      <c r="D1793" s="1" t="s">
        <v>16</v>
      </c>
      <c r="E1793" s="1">
        <v>2</v>
      </c>
      <c r="F1793">
        <v>27</v>
      </c>
      <c r="G1793">
        <v>26</v>
      </c>
      <c r="H1793">
        <v>1.0000000000000001E-5</v>
      </c>
      <c r="I1793">
        <f t="shared" si="84"/>
        <v>26.5</v>
      </c>
      <c r="J1793">
        <v>10</v>
      </c>
      <c r="K1793" s="16">
        <f t="shared" si="83"/>
        <v>264999999.99999997</v>
      </c>
    </row>
    <row r="1794" spans="1:11">
      <c r="A1794">
        <v>1</v>
      </c>
      <c r="B1794" t="s">
        <v>8</v>
      </c>
      <c r="C1794">
        <v>80.5</v>
      </c>
      <c r="D1794" s="1" t="s">
        <v>16</v>
      </c>
      <c r="E1794" s="1">
        <v>3</v>
      </c>
      <c r="F1794">
        <v>23</v>
      </c>
      <c r="G1794">
        <v>27</v>
      </c>
      <c r="H1794">
        <v>1.0000000000000001E-5</v>
      </c>
      <c r="I1794">
        <f t="shared" si="84"/>
        <v>25</v>
      </c>
      <c r="J1794">
        <v>10</v>
      </c>
      <c r="K1794" s="16">
        <f t="shared" si="83"/>
        <v>249999999.99999997</v>
      </c>
    </row>
    <row r="1795" spans="1:11">
      <c r="A1795">
        <v>1</v>
      </c>
      <c r="B1795" t="s">
        <v>8</v>
      </c>
      <c r="C1795">
        <v>80.5</v>
      </c>
      <c r="D1795" s="1" t="s">
        <v>16</v>
      </c>
      <c r="E1795" s="1">
        <v>4</v>
      </c>
      <c r="F1795">
        <v>14</v>
      </c>
      <c r="G1795">
        <v>9</v>
      </c>
      <c r="H1795">
        <v>1.0000000000000001E-5</v>
      </c>
      <c r="I1795">
        <f t="shared" si="84"/>
        <v>11.5</v>
      </c>
      <c r="J1795">
        <v>10</v>
      </c>
      <c r="K1795" s="16">
        <f t="shared" si="83"/>
        <v>114999999.99999999</v>
      </c>
    </row>
    <row r="1796" spans="1:11">
      <c r="A1796">
        <v>1</v>
      </c>
      <c r="B1796" t="s">
        <v>8</v>
      </c>
      <c r="C1796">
        <v>80.5</v>
      </c>
      <c r="D1796" s="1" t="s">
        <v>16</v>
      </c>
      <c r="E1796" s="1">
        <v>5</v>
      </c>
      <c r="F1796">
        <v>13</v>
      </c>
      <c r="G1796">
        <v>9</v>
      </c>
      <c r="H1796">
        <v>1.0000000000000001E-5</v>
      </c>
      <c r="I1796">
        <f t="shared" si="84"/>
        <v>11</v>
      </c>
      <c r="J1796">
        <v>10</v>
      </c>
      <c r="K1796" s="16">
        <f t="shared" si="83"/>
        <v>109999999.99999999</v>
      </c>
    </row>
    <row r="1797" spans="1:11">
      <c r="A1797">
        <v>1</v>
      </c>
      <c r="B1797" t="s">
        <v>8</v>
      </c>
      <c r="C1797">
        <v>80.5</v>
      </c>
      <c r="D1797" s="1" t="s">
        <v>16</v>
      </c>
      <c r="E1797" s="1">
        <v>6</v>
      </c>
      <c r="F1797">
        <v>13</v>
      </c>
      <c r="G1797">
        <v>12</v>
      </c>
      <c r="H1797">
        <v>1.0000000000000001E-5</v>
      </c>
      <c r="I1797">
        <f t="shared" ref="I1797:I1830" si="85">AVERAGE(F1797:G1797)</f>
        <v>12.5</v>
      </c>
      <c r="J1797">
        <v>10</v>
      </c>
      <c r="K1797" s="16">
        <f t="shared" si="83"/>
        <v>124999999.99999999</v>
      </c>
    </row>
    <row r="1798" spans="1:11">
      <c r="A1798">
        <v>1</v>
      </c>
      <c r="B1798" t="s">
        <v>8</v>
      </c>
      <c r="C1798">
        <v>80.5</v>
      </c>
      <c r="D1798" s="1" t="s">
        <v>16</v>
      </c>
      <c r="E1798" s="1">
        <v>7</v>
      </c>
      <c r="F1798">
        <v>13</v>
      </c>
      <c r="G1798">
        <v>11</v>
      </c>
      <c r="H1798">
        <v>1.0000000000000001E-5</v>
      </c>
      <c r="I1798">
        <f t="shared" si="85"/>
        <v>12</v>
      </c>
      <c r="J1798">
        <v>10</v>
      </c>
      <c r="K1798" s="16">
        <f t="shared" si="83"/>
        <v>119999999.99999999</v>
      </c>
    </row>
    <row r="1799" spans="1:11">
      <c r="A1799">
        <v>1</v>
      </c>
      <c r="B1799" t="s">
        <v>8</v>
      </c>
      <c r="C1799">
        <v>80.5</v>
      </c>
      <c r="D1799" s="1" t="s">
        <v>16</v>
      </c>
      <c r="E1799" s="1">
        <v>8</v>
      </c>
      <c r="F1799">
        <v>13</v>
      </c>
      <c r="G1799">
        <v>18</v>
      </c>
      <c r="H1799">
        <v>1.0000000000000001E-5</v>
      </c>
      <c r="I1799">
        <f t="shared" si="85"/>
        <v>15.5</v>
      </c>
      <c r="J1799">
        <v>10</v>
      </c>
      <c r="K1799" s="16">
        <f t="shared" si="83"/>
        <v>155000000</v>
      </c>
    </row>
    <row r="1800" spans="1:11">
      <c r="A1800">
        <v>1</v>
      </c>
      <c r="B1800" t="s">
        <v>8</v>
      </c>
      <c r="C1800">
        <v>80.5</v>
      </c>
      <c r="D1800" s="1" t="s">
        <v>16</v>
      </c>
      <c r="E1800" s="1">
        <v>9</v>
      </c>
      <c r="F1800">
        <v>9</v>
      </c>
      <c r="G1800">
        <v>10</v>
      </c>
      <c r="H1800">
        <v>1.0000000000000001E-5</v>
      </c>
      <c r="I1800">
        <f t="shared" si="85"/>
        <v>9.5</v>
      </c>
      <c r="J1800">
        <v>10</v>
      </c>
      <c r="K1800" s="16">
        <f t="shared" si="83"/>
        <v>94999999.999999985</v>
      </c>
    </row>
    <row r="1801" spans="1:11">
      <c r="A1801">
        <v>1</v>
      </c>
      <c r="B1801" t="s">
        <v>8</v>
      </c>
      <c r="C1801">
        <v>80.5</v>
      </c>
      <c r="D1801" s="1" t="s">
        <v>16</v>
      </c>
      <c r="E1801" s="1">
        <v>10</v>
      </c>
      <c r="F1801">
        <v>6</v>
      </c>
      <c r="G1801">
        <v>2</v>
      </c>
      <c r="H1801">
        <v>9.9999999999999995E-7</v>
      </c>
      <c r="I1801">
        <f t="shared" si="85"/>
        <v>4</v>
      </c>
      <c r="J1801">
        <v>10</v>
      </c>
      <c r="K1801" s="16">
        <f t="shared" si="83"/>
        <v>400000000</v>
      </c>
    </row>
    <row r="1802" spans="1:11">
      <c r="A1802">
        <v>1</v>
      </c>
      <c r="B1802" t="s">
        <v>8</v>
      </c>
      <c r="C1802">
        <v>81</v>
      </c>
      <c r="D1802" s="1" t="s">
        <v>16</v>
      </c>
      <c r="E1802" s="1">
        <v>1</v>
      </c>
      <c r="F1802">
        <v>5</v>
      </c>
      <c r="G1802">
        <v>7</v>
      </c>
      <c r="H1802">
        <v>9.9999999999999995E-7</v>
      </c>
      <c r="I1802">
        <f t="shared" si="85"/>
        <v>6</v>
      </c>
      <c r="J1802">
        <v>10</v>
      </c>
      <c r="K1802" s="16">
        <f t="shared" si="83"/>
        <v>600000000</v>
      </c>
    </row>
    <row r="1803" spans="1:11">
      <c r="A1803">
        <v>1</v>
      </c>
      <c r="B1803" t="s">
        <v>8</v>
      </c>
      <c r="C1803">
        <v>81</v>
      </c>
      <c r="D1803" s="1" t="s">
        <v>16</v>
      </c>
      <c r="E1803" s="1">
        <v>2</v>
      </c>
      <c r="F1803">
        <v>4</v>
      </c>
      <c r="G1803">
        <v>1</v>
      </c>
      <c r="H1803">
        <v>9.9999999999999995E-7</v>
      </c>
      <c r="I1803">
        <f t="shared" si="85"/>
        <v>2.5</v>
      </c>
      <c r="J1803">
        <v>10</v>
      </c>
      <c r="K1803" s="16">
        <f t="shared" si="83"/>
        <v>250000000</v>
      </c>
    </row>
    <row r="1804" spans="1:11">
      <c r="A1804">
        <v>1</v>
      </c>
      <c r="B1804" t="s">
        <v>8</v>
      </c>
      <c r="C1804">
        <v>81</v>
      </c>
      <c r="D1804" s="1" t="s">
        <v>16</v>
      </c>
      <c r="E1804" s="1">
        <v>3</v>
      </c>
      <c r="F1804">
        <v>25</v>
      </c>
      <c r="G1804">
        <v>16</v>
      </c>
      <c r="H1804">
        <v>1.0000000000000001E-5</v>
      </c>
      <c r="I1804">
        <f t="shared" si="85"/>
        <v>20.5</v>
      </c>
      <c r="J1804">
        <v>10</v>
      </c>
      <c r="K1804" s="16">
        <f t="shared" si="83"/>
        <v>204999999.99999997</v>
      </c>
    </row>
    <row r="1805" spans="1:11">
      <c r="A1805">
        <v>1</v>
      </c>
      <c r="B1805" t="s">
        <v>8</v>
      </c>
      <c r="C1805">
        <v>81</v>
      </c>
      <c r="D1805" s="1" t="s">
        <v>16</v>
      </c>
      <c r="E1805" s="1">
        <v>4</v>
      </c>
      <c r="F1805">
        <v>12</v>
      </c>
      <c r="G1805">
        <v>2</v>
      </c>
      <c r="H1805">
        <v>9.9999999999999995E-7</v>
      </c>
      <c r="I1805">
        <f t="shared" si="85"/>
        <v>7</v>
      </c>
      <c r="J1805">
        <v>10</v>
      </c>
      <c r="K1805" s="16">
        <f t="shared" si="83"/>
        <v>700000000</v>
      </c>
    </row>
    <row r="1806" spans="1:11">
      <c r="A1806">
        <v>1</v>
      </c>
      <c r="B1806" t="s">
        <v>8</v>
      </c>
      <c r="C1806">
        <v>81</v>
      </c>
      <c r="D1806" s="1" t="s">
        <v>16</v>
      </c>
      <c r="E1806" s="1">
        <v>5</v>
      </c>
      <c r="F1806">
        <v>7</v>
      </c>
      <c r="G1806">
        <v>2</v>
      </c>
      <c r="H1806">
        <v>9.9999999999999995E-7</v>
      </c>
      <c r="I1806">
        <f t="shared" si="85"/>
        <v>4.5</v>
      </c>
      <c r="J1806">
        <v>10</v>
      </c>
      <c r="K1806" s="16">
        <f t="shared" si="83"/>
        <v>450000000</v>
      </c>
    </row>
    <row r="1807" spans="1:11">
      <c r="A1807">
        <v>1</v>
      </c>
      <c r="B1807" t="s">
        <v>8</v>
      </c>
      <c r="C1807">
        <v>81</v>
      </c>
      <c r="D1807" s="1" t="s">
        <v>16</v>
      </c>
      <c r="E1807" s="1">
        <v>6</v>
      </c>
      <c r="F1807">
        <v>4</v>
      </c>
      <c r="G1807">
        <v>7</v>
      </c>
      <c r="H1807">
        <v>9.9999999999999995E-7</v>
      </c>
      <c r="I1807">
        <f t="shared" si="85"/>
        <v>5.5</v>
      </c>
      <c r="J1807">
        <v>10</v>
      </c>
      <c r="K1807" s="16">
        <f t="shared" si="83"/>
        <v>550000000</v>
      </c>
    </row>
    <row r="1808" spans="1:11">
      <c r="A1808">
        <v>1</v>
      </c>
      <c r="B1808" t="s">
        <v>8</v>
      </c>
      <c r="C1808">
        <v>81</v>
      </c>
      <c r="D1808" s="1" t="s">
        <v>16</v>
      </c>
      <c r="E1808" s="1">
        <v>7</v>
      </c>
      <c r="F1808">
        <v>4</v>
      </c>
      <c r="G1808">
        <v>6</v>
      </c>
      <c r="H1808">
        <v>9.9999999999999995E-7</v>
      </c>
      <c r="I1808">
        <f t="shared" si="85"/>
        <v>5</v>
      </c>
      <c r="J1808">
        <v>10</v>
      </c>
      <c r="K1808" s="16">
        <f t="shared" si="83"/>
        <v>500000000</v>
      </c>
    </row>
    <row r="1809" spans="1:11">
      <c r="A1809">
        <v>1</v>
      </c>
      <c r="B1809" t="s">
        <v>8</v>
      </c>
      <c r="C1809">
        <v>81</v>
      </c>
      <c r="D1809" s="1" t="s">
        <v>16</v>
      </c>
      <c r="E1809" s="1">
        <v>8</v>
      </c>
      <c r="F1809">
        <v>7</v>
      </c>
      <c r="G1809">
        <v>8</v>
      </c>
      <c r="H1809">
        <v>9.9999999999999995E-7</v>
      </c>
      <c r="I1809">
        <f t="shared" si="85"/>
        <v>7.5</v>
      </c>
      <c r="J1809">
        <v>10</v>
      </c>
      <c r="K1809" s="16">
        <f t="shared" si="83"/>
        <v>750000000</v>
      </c>
    </row>
    <row r="1810" spans="1:11">
      <c r="A1810">
        <v>1</v>
      </c>
      <c r="B1810" t="s">
        <v>8</v>
      </c>
      <c r="C1810">
        <v>81</v>
      </c>
      <c r="D1810" s="1" t="s">
        <v>16</v>
      </c>
      <c r="E1810" s="1">
        <v>9</v>
      </c>
      <c r="F1810">
        <v>5</v>
      </c>
      <c r="G1810">
        <v>5</v>
      </c>
      <c r="H1810">
        <v>9.9999999999999995E-7</v>
      </c>
      <c r="I1810">
        <f t="shared" si="85"/>
        <v>5</v>
      </c>
      <c r="J1810">
        <v>10</v>
      </c>
      <c r="K1810" s="16">
        <f t="shared" si="83"/>
        <v>500000000</v>
      </c>
    </row>
    <row r="1811" spans="1:11">
      <c r="A1811">
        <v>1</v>
      </c>
      <c r="B1811" t="s">
        <v>8</v>
      </c>
      <c r="C1811">
        <v>81</v>
      </c>
      <c r="D1811" s="1" t="s">
        <v>16</v>
      </c>
      <c r="E1811" s="1">
        <v>10</v>
      </c>
      <c r="F1811">
        <v>2</v>
      </c>
      <c r="G1811">
        <v>5</v>
      </c>
      <c r="H1811">
        <v>9.9999999999999995E-7</v>
      </c>
      <c r="I1811">
        <f t="shared" si="85"/>
        <v>3.5</v>
      </c>
      <c r="J1811">
        <v>10</v>
      </c>
      <c r="K1811" s="16">
        <f t="shared" ref="K1811:K1841" si="86">I1811/(H1811*(J1811/1000))</f>
        <v>350000000</v>
      </c>
    </row>
    <row r="1812" spans="1:11">
      <c r="A1812">
        <v>1</v>
      </c>
      <c r="B1812" t="s">
        <v>8</v>
      </c>
      <c r="C1812">
        <v>81.5</v>
      </c>
      <c r="D1812" s="1" t="s">
        <v>16</v>
      </c>
      <c r="E1812" s="1">
        <v>1</v>
      </c>
      <c r="F1812">
        <v>14</v>
      </c>
      <c r="G1812">
        <v>21</v>
      </c>
      <c r="H1812">
        <v>1.0000000000000001E-5</v>
      </c>
      <c r="I1812">
        <f t="shared" si="85"/>
        <v>17.5</v>
      </c>
      <c r="J1812">
        <v>10</v>
      </c>
      <c r="K1812" s="16">
        <f t="shared" si="86"/>
        <v>174999999.99999997</v>
      </c>
    </row>
    <row r="1813" spans="1:11">
      <c r="A1813">
        <v>1</v>
      </c>
      <c r="B1813" t="s">
        <v>8</v>
      </c>
      <c r="C1813">
        <v>81.5</v>
      </c>
      <c r="D1813" s="1" t="s">
        <v>16</v>
      </c>
      <c r="E1813" s="1">
        <v>2</v>
      </c>
      <c r="F1813">
        <v>22</v>
      </c>
      <c r="G1813">
        <v>29</v>
      </c>
      <c r="H1813">
        <v>1.0000000000000001E-5</v>
      </c>
      <c r="I1813">
        <f t="shared" si="85"/>
        <v>25.5</v>
      </c>
      <c r="J1813">
        <v>10</v>
      </c>
      <c r="K1813" s="16">
        <f t="shared" si="86"/>
        <v>254999999.99999997</v>
      </c>
    </row>
    <row r="1814" spans="1:11">
      <c r="A1814">
        <v>1</v>
      </c>
      <c r="B1814" t="s">
        <v>8</v>
      </c>
      <c r="C1814">
        <v>81.5</v>
      </c>
      <c r="D1814" s="1" t="s">
        <v>16</v>
      </c>
      <c r="E1814" s="1">
        <v>3</v>
      </c>
      <c r="F1814">
        <v>14</v>
      </c>
      <c r="G1814">
        <v>20</v>
      </c>
      <c r="H1814">
        <v>1.0000000000000001E-5</v>
      </c>
      <c r="I1814">
        <f t="shared" si="85"/>
        <v>17</v>
      </c>
      <c r="J1814">
        <v>10</v>
      </c>
      <c r="K1814" s="16">
        <f t="shared" si="86"/>
        <v>170000000</v>
      </c>
    </row>
    <row r="1815" spans="1:11">
      <c r="A1815">
        <v>1</v>
      </c>
      <c r="B1815" t="s">
        <v>8</v>
      </c>
      <c r="C1815">
        <v>81.5</v>
      </c>
      <c r="D1815" s="1" t="s">
        <v>16</v>
      </c>
      <c r="E1815" s="1">
        <v>4</v>
      </c>
      <c r="F1815">
        <v>11</v>
      </c>
      <c r="G1815">
        <v>13</v>
      </c>
      <c r="H1815">
        <v>1.0000000000000001E-5</v>
      </c>
      <c r="I1815">
        <f t="shared" si="85"/>
        <v>12</v>
      </c>
      <c r="J1815">
        <v>10</v>
      </c>
      <c r="K1815" s="16">
        <f t="shared" si="86"/>
        <v>119999999.99999999</v>
      </c>
    </row>
    <row r="1816" spans="1:11">
      <c r="A1816">
        <v>1</v>
      </c>
      <c r="B1816" t="s">
        <v>8</v>
      </c>
      <c r="C1816">
        <v>81.5</v>
      </c>
      <c r="D1816" s="1" t="s">
        <v>16</v>
      </c>
      <c r="E1816" s="1">
        <v>5</v>
      </c>
      <c r="F1816">
        <v>17</v>
      </c>
      <c r="G1816">
        <v>11</v>
      </c>
      <c r="H1816">
        <v>1.0000000000000001E-5</v>
      </c>
      <c r="I1816">
        <f t="shared" si="85"/>
        <v>14</v>
      </c>
      <c r="J1816">
        <v>10</v>
      </c>
      <c r="K1816" s="16">
        <f t="shared" si="86"/>
        <v>140000000</v>
      </c>
    </row>
    <row r="1817" spans="1:11">
      <c r="A1817">
        <v>1</v>
      </c>
      <c r="B1817" t="s">
        <v>8</v>
      </c>
      <c r="C1817">
        <v>81.5</v>
      </c>
      <c r="D1817" s="1" t="s">
        <v>16</v>
      </c>
      <c r="E1817" s="1">
        <v>6</v>
      </c>
      <c r="F1817">
        <v>12</v>
      </c>
      <c r="G1817">
        <v>13</v>
      </c>
      <c r="H1817">
        <v>1.0000000000000001E-5</v>
      </c>
      <c r="I1817">
        <f t="shared" si="85"/>
        <v>12.5</v>
      </c>
      <c r="J1817">
        <v>10</v>
      </c>
      <c r="K1817" s="16">
        <f t="shared" si="86"/>
        <v>124999999.99999999</v>
      </c>
    </row>
    <row r="1818" spans="1:11">
      <c r="A1818">
        <v>1</v>
      </c>
      <c r="B1818" t="s">
        <v>8</v>
      </c>
      <c r="C1818">
        <v>81.5</v>
      </c>
      <c r="D1818" s="1" t="s">
        <v>16</v>
      </c>
      <c r="E1818" s="1">
        <v>7</v>
      </c>
      <c r="F1818">
        <v>9</v>
      </c>
      <c r="G1818">
        <v>9</v>
      </c>
      <c r="H1818">
        <v>1.0000000000000001E-5</v>
      </c>
      <c r="I1818">
        <f t="shared" si="85"/>
        <v>9</v>
      </c>
      <c r="J1818">
        <v>10</v>
      </c>
      <c r="K1818" s="16">
        <f t="shared" si="86"/>
        <v>89999999.999999985</v>
      </c>
    </row>
    <row r="1819" spans="1:11">
      <c r="A1819">
        <v>1</v>
      </c>
      <c r="B1819" t="s">
        <v>8</v>
      </c>
      <c r="C1819">
        <v>81.5</v>
      </c>
      <c r="D1819" s="1" t="s">
        <v>16</v>
      </c>
      <c r="E1819" s="1">
        <v>8</v>
      </c>
      <c r="F1819">
        <v>20</v>
      </c>
      <c r="G1819">
        <v>23</v>
      </c>
      <c r="H1819">
        <v>1.0000000000000001E-5</v>
      </c>
      <c r="I1819">
        <f t="shared" si="85"/>
        <v>21.5</v>
      </c>
      <c r="J1819">
        <v>10</v>
      </c>
      <c r="K1819" s="16">
        <f t="shared" si="86"/>
        <v>214999999.99999997</v>
      </c>
    </row>
    <row r="1820" spans="1:11">
      <c r="A1820">
        <v>1</v>
      </c>
      <c r="B1820" t="s">
        <v>8</v>
      </c>
      <c r="C1820">
        <v>81.5</v>
      </c>
      <c r="D1820" s="1" t="s">
        <v>16</v>
      </c>
      <c r="E1820" s="1">
        <v>9</v>
      </c>
      <c r="F1820">
        <v>12</v>
      </c>
      <c r="G1820">
        <v>15</v>
      </c>
      <c r="H1820">
        <v>1.0000000000000001E-5</v>
      </c>
      <c r="I1820">
        <f t="shared" si="85"/>
        <v>13.5</v>
      </c>
      <c r="J1820">
        <v>10</v>
      </c>
      <c r="K1820" s="16">
        <f t="shared" si="86"/>
        <v>135000000</v>
      </c>
    </row>
    <row r="1821" spans="1:11">
      <c r="A1821">
        <v>1</v>
      </c>
      <c r="B1821" t="s">
        <v>8</v>
      </c>
      <c r="C1821">
        <v>81.5</v>
      </c>
      <c r="D1821" s="1" t="s">
        <v>16</v>
      </c>
      <c r="E1821" s="1">
        <v>10</v>
      </c>
      <c r="F1821">
        <v>2</v>
      </c>
      <c r="G1821">
        <v>3</v>
      </c>
      <c r="H1821">
        <v>9.9999999999999995E-7</v>
      </c>
      <c r="I1821">
        <f t="shared" si="85"/>
        <v>2.5</v>
      </c>
      <c r="J1821">
        <v>10</v>
      </c>
      <c r="K1821" s="16">
        <f t="shared" si="86"/>
        <v>250000000</v>
      </c>
    </row>
    <row r="1822" spans="1:11">
      <c r="A1822">
        <v>1</v>
      </c>
      <c r="B1822" t="s">
        <v>8</v>
      </c>
      <c r="C1822">
        <v>82</v>
      </c>
      <c r="D1822" s="1" t="s">
        <v>16</v>
      </c>
      <c r="E1822" s="1">
        <v>1</v>
      </c>
      <c r="F1822">
        <v>3</v>
      </c>
      <c r="G1822">
        <v>7</v>
      </c>
      <c r="H1822">
        <v>9.9999999999999995E-7</v>
      </c>
      <c r="I1822">
        <f t="shared" si="85"/>
        <v>5</v>
      </c>
      <c r="J1822">
        <v>10</v>
      </c>
      <c r="K1822" s="16">
        <f t="shared" si="86"/>
        <v>500000000</v>
      </c>
    </row>
    <row r="1823" spans="1:11">
      <c r="A1823">
        <v>1</v>
      </c>
      <c r="B1823" t="s">
        <v>8</v>
      </c>
      <c r="C1823">
        <v>82</v>
      </c>
      <c r="D1823" s="1" t="s">
        <v>16</v>
      </c>
      <c r="E1823" s="1">
        <v>2</v>
      </c>
      <c r="F1823">
        <v>4</v>
      </c>
      <c r="G1823">
        <v>4</v>
      </c>
      <c r="H1823">
        <v>9.9999999999999995E-7</v>
      </c>
      <c r="I1823">
        <f t="shared" si="85"/>
        <v>4</v>
      </c>
      <c r="J1823">
        <v>10</v>
      </c>
      <c r="K1823" s="16">
        <f t="shared" si="86"/>
        <v>400000000</v>
      </c>
    </row>
    <row r="1824" spans="1:11">
      <c r="A1824">
        <v>1</v>
      </c>
      <c r="B1824" t="s">
        <v>8</v>
      </c>
      <c r="C1824">
        <v>82</v>
      </c>
      <c r="D1824" s="1" t="s">
        <v>16</v>
      </c>
      <c r="E1824" s="1">
        <v>3</v>
      </c>
      <c r="F1824">
        <v>19</v>
      </c>
      <c r="G1824">
        <v>20</v>
      </c>
      <c r="H1824">
        <v>1.0000000000000001E-5</v>
      </c>
      <c r="I1824">
        <f t="shared" si="85"/>
        <v>19.5</v>
      </c>
      <c r="J1824">
        <v>10</v>
      </c>
      <c r="K1824" s="16">
        <f t="shared" si="86"/>
        <v>194999999.99999997</v>
      </c>
    </row>
    <row r="1825" spans="1:11">
      <c r="A1825">
        <v>1</v>
      </c>
      <c r="B1825" t="s">
        <v>8</v>
      </c>
      <c r="C1825">
        <v>82</v>
      </c>
      <c r="D1825" s="1" t="s">
        <v>16</v>
      </c>
      <c r="E1825" s="1">
        <v>4</v>
      </c>
      <c r="F1825">
        <v>3</v>
      </c>
      <c r="G1825">
        <v>6</v>
      </c>
      <c r="H1825">
        <v>9.9999999999999995E-7</v>
      </c>
      <c r="I1825">
        <f t="shared" si="85"/>
        <v>4.5</v>
      </c>
      <c r="J1825">
        <v>10</v>
      </c>
      <c r="K1825" s="16">
        <f t="shared" si="86"/>
        <v>450000000</v>
      </c>
    </row>
    <row r="1826" spans="1:11">
      <c r="A1826">
        <v>1</v>
      </c>
      <c r="B1826" t="s">
        <v>8</v>
      </c>
      <c r="C1826">
        <v>82</v>
      </c>
      <c r="D1826" s="1" t="s">
        <v>16</v>
      </c>
      <c r="E1826" s="1">
        <v>5</v>
      </c>
      <c r="F1826">
        <v>4</v>
      </c>
      <c r="G1826">
        <v>3</v>
      </c>
      <c r="H1826">
        <v>9.9999999999999995E-7</v>
      </c>
      <c r="I1826">
        <f t="shared" si="85"/>
        <v>3.5</v>
      </c>
      <c r="J1826">
        <v>10</v>
      </c>
      <c r="K1826" s="16">
        <f t="shared" si="86"/>
        <v>350000000</v>
      </c>
    </row>
    <row r="1827" spans="1:11">
      <c r="A1827">
        <v>1</v>
      </c>
      <c r="B1827" t="s">
        <v>8</v>
      </c>
      <c r="C1827">
        <v>82</v>
      </c>
      <c r="D1827" s="1" t="s">
        <v>16</v>
      </c>
      <c r="E1827" s="1">
        <v>6</v>
      </c>
      <c r="F1827">
        <v>3</v>
      </c>
      <c r="G1827">
        <v>1</v>
      </c>
      <c r="H1827">
        <v>9.9999999999999995E-7</v>
      </c>
      <c r="I1827">
        <f t="shared" si="85"/>
        <v>2</v>
      </c>
      <c r="J1827">
        <v>10</v>
      </c>
      <c r="K1827" s="16">
        <f t="shared" si="86"/>
        <v>200000000</v>
      </c>
    </row>
    <row r="1828" spans="1:11">
      <c r="A1828">
        <v>1</v>
      </c>
      <c r="B1828" t="s">
        <v>8</v>
      </c>
      <c r="C1828">
        <v>82</v>
      </c>
      <c r="D1828" s="1" t="s">
        <v>16</v>
      </c>
      <c r="E1828" s="1">
        <v>7</v>
      </c>
      <c r="F1828">
        <v>6</v>
      </c>
      <c r="G1828">
        <v>12</v>
      </c>
      <c r="H1828">
        <v>9.9999999999999995E-7</v>
      </c>
      <c r="I1828">
        <f t="shared" si="85"/>
        <v>9</v>
      </c>
      <c r="J1828">
        <v>10</v>
      </c>
      <c r="K1828" s="16">
        <f t="shared" si="86"/>
        <v>900000000</v>
      </c>
    </row>
    <row r="1829" spans="1:11">
      <c r="A1829">
        <v>1</v>
      </c>
      <c r="B1829" t="s">
        <v>8</v>
      </c>
      <c r="C1829">
        <v>82</v>
      </c>
      <c r="D1829" s="1" t="s">
        <v>16</v>
      </c>
      <c r="E1829" s="1">
        <v>8</v>
      </c>
      <c r="F1829">
        <v>5</v>
      </c>
      <c r="G1829">
        <v>8</v>
      </c>
      <c r="H1829">
        <v>9.9999999999999995E-7</v>
      </c>
      <c r="I1829">
        <f t="shared" si="85"/>
        <v>6.5</v>
      </c>
      <c r="J1829">
        <v>10</v>
      </c>
      <c r="K1829" s="16">
        <f t="shared" si="86"/>
        <v>650000000</v>
      </c>
    </row>
    <row r="1830" spans="1:11">
      <c r="A1830">
        <v>1</v>
      </c>
      <c r="B1830" t="s">
        <v>8</v>
      </c>
      <c r="C1830">
        <v>82</v>
      </c>
      <c r="D1830" s="1" t="s">
        <v>16</v>
      </c>
      <c r="E1830" s="1">
        <v>9</v>
      </c>
      <c r="F1830">
        <v>8</v>
      </c>
      <c r="G1830">
        <v>4</v>
      </c>
      <c r="H1830">
        <v>9.9999999999999995E-7</v>
      </c>
      <c r="I1830">
        <f t="shared" si="85"/>
        <v>6</v>
      </c>
      <c r="J1830">
        <v>10</v>
      </c>
      <c r="K1830" s="16">
        <f t="shared" si="86"/>
        <v>600000000</v>
      </c>
    </row>
    <row r="1831" spans="1:11">
      <c r="A1831">
        <v>1</v>
      </c>
      <c r="B1831" t="s">
        <v>8</v>
      </c>
      <c r="C1831">
        <v>82</v>
      </c>
      <c r="D1831" s="1" t="s">
        <v>16</v>
      </c>
      <c r="E1831" s="1">
        <v>10</v>
      </c>
      <c r="F1831">
        <v>5</v>
      </c>
      <c r="G1831">
        <v>3</v>
      </c>
      <c r="H1831">
        <v>9.9999999999999995E-7</v>
      </c>
      <c r="I1831">
        <f t="shared" ref="I1831:I1841" si="87">AVERAGE(F1831:G1831)</f>
        <v>4</v>
      </c>
      <c r="J1831">
        <v>10</v>
      </c>
      <c r="K1831" s="16">
        <f t="shared" si="86"/>
        <v>400000000</v>
      </c>
    </row>
    <row r="1832" spans="1:11">
      <c r="A1832">
        <v>1</v>
      </c>
      <c r="B1832" t="s">
        <v>8</v>
      </c>
      <c r="C1832">
        <v>82.5</v>
      </c>
      <c r="D1832" s="1" t="s">
        <v>16</v>
      </c>
      <c r="E1832" s="1">
        <v>1</v>
      </c>
      <c r="F1832">
        <v>13</v>
      </c>
      <c r="G1832">
        <v>13</v>
      </c>
      <c r="H1832">
        <v>1.0000000000000001E-5</v>
      </c>
      <c r="I1832">
        <f t="shared" si="87"/>
        <v>13</v>
      </c>
      <c r="J1832">
        <v>10</v>
      </c>
      <c r="K1832" s="16">
        <f t="shared" si="86"/>
        <v>129999999.99999999</v>
      </c>
    </row>
    <row r="1833" spans="1:11">
      <c r="A1833">
        <v>1</v>
      </c>
      <c r="B1833" t="s">
        <v>8</v>
      </c>
      <c r="C1833">
        <v>82.5</v>
      </c>
      <c r="D1833" s="1" t="s">
        <v>16</v>
      </c>
      <c r="E1833" s="1">
        <v>2</v>
      </c>
      <c r="F1833">
        <v>2</v>
      </c>
      <c r="G1833">
        <v>2</v>
      </c>
      <c r="H1833">
        <v>9.9999999999999995E-7</v>
      </c>
      <c r="I1833">
        <f t="shared" si="87"/>
        <v>2</v>
      </c>
      <c r="J1833">
        <v>10</v>
      </c>
      <c r="K1833" s="16">
        <f t="shared" si="86"/>
        <v>200000000</v>
      </c>
    </row>
    <row r="1834" spans="1:11">
      <c r="A1834">
        <v>1</v>
      </c>
      <c r="B1834" t="s">
        <v>8</v>
      </c>
      <c r="C1834">
        <v>82.5</v>
      </c>
      <c r="D1834" s="1" t="s">
        <v>16</v>
      </c>
      <c r="E1834" s="1">
        <v>3</v>
      </c>
      <c r="F1834">
        <v>2</v>
      </c>
      <c r="G1834">
        <v>3</v>
      </c>
      <c r="H1834">
        <v>9.9999999999999995E-7</v>
      </c>
      <c r="I1834">
        <f t="shared" si="87"/>
        <v>2.5</v>
      </c>
      <c r="J1834">
        <v>10</v>
      </c>
      <c r="K1834" s="16">
        <f t="shared" si="86"/>
        <v>250000000</v>
      </c>
    </row>
    <row r="1835" spans="1:11">
      <c r="A1835">
        <v>1</v>
      </c>
      <c r="B1835" t="s">
        <v>8</v>
      </c>
      <c r="C1835">
        <v>82.5</v>
      </c>
      <c r="D1835" s="1" t="s">
        <v>16</v>
      </c>
      <c r="E1835" s="1">
        <v>4</v>
      </c>
      <c r="F1835">
        <v>8</v>
      </c>
      <c r="G1835">
        <v>6</v>
      </c>
      <c r="H1835">
        <v>1.0000000000000001E-5</v>
      </c>
      <c r="I1835">
        <f t="shared" si="87"/>
        <v>7</v>
      </c>
      <c r="J1835">
        <v>10</v>
      </c>
      <c r="K1835" s="16">
        <f t="shared" si="86"/>
        <v>70000000</v>
      </c>
    </row>
    <row r="1836" spans="1:11">
      <c r="A1836">
        <v>1</v>
      </c>
      <c r="B1836" t="s">
        <v>8</v>
      </c>
      <c r="C1836">
        <v>82.5</v>
      </c>
      <c r="D1836" s="1" t="s">
        <v>16</v>
      </c>
      <c r="E1836" s="1">
        <v>5</v>
      </c>
      <c r="F1836">
        <v>9</v>
      </c>
      <c r="G1836">
        <v>12</v>
      </c>
      <c r="H1836">
        <v>1.0000000000000001E-5</v>
      </c>
      <c r="I1836">
        <f t="shared" si="87"/>
        <v>10.5</v>
      </c>
      <c r="J1836">
        <v>10</v>
      </c>
      <c r="K1836" s="16">
        <f t="shared" si="86"/>
        <v>104999999.99999999</v>
      </c>
    </row>
    <row r="1837" spans="1:11">
      <c r="A1837">
        <v>1</v>
      </c>
      <c r="B1837" t="s">
        <v>8</v>
      </c>
      <c r="C1837">
        <v>82.5</v>
      </c>
      <c r="D1837" s="1" t="s">
        <v>16</v>
      </c>
      <c r="E1837" s="1">
        <v>6</v>
      </c>
      <c r="F1837">
        <v>15</v>
      </c>
      <c r="G1837">
        <v>10</v>
      </c>
      <c r="H1837">
        <v>1.0000000000000001E-5</v>
      </c>
      <c r="I1837">
        <f t="shared" si="87"/>
        <v>12.5</v>
      </c>
      <c r="J1837">
        <v>10</v>
      </c>
      <c r="K1837" s="16">
        <f t="shared" si="86"/>
        <v>124999999.99999999</v>
      </c>
    </row>
    <row r="1838" spans="1:11">
      <c r="A1838">
        <v>1</v>
      </c>
      <c r="B1838" t="s">
        <v>8</v>
      </c>
      <c r="C1838">
        <v>82.5</v>
      </c>
      <c r="D1838" s="1" t="s">
        <v>16</v>
      </c>
      <c r="E1838" s="1">
        <v>7</v>
      </c>
      <c r="F1838">
        <v>12</v>
      </c>
      <c r="G1838">
        <v>9</v>
      </c>
      <c r="H1838">
        <v>1.0000000000000001E-5</v>
      </c>
      <c r="I1838">
        <f t="shared" si="87"/>
        <v>10.5</v>
      </c>
      <c r="J1838">
        <v>10</v>
      </c>
      <c r="K1838" s="16">
        <f t="shared" si="86"/>
        <v>104999999.99999999</v>
      </c>
    </row>
    <row r="1839" spans="1:11">
      <c r="A1839">
        <v>1</v>
      </c>
      <c r="B1839" t="s">
        <v>8</v>
      </c>
      <c r="C1839">
        <v>82.5</v>
      </c>
      <c r="D1839" s="1" t="s">
        <v>16</v>
      </c>
      <c r="E1839" s="1">
        <v>8</v>
      </c>
      <c r="F1839">
        <v>18</v>
      </c>
      <c r="G1839">
        <v>14</v>
      </c>
      <c r="H1839">
        <v>1.0000000000000001E-5</v>
      </c>
      <c r="I1839">
        <f t="shared" si="87"/>
        <v>16</v>
      </c>
      <c r="J1839">
        <v>10</v>
      </c>
      <c r="K1839" s="16">
        <f t="shared" si="86"/>
        <v>160000000</v>
      </c>
    </row>
    <row r="1840" spans="1:11">
      <c r="A1840">
        <v>1</v>
      </c>
      <c r="B1840" t="s">
        <v>8</v>
      </c>
      <c r="C1840">
        <v>82.5</v>
      </c>
      <c r="D1840" s="1" t="s">
        <v>16</v>
      </c>
      <c r="E1840" s="1">
        <v>9</v>
      </c>
      <c r="F1840">
        <v>12</v>
      </c>
      <c r="G1840">
        <v>11</v>
      </c>
      <c r="H1840">
        <v>1.0000000000000001E-5</v>
      </c>
      <c r="I1840">
        <f t="shared" si="87"/>
        <v>11.5</v>
      </c>
      <c r="J1840">
        <v>10</v>
      </c>
      <c r="K1840" s="16">
        <f t="shared" si="86"/>
        <v>114999999.99999999</v>
      </c>
    </row>
    <row r="1841" spans="1:11">
      <c r="A1841">
        <v>1</v>
      </c>
      <c r="B1841" t="s">
        <v>8</v>
      </c>
      <c r="C1841">
        <v>82.5</v>
      </c>
      <c r="D1841" s="1" t="s">
        <v>16</v>
      </c>
      <c r="E1841" s="1">
        <v>10</v>
      </c>
      <c r="F1841">
        <v>19</v>
      </c>
      <c r="G1841">
        <v>5</v>
      </c>
      <c r="H1841">
        <v>1.0000000000000001E-5</v>
      </c>
      <c r="I1841">
        <f t="shared" si="87"/>
        <v>12</v>
      </c>
      <c r="J1841">
        <v>10</v>
      </c>
      <c r="K1841" s="16">
        <f t="shared" si="86"/>
        <v>119999999.99999999</v>
      </c>
    </row>
  </sheetData>
  <autoFilter ref="D1:D1841" xr:uid="{B65547A0-FC3C-8149-840F-7A052F7C46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Lyon</dc:creator>
  <cp:keywords/>
  <dc:description/>
  <cp:lastModifiedBy>adammlyon@gmail.com</cp:lastModifiedBy>
  <cp:revision/>
  <dcterms:created xsi:type="dcterms:W3CDTF">2024-12-05T23:09:12Z</dcterms:created>
  <dcterms:modified xsi:type="dcterms:W3CDTF">2026-01-25T00:42:34Z</dcterms:modified>
  <cp:category/>
  <cp:contentStatus/>
</cp:coreProperties>
</file>