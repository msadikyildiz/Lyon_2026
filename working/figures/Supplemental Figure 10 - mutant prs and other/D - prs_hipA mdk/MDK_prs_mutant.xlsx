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adamlyon/Desktop/September2024/MDK/mutants/"/>
    </mc:Choice>
  </mc:AlternateContent>
  <xr:revisionPtr revIDLastSave="12" documentId="13_ncr:1_{7448C942-9166-8348-8C09-D9937A8DA53D}" xr6:coauthVersionLast="47" xr6:coauthVersionMax="47" xr10:uidLastSave="{7F4FC314-3794-4470-8734-5F98DAA49706}"/>
  <bookViews>
    <workbookView xWindow="0" yWindow="0" windowWidth="28800" windowHeight="18000" xr2:uid="{177CD699-1056-2B46-834D-83BE0E876923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M2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2" i="1"/>
  <c r="L18" i="1"/>
  <c r="L19" i="1"/>
  <c r="L34" i="1" s="1"/>
  <c r="L49" i="1" s="1"/>
  <c r="L64" i="1" s="1"/>
  <c r="L79" i="1" s="1"/>
  <c r="L20" i="1"/>
  <c r="L21" i="1"/>
  <c r="L36" i="1" s="1"/>
  <c r="L51" i="1" s="1"/>
  <c r="L66" i="1" s="1"/>
  <c r="L81" i="1" s="1"/>
  <c r="L22" i="1"/>
  <c r="L23" i="1"/>
  <c r="L38" i="1" s="1"/>
  <c r="L53" i="1" s="1"/>
  <c r="L68" i="1" s="1"/>
  <c r="L83" i="1" s="1"/>
  <c r="L24" i="1"/>
  <c r="L25" i="1"/>
  <c r="L40" i="1" s="1"/>
  <c r="L55" i="1" s="1"/>
  <c r="L70" i="1" s="1"/>
  <c r="L85" i="1" s="1"/>
  <c r="L26" i="1"/>
  <c r="L27" i="1"/>
  <c r="L42" i="1" s="1"/>
  <c r="L57" i="1" s="1"/>
  <c r="L72" i="1" s="1"/>
  <c r="L87" i="1" s="1"/>
  <c r="L28" i="1"/>
  <c r="L29" i="1"/>
  <c r="L44" i="1" s="1"/>
  <c r="L59" i="1" s="1"/>
  <c r="L74" i="1" s="1"/>
  <c r="L89" i="1" s="1"/>
  <c r="L30" i="1"/>
  <c r="L31" i="1"/>
  <c r="L46" i="1" s="1"/>
  <c r="L61" i="1" s="1"/>
  <c r="L76" i="1" s="1"/>
  <c r="L91" i="1" s="1"/>
  <c r="L32" i="1"/>
  <c r="L33" i="1"/>
  <c r="L48" i="1" s="1"/>
  <c r="L63" i="1" s="1"/>
  <c r="L78" i="1" s="1"/>
  <c r="L35" i="1"/>
  <c r="L50" i="1" s="1"/>
  <c r="L65" i="1" s="1"/>
  <c r="L80" i="1" s="1"/>
  <c r="L37" i="1"/>
  <c r="L52" i="1" s="1"/>
  <c r="L67" i="1" s="1"/>
  <c r="L82" i="1" s="1"/>
  <c r="L39" i="1"/>
  <c r="L54" i="1" s="1"/>
  <c r="L69" i="1" s="1"/>
  <c r="L84" i="1" s="1"/>
  <c r="L41" i="1"/>
  <c r="L56" i="1" s="1"/>
  <c r="L71" i="1" s="1"/>
  <c r="L86" i="1" s="1"/>
  <c r="L43" i="1"/>
  <c r="L58" i="1" s="1"/>
  <c r="L73" i="1" s="1"/>
  <c r="L88" i="1" s="1"/>
  <c r="L45" i="1"/>
  <c r="L60" i="1" s="1"/>
  <c r="L75" i="1" s="1"/>
  <c r="L90" i="1" s="1"/>
  <c r="L47" i="1"/>
  <c r="L62" i="1" s="1"/>
  <c r="L77" i="1" s="1"/>
  <c r="L1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J91" i="1"/>
  <c r="F91" i="1"/>
  <c r="E91" i="1"/>
  <c r="A91" i="1"/>
  <c r="J90" i="1"/>
  <c r="F90" i="1"/>
  <c r="E90" i="1"/>
  <c r="A90" i="1"/>
  <c r="J89" i="1"/>
  <c r="F89" i="1"/>
  <c r="E89" i="1"/>
  <c r="A89" i="1"/>
  <c r="J88" i="1"/>
  <c r="E88" i="1"/>
  <c r="J87" i="1"/>
  <c r="E87" i="1"/>
  <c r="J86" i="1"/>
  <c r="E86" i="1"/>
  <c r="J85" i="1"/>
  <c r="F85" i="1"/>
  <c r="F88" i="1" s="1"/>
  <c r="E85" i="1"/>
  <c r="J84" i="1"/>
  <c r="E84" i="1"/>
  <c r="D84" i="1"/>
  <c r="D87" i="1" s="1"/>
  <c r="D90" i="1" s="1"/>
  <c r="J83" i="1"/>
  <c r="F83" i="1"/>
  <c r="F86" i="1" s="1"/>
  <c r="E83" i="1"/>
  <c r="J82" i="1"/>
  <c r="F82" i="1"/>
  <c r="E82" i="1"/>
  <c r="D82" i="1"/>
  <c r="D85" i="1" s="1"/>
  <c r="D88" i="1" s="1"/>
  <c r="D91" i="1" s="1"/>
  <c r="J81" i="1"/>
  <c r="F81" i="1"/>
  <c r="F84" i="1" s="1"/>
  <c r="F87" i="1" s="1"/>
  <c r="E81" i="1"/>
  <c r="D81" i="1"/>
  <c r="J80" i="1"/>
  <c r="F80" i="1"/>
  <c r="E80" i="1"/>
  <c r="D80" i="1"/>
  <c r="D83" i="1" s="1"/>
  <c r="D86" i="1" s="1"/>
  <c r="D89" i="1" s="1"/>
  <c r="J79" i="1"/>
  <c r="E79" i="1"/>
  <c r="J78" i="1"/>
  <c r="E78" i="1"/>
  <c r="J77" i="1"/>
  <c r="E77" i="1"/>
  <c r="J76" i="1"/>
  <c r="F76" i="1"/>
  <c r="E76" i="1"/>
  <c r="A76" i="1"/>
  <c r="J75" i="1"/>
  <c r="F75" i="1"/>
  <c r="E75" i="1"/>
  <c r="A75" i="1"/>
  <c r="J74" i="1"/>
  <c r="F74" i="1"/>
  <c r="E74" i="1"/>
  <c r="A74" i="1"/>
  <c r="J73" i="1"/>
  <c r="E73" i="1"/>
  <c r="J72" i="1"/>
  <c r="E72" i="1"/>
  <c r="J71" i="1"/>
  <c r="E71" i="1"/>
  <c r="J70" i="1"/>
  <c r="F70" i="1"/>
  <c r="F73" i="1" s="1"/>
  <c r="E70" i="1"/>
  <c r="J69" i="1"/>
  <c r="E69" i="1"/>
  <c r="D69" i="1"/>
  <c r="D72" i="1" s="1"/>
  <c r="D75" i="1" s="1"/>
  <c r="J68" i="1"/>
  <c r="F68" i="1"/>
  <c r="F71" i="1" s="1"/>
  <c r="E68" i="1"/>
  <c r="J67" i="1"/>
  <c r="F67" i="1"/>
  <c r="E67" i="1"/>
  <c r="D67" i="1"/>
  <c r="D70" i="1" s="1"/>
  <c r="D73" i="1" s="1"/>
  <c r="D76" i="1" s="1"/>
  <c r="J66" i="1"/>
  <c r="F66" i="1"/>
  <c r="F69" i="1" s="1"/>
  <c r="F72" i="1" s="1"/>
  <c r="E66" i="1"/>
  <c r="D66" i="1"/>
  <c r="J65" i="1"/>
  <c r="F65" i="1"/>
  <c r="E65" i="1"/>
  <c r="D65" i="1"/>
  <c r="D68" i="1" s="1"/>
  <c r="D71" i="1" s="1"/>
  <c r="D74" i="1" s="1"/>
  <c r="J64" i="1"/>
  <c r="E64" i="1"/>
  <c r="J63" i="1"/>
  <c r="E63" i="1"/>
  <c r="J62" i="1"/>
  <c r="E62" i="1"/>
  <c r="J61" i="1"/>
  <c r="F61" i="1"/>
  <c r="E61" i="1"/>
  <c r="A61" i="1"/>
  <c r="J60" i="1"/>
  <c r="F60" i="1"/>
  <c r="E60" i="1"/>
  <c r="A60" i="1"/>
  <c r="J59" i="1"/>
  <c r="F59" i="1"/>
  <c r="E59" i="1"/>
  <c r="A59" i="1"/>
  <c r="J58" i="1"/>
  <c r="E58" i="1"/>
  <c r="J57" i="1"/>
  <c r="E57" i="1"/>
  <c r="J56" i="1"/>
  <c r="E56" i="1"/>
  <c r="J55" i="1"/>
  <c r="F55" i="1"/>
  <c r="F58" i="1" s="1"/>
  <c r="E55" i="1"/>
  <c r="J54" i="1"/>
  <c r="E54" i="1"/>
  <c r="D54" i="1"/>
  <c r="D57" i="1" s="1"/>
  <c r="D60" i="1" s="1"/>
  <c r="J53" i="1"/>
  <c r="F53" i="1"/>
  <c r="F56" i="1" s="1"/>
  <c r="E53" i="1"/>
  <c r="J52" i="1"/>
  <c r="F52" i="1"/>
  <c r="E52" i="1"/>
  <c r="D52" i="1"/>
  <c r="D55" i="1" s="1"/>
  <c r="D58" i="1" s="1"/>
  <c r="D61" i="1" s="1"/>
  <c r="J51" i="1"/>
  <c r="F51" i="1"/>
  <c r="F54" i="1" s="1"/>
  <c r="F57" i="1" s="1"/>
  <c r="E51" i="1"/>
  <c r="D51" i="1"/>
  <c r="J50" i="1"/>
  <c r="F50" i="1"/>
  <c r="E50" i="1"/>
  <c r="D50" i="1"/>
  <c r="D53" i="1" s="1"/>
  <c r="D56" i="1" s="1"/>
  <c r="D59" i="1" s="1"/>
  <c r="J49" i="1"/>
  <c r="E49" i="1"/>
  <c r="J48" i="1"/>
  <c r="E48" i="1"/>
  <c r="J47" i="1"/>
  <c r="E47" i="1"/>
  <c r="J46" i="1"/>
  <c r="F46" i="1"/>
  <c r="E46" i="1"/>
  <c r="A46" i="1"/>
  <c r="J45" i="1"/>
  <c r="F45" i="1"/>
  <c r="E45" i="1"/>
  <c r="A45" i="1"/>
  <c r="J44" i="1"/>
  <c r="F44" i="1"/>
  <c r="E44" i="1"/>
  <c r="A44" i="1"/>
  <c r="J43" i="1"/>
  <c r="E43" i="1"/>
  <c r="J42" i="1"/>
  <c r="E42" i="1"/>
  <c r="J41" i="1"/>
  <c r="E41" i="1"/>
  <c r="J40" i="1"/>
  <c r="F40" i="1"/>
  <c r="F43" i="1" s="1"/>
  <c r="E40" i="1"/>
  <c r="J39" i="1"/>
  <c r="E39" i="1"/>
  <c r="D39" i="1"/>
  <c r="D42" i="1" s="1"/>
  <c r="D45" i="1" s="1"/>
  <c r="J38" i="1"/>
  <c r="F38" i="1"/>
  <c r="F41" i="1" s="1"/>
  <c r="E38" i="1"/>
  <c r="J37" i="1"/>
  <c r="F37" i="1"/>
  <c r="E37" i="1"/>
  <c r="D37" i="1"/>
  <c r="D40" i="1" s="1"/>
  <c r="D43" i="1" s="1"/>
  <c r="D46" i="1" s="1"/>
  <c r="J36" i="1"/>
  <c r="F36" i="1"/>
  <c r="F39" i="1" s="1"/>
  <c r="F42" i="1" s="1"/>
  <c r="E36" i="1"/>
  <c r="D36" i="1"/>
  <c r="J35" i="1"/>
  <c r="F35" i="1"/>
  <c r="E35" i="1"/>
  <c r="D35" i="1"/>
  <c r="D38" i="1" s="1"/>
  <c r="D41" i="1" s="1"/>
  <c r="D44" i="1" s="1"/>
  <c r="J34" i="1"/>
  <c r="E34" i="1"/>
  <c r="J33" i="1"/>
  <c r="E33" i="1"/>
  <c r="J32" i="1"/>
  <c r="E32" i="1"/>
  <c r="J31" i="1"/>
  <c r="F31" i="1"/>
  <c r="E31" i="1"/>
  <c r="A31" i="1"/>
  <c r="J30" i="1"/>
  <c r="F30" i="1"/>
  <c r="E30" i="1"/>
  <c r="A30" i="1"/>
  <c r="J29" i="1"/>
  <c r="F29" i="1"/>
  <c r="E29" i="1"/>
  <c r="A29" i="1"/>
  <c r="J28" i="1"/>
  <c r="E28" i="1"/>
  <c r="J27" i="1"/>
  <c r="E27" i="1"/>
  <c r="J26" i="1"/>
  <c r="E26" i="1"/>
  <c r="J25" i="1"/>
  <c r="F25" i="1"/>
  <c r="F28" i="1" s="1"/>
  <c r="E25" i="1"/>
  <c r="J24" i="1"/>
  <c r="E24" i="1"/>
  <c r="D24" i="1"/>
  <c r="D27" i="1" s="1"/>
  <c r="D30" i="1" s="1"/>
  <c r="J23" i="1"/>
  <c r="F23" i="1"/>
  <c r="F26" i="1" s="1"/>
  <c r="E23" i="1"/>
  <c r="J22" i="1"/>
  <c r="F22" i="1"/>
  <c r="E22" i="1"/>
  <c r="D22" i="1"/>
  <c r="D25" i="1" s="1"/>
  <c r="D28" i="1" s="1"/>
  <c r="D31" i="1" s="1"/>
  <c r="J21" i="1"/>
  <c r="F21" i="1"/>
  <c r="F24" i="1" s="1"/>
  <c r="F27" i="1" s="1"/>
  <c r="E21" i="1"/>
  <c r="D21" i="1"/>
  <c r="J20" i="1"/>
  <c r="F20" i="1"/>
  <c r="E20" i="1"/>
  <c r="D20" i="1"/>
  <c r="D23" i="1" s="1"/>
  <c r="D26" i="1" s="1"/>
  <c r="D29" i="1" s="1"/>
  <c r="J19" i="1"/>
  <c r="E19" i="1"/>
  <c r="J18" i="1"/>
  <c r="E18" i="1"/>
  <c r="J17" i="1"/>
  <c r="E17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H15" i="2" l="1"/>
  <c r="C1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6" i="1"/>
  <c r="D9" i="1" s="1"/>
  <c r="D12" i="1" s="1"/>
  <c r="D15" i="1" s="1"/>
  <c r="D7" i="1"/>
  <c r="D10" i="1" s="1"/>
  <c r="D13" i="1" s="1"/>
  <c r="D16" i="1" s="1"/>
  <c r="D5" i="1"/>
  <c r="D8" i="1" s="1"/>
  <c r="D11" i="1" s="1"/>
  <c r="D14" i="1" s="1"/>
  <c r="J2" i="1"/>
  <c r="A15" i="1"/>
  <c r="F15" i="1"/>
  <c r="A16" i="1"/>
  <c r="F16" i="1"/>
  <c r="F14" i="1"/>
  <c r="A14" i="1"/>
  <c r="F6" i="1"/>
  <c r="F7" i="1"/>
  <c r="F10" i="1" s="1"/>
  <c r="F5" i="1"/>
  <c r="F13" i="1" l="1"/>
  <c r="F8" i="1"/>
  <c r="F9" i="1"/>
  <c r="F11" i="1" l="1"/>
  <c r="F12" i="1"/>
</calcChain>
</file>

<file path=xl/sharedStrings.xml><?xml version="1.0" encoding="utf-8"?>
<sst xmlns="http://schemas.openxmlformats.org/spreadsheetml/2006/main" count="111" uniqueCount="26">
  <si>
    <t>Day</t>
  </si>
  <si>
    <t>Tube</t>
  </si>
  <si>
    <t>Strain</t>
  </si>
  <si>
    <t>Culture</t>
  </si>
  <si>
    <t>Name</t>
  </si>
  <si>
    <t>Replicate</t>
  </si>
  <si>
    <t>Time</t>
  </si>
  <si>
    <t>Count</t>
  </si>
  <si>
    <t>Dilution</t>
  </si>
  <si>
    <t>Factor</t>
  </si>
  <si>
    <t>CFU</t>
  </si>
  <si>
    <t>TimeZero</t>
  </si>
  <si>
    <t>Fraction</t>
  </si>
  <si>
    <t>wt</t>
  </si>
  <si>
    <t>prs</t>
  </si>
  <si>
    <t>hipa</t>
  </si>
  <si>
    <t>pc</t>
  </si>
  <si>
    <t>plac</t>
  </si>
  <si>
    <t>stock concentration</t>
  </si>
  <si>
    <t>mg/mL</t>
  </si>
  <si>
    <t>C (mg/mL)</t>
  </si>
  <si>
    <t>V (uL)</t>
  </si>
  <si>
    <t>V (ml)</t>
  </si>
  <si>
    <t>C (ug/mL)</t>
  </si>
  <si>
    <t>40mg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</si>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</sst>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E929-15C7-A94F-89A0-1B970DB2740D}">
  <dimension ref="A1:N232"/>
  <sheetViews>
    <sheetView tabSelected="1" zoomScale="69" workbookViewId="0">
      <selection activeCell="K6" sqref="K6"/>
    </sheetView>
  </sheetViews>
  <sheetFormatPr defaultColWidth="11" defaultRowHeight="15.9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>
      <c r="A2">
        <v>1</v>
      </c>
      <c r="B2">
        <v>1</v>
      </c>
      <c r="C2" t="s">
        <v>13</v>
      </c>
      <c r="D2">
        <v>1</v>
      </c>
      <c r="E2" t="str">
        <f>C2</f>
        <v>wt</v>
      </c>
      <c r="F2">
        <v>1</v>
      </c>
      <c r="G2">
        <v>0</v>
      </c>
      <c r="H2">
        <v>27</v>
      </c>
      <c r="I2">
        <v>5</v>
      </c>
      <c r="J2">
        <f>1/10^I2</f>
        <v>1.0000000000000001E-5</v>
      </c>
      <c r="K2" s="1">
        <f>H2/(J2*0.02)</f>
        <v>135000000</v>
      </c>
      <c r="L2" s="1">
        <v>135000000</v>
      </c>
      <c r="M2" s="2">
        <f>K2/L2</f>
        <v>1</v>
      </c>
      <c r="N2" s="1"/>
    </row>
    <row r="3" spans="1:14">
      <c r="A3">
        <v>1</v>
      </c>
      <c r="B3">
        <v>2</v>
      </c>
      <c r="C3" t="s">
        <v>13</v>
      </c>
      <c r="D3">
        <v>2</v>
      </c>
      <c r="E3" t="str">
        <f t="shared" ref="E3:E66" si="0">C3</f>
        <v>wt</v>
      </c>
      <c r="F3">
        <v>2</v>
      </c>
      <c r="G3">
        <v>0</v>
      </c>
      <c r="H3">
        <v>25</v>
      </c>
      <c r="I3">
        <v>5</v>
      </c>
      <c r="J3">
        <f t="shared" ref="J3:J66" si="1">1/10^I3</f>
        <v>1.0000000000000001E-5</v>
      </c>
      <c r="K3" s="1">
        <f t="shared" ref="K3:K66" si="2">H3/(J3*0.02)</f>
        <v>124999999.99999999</v>
      </c>
      <c r="L3" s="1">
        <v>124999999.99999999</v>
      </c>
      <c r="M3" s="2">
        <f t="shared" ref="M3:M66" si="3">K3/L3</f>
        <v>1</v>
      </c>
    </row>
    <row r="4" spans="1:14">
      <c r="A4">
        <v>1</v>
      </c>
      <c r="B4">
        <v>3</v>
      </c>
      <c r="C4" t="s">
        <v>13</v>
      </c>
      <c r="D4">
        <v>3</v>
      </c>
      <c r="E4" t="str">
        <f t="shared" si="0"/>
        <v>wt</v>
      </c>
      <c r="F4">
        <v>3</v>
      </c>
      <c r="G4">
        <v>0</v>
      </c>
      <c r="H4">
        <v>28</v>
      </c>
      <c r="I4">
        <v>5</v>
      </c>
      <c r="J4">
        <f t="shared" si="1"/>
        <v>1.0000000000000001E-5</v>
      </c>
      <c r="K4" s="1">
        <f t="shared" si="2"/>
        <v>140000000</v>
      </c>
      <c r="L4" s="1">
        <v>140000000</v>
      </c>
      <c r="M4" s="2">
        <f t="shared" si="3"/>
        <v>1</v>
      </c>
    </row>
    <row r="5" spans="1:14">
      <c r="A5">
        <v>1</v>
      </c>
      <c r="B5">
        <v>4</v>
      </c>
      <c r="C5" t="s">
        <v>14</v>
      </c>
      <c r="D5">
        <f>D2</f>
        <v>1</v>
      </c>
      <c r="E5" t="str">
        <f t="shared" si="0"/>
        <v>prs</v>
      </c>
      <c r="F5">
        <f t="shared" ref="F5:F13" si="4">F2</f>
        <v>1</v>
      </c>
      <c r="G5">
        <v>0</v>
      </c>
      <c r="H5">
        <v>11</v>
      </c>
      <c r="I5">
        <v>5</v>
      </c>
      <c r="J5">
        <f t="shared" si="1"/>
        <v>1.0000000000000001E-5</v>
      </c>
      <c r="K5" s="1">
        <f t="shared" si="2"/>
        <v>54999999.999999993</v>
      </c>
      <c r="L5" s="1">
        <v>54999999.999999993</v>
      </c>
      <c r="M5" s="2">
        <f t="shared" si="3"/>
        <v>1</v>
      </c>
      <c r="N5" s="1"/>
    </row>
    <row r="6" spans="1:14">
      <c r="A6">
        <v>1</v>
      </c>
      <c r="B6">
        <v>5</v>
      </c>
      <c r="C6" t="s">
        <v>14</v>
      </c>
      <c r="D6">
        <f t="shared" ref="D6:D69" si="5">D3</f>
        <v>2</v>
      </c>
      <c r="E6" t="str">
        <f t="shared" si="0"/>
        <v>prs</v>
      </c>
      <c r="F6">
        <f t="shared" si="4"/>
        <v>2</v>
      </c>
      <c r="G6">
        <v>0</v>
      </c>
      <c r="H6">
        <v>20</v>
      </c>
      <c r="I6">
        <v>5</v>
      </c>
      <c r="J6">
        <f t="shared" si="1"/>
        <v>1.0000000000000001E-5</v>
      </c>
      <c r="K6" s="1">
        <f t="shared" si="2"/>
        <v>99999999.999999985</v>
      </c>
      <c r="L6" s="1">
        <v>99999999.999999985</v>
      </c>
      <c r="M6" s="2">
        <f t="shared" si="3"/>
        <v>1</v>
      </c>
    </row>
    <row r="7" spans="1:14">
      <c r="A7">
        <v>1</v>
      </c>
      <c r="B7">
        <v>6</v>
      </c>
      <c r="C7" t="s">
        <v>14</v>
      </c>
      <c r="D7">
        <f t="shared" si="5"/>
        <v>3</v>
      </c>
      <c r="E7" t="str">
        <f t="shared" si="0"/>
        <v>prs</v>
      </c>
      <c r="F7">
        <f t="shared" si="4"/>
        <v>3</v>
      </c>
      <c r="G7">
        <v>0</v>
      </c>
      <c r="H7">
        <v>17</v>
      </c>
      <c r="I7">
        <v>5</v>
      </c>
      <c r="J7">
        <f t="shared" si="1"/>
        <v>1.0000000000000001E-5</v>
      </c>
      <c r="K7" s="1">
        <f t="shared" si="2"/>
        <v>85000000</v>
      </c>
      <c r="L7" s="1">
        <v>85000000</v>
      </c>
      <c r="M7" s="2">
        <f t="shared" si="3"/>
        <v>1</v>
      </c>
    </row>
    <row r="8" spans="1:14">
      <c r="A8">
        <v>1</v>
      </c>
      <c r="B8">
        <v>7</v>
      </c>
      <c r="C8" t="s">
        <v>15</v>
      </c>
      <c r="D8">
        <f t="shared" si="5"/>
        <v>1</v>
      </c>
      <c r="E8" t="str">
        <f t="shared" si="0"/>
        <v>hipa</v>
      </c>
      <c r="F8">
        <f t="shared" si="4"/>
        <v>1</v>
      </c>
      <c r="G8">
        <v>0</v>
      </c>
      <c r="H8">
        <v>35</v>
      </c>
      <c r="I8">
        <v>5</v>
      </c>
      <c r="J8">
        <f t="shared" si="1"/>
        <v>1.0000000000000001E-5</v>
      </c>
      <c r="K8" s="1">
        <f t="shared" si="2"/>
        <v>174999999.99999997</v>
      </c>
      <c r="L8" s="1">
        <v>174999999.99999997</v>
      </c>
      <c r="M8" s="2">
        <f t="shared" si="3"/>
        <v>1</v>
      </c>
      <c r="N8" s="1"/>
    </row>
    <row r="9" spans="1:14">
      <c r="A9">
        <v>1</v>
      </c>
      <c r="B9">
        <v>8</v>
      </c>
      <c r="C9" t="s">
        <v>15</v>
      </c>
      <c r="D9">
        <f t="shared" si="5"/>
        <v>2</v>
      </c>
      <c r="E9" t="str">
        <f t="shared" si="0"/>
        <v>hipa</v>
      </c>
      <c r="F9">
        <f t="shared" si="4"/>
        <v>2</v>
      </c>
      <c r="G9">
        <v>0</v>
      </c>
      <c r="H9">
        <v>29</v>
      </c>
      <c r="I9">
        <v>5</v>
      </c>
      <c r="J9">
        <f t="shared" si="1"/>
        <v>1.0000000000000001E-5</v>
      </c>
      <c r="K9" s="1">
        <f t="shared" si="2"/>
        <v>145000000</v>
      </c>
      <c r="L9" s="1">
        <v>145000000</v>
      </c>
      <c r="M9" s="2">
        <f t="shared" si="3"/>
        <v>1</v>
      </c>
    </row>
    <row r="10" spans="1:14">
      <c r="A10">
        <v>1</v>
      </c>
      <c r="B10">
        <v>9</v>
      </c>
      <c r="C10" t="s">
        <v>15</v>
      </c>
      <c r="D10">
        <f t="shared" si="5"/>
        <v>3</v>
      </c>
      <c r="E10" t="str">
        <f t="shared" si="0"/>
        <v>hipa</v>
      </c>
      <c r="F10">
        <f t="shared" si="4"/>
        <v>3</v>
      </c>
      <c r="G10">
        <v>0</v>
      </c>
      <c r="H10">
        <v>37</v>
      </c>
      <c r="I10">
        <v>5</v>
      </c>
      <c r="J10">
        <f t="shared" si="1"/>
        <v>1.0000000000000001E-5</v>
      </c>
      <c r="K10" s="1">
        <f t="shared" si="2"/>
        <v>184999999.99999997</v>
      </c>
      <c r="L10" s="1">
        <v>184999999.99999997</v>
      </c>
      <c r="M10" s="2">
        <f t="shared" si="3"/>
        <v>1</v>
      </c>
    </row>
    <row r="11" spans="1:14">
      <c r="A11">
        <v>1</v>
      </c>
      <c r="B11">
        <v>10</v>
      </c>
      <c r="C11" t="s">
        <v>16</v>
      </c>
      <c r="D11">
        <f t="shared" si="5"/>
        <v>1</v>
      </c>
      <c r="E11" t="str">
        <f t="shared" si="0"/>
        <v>pc</v>
      </c>
      <c r="F11">
        <f t="shared" si="4"/>
        <v>1</v>
      </c>
      <c r="G11">
        <v>0</v>
      </c>
      <c r="H11">
        <v>23</v>
      </c>
      <c r="I11">
        <v>5</v>
      </c>
      <c r="J11">
        <f t="shared" si="1"/>
        <v>1.0000000000000001E-5</v>
      </c>
      <c r="K11" s="1">
        <f t="shared" si="2"/>
        <v>114999999.99999999</v>
      </c>
      <c r="L11" s="1">
        <v>114999999.99999999</v>
      </c>
      <c r="M11" s="2">
        <f t="shared" si="3"/>
        <v>1</v>
      </c>
      <c r="N11" s="1"/>
    </row>
    <row r="12" spans="1:14">
      <c r="A12">
        <v>1</v>
      </c>
      <c r="B12">
        <v>11</v>
      </c>
      <c r="C12" t="s">
        <v>16</v>
      </c>
      <c r="D12">
        <f t="shared" si="5"/>
        <v>2</v>
      </c>
      <c r="E12" t="str">
        <f t="shared" si="0"/>
        <v>pc</v>
      </c>
      <c r="F12">
        <f t="shared" si="4"/>
        <v>2</v>
      </c>
      <c r="G12">
        <v>0</v>
      </c>
      <c r="H12">
        <v>17</v>
      </c>
      <c r="I12">
        <v>5</v>
      </c>
      <c r="J12">
        <f t="shared" si="1"/>
        <v>1.0000000000000001E-5</v>
      </c>
      <c r="K12" s="1">
        <f t="shared" si="2"/>
        <v>85000000</v>
      </c>
      <c r="L12" s="1">
        <v>85000000</v>
      </c>
      <c r="M12" s="2">
        <f t="shared" si="3"/>
        <v>1</v>
      </c>
    </row>
    <row r="13" spans="1:14">
      <c r="A13">
        <v>1</v>
      </c>
      <c r="B13">
        <v>12</v>
      </c>
      <c r="C13" t="s">
        <v>16</v>
      </c>
      <c r="D13">
        <f t="shared" si="5"/>
        <v>3</v>
      </c>
      <c r="E13" t="str">
        <f t="shared" si="0"/>
        <v>pc</v>
      </c>
      <c r="F13">
        <f t="shared" si="4"/>
        <v>3</v>
      </c>
      <c r="G13">
        <v>0</v>
      </c>
      <c r="H13">
        <v>20</v>
      </c>
      <c r="I13">
        <v>5</v>
      </c>
      <c r="J13">
        <f t="shared" si="1"/>
        <v>1.0000000000000001E-5</v>
      </c>
      <c r="K13" s="1">
        <f t="shared" si="2"/>
        <v>99999999.999999985</v>
      </c>
      <c r="L13" s="1">
        <v>99999999.999999985</v>
      </c>
      <c r="M13" s="2">
        <f t="shared" si="3"/>
        <v>1</v>
      </c>
    </row>
    <row r="14" spans="1:14">
      <c r="A14">
        <f t="shared" ref="A14:A21" si="6">A2</f>
        <v>1</v>
      </c>
      <c r="B14">
        <v>13</v>
      </c>
      <c r="C14" t="s">
        <v>17</v>
      </c>
      <c r="D14">
        <f t="shared" si="5"/>
        <v>1</v>
      </c>
      <c r="E14" t="str">
        <f t="shared" si="0"/>
        <v>plac</v>
      </c>
      <c r="F14">
        <f t="shared" ref="F14:F46" si="7">F2</f>
        <v>1</v>
      </c>
      <c r="G14">
        <v>0</v>
      </c>
      <c r="H14">
        <v>20</v>
      </c>
      <c r="I14">
        <v>5</v>
      </c>
      <c r="J14">
        <f t="shared" si="1"/>
        <v>1.0000000000000001E-5</v>
      </c>
      <c r="K14" s="1">
        <f t="shared" si="2"/>
        <v>99999999.999999985</v>
      </c>
      <c r="L14" s="1">
        <v>99999999.999999985</v>
      </c>
      <c r="M14" s="2">
        <f t="shared" si="3"/>
        <v>1</v>
      </c>
      <c r="N14" s="1"/>
    </row>
    <row r="15" spans="1:14">
      <c r="A15">
        <f t="shared" si="6"/>
        <v>1</v>
      </c>
      <c r="B15">
        <v>14</v>
      </c>
      <c r="C15" t="s">
        <v>17</v>
      </c>
      <c r="D15">
        <f t="shared" si="5"/>
        <v>2</v>
      </c>
      <c r="E15" t="str">
        <f t="shared" si="0"/>
        <v>plac</v>
      </c>
      <c r="F15">
        <f t="shared" si="7"/>
        <v>2</v>
      </c>
      <c r="G15">
        <v>0</v>
      </c>
      <c r="H15">
        <v>24</v>
      </c>
      <c r="I15">
        <v>5</v>
      </c>
      <c r="J15">
        <f t="shared" si="1"/>
        <v>1.0000000000000001E-5</v>
      </c>
      <c r="K15" s="1">
        <f t="shared" si="2"/>
        <v>119999999.99999999</v>
      </c>
      <c r="L15" s="1">
        <v>119999999.99999999</v>
      </c>
      <c r="M15" s="2">
        <f t="shared" si="3"/>
        <v>1</v>
      </c>
    </row>
    <row r="16" spans="1:14">
      <c r="A16">
        <f t="shared" si="6"/>
        <v>1</v>
      </c>
      <c r="B16">
        <v>15</v>
      </c>
      <c r="C16" t="s">
        <v>17</v>
      </c>
      <c r="D16">
        <f t="shared" si="5"/>
        <v>3</v>
      </c>
      <c r="E16" t="str">
        <f t="shared" si="0"/>
        <v>plac</v>
      </c>
      <c r="F16">
        <f t="shared" si="7"/>
        <v>3</v>
      </c>
      <c r="G16">
        <v>0</v>
      </c>
      <c r="H16">
        <v>28</v>
      </c>
      <c r="I16">
        <v>5</v>
      </c>
      <c r="J16">
        <f t="shared" si="1"/>
        <v>1.0000000000000001E-5</v>
      </c>
      <c r="K16" s="1">
        <f t="shared" si="2"/>
        <v>140000000</v>
      </c>
      <c r="L16" s="1">
        <v>140000000</v>
      </c>
      <c r="M16" s="2">
        <f t="shared" si="3"/>
        <v>1</v>
      </c>
    </row>
    <row r="17" spans="1:14">
      <c r="A17">
        <v>1</v>
      </c>
      <c r="B17">
        <v>1</v>
      </c>
      <c r="C17" t="s">
        <v>13</v>
      </c>
      <c r="D17">
        <v>1</v>
      </c>
      <c r="E17" t="str">
        <f>C17</f>
        <v>wt</v>
      </c>
      <c r="F17">
        <v>1</v>
      </c>
      <c r="G17">
        <v>1</v>
      </c>
      <c r="H17">
        <v>41</v>
      </c>
      <c r="I17">
        <v>0</v>
      </c>
      <c r="J17">
        <f>1/10^I17</f>
        <v>1</v>
      </c>
      <c r="K17" s="1">
        <f t="shared" si="2"/>
        <v>2050</v>
      </c>
      <c r="L17" s="1">
        <f>L2</f>
        <v>135000000</v>
      </c>
      <c r="M17" s="2">
        <f t="shared" si="3"/>
        <v>1.5185185185185186E-5</v>
      </c>
      <c r="N17" s="1"/>
    </row>
    <row r="18" spans="1:14">
      <c r="A18">
        <v>1</v>
      </c>
      <c r="B18">
        <v>2</v>
      </c>
      <c r="C18" t="s">
        <v>13</v>
      </c>
      <c r="D18">
        <v>2</v>
      </c>
      <c r="E18" t="str">
        <f t="shared" ref="E18:E31" si="8">C18</f>
        <v>wt</v>
      </c>
      <c r="F18">
        <v>2</v>
      </c>
      <c r="G18">
        <v>1</v>
      </c>
      <c r="H18">
        <v>33</v>
      </c>
      <c r="I18">
        <v>0</v>
      </c>
      <c r="J18">
        <f t="shared" ref="J18:J31" si="9">1/10^I18</f>
        <v>1</v>
      </c>
      <c r="K18" s="1">
        <f t="shared" si="2"/>
        <v>1650</v>
      </c>
      <c r="L18" s="1">
        <f t="shared" ref="L18:L81" si="10">L3</f>
        <v>124999999.99999999</v>
      </c>
      <c r="M18" s="2">
        <f t="shared" si="3"/>
        <v>1.3200000000000002E-5</v>
      </c>
    </row>
    <row r="19" spans="1:14">
      <c r="A19">
        <v>1</v>
      </c>
      <c r="B19">
        <v>3</v>
      </c>
      <c r="C19" t="s">
        <v>13</v>
      </c>
      <c r="D19">
        <v>3</v>
      </c>
      <c r="E19" t="str">
        <f t="shared" si="8"/>
        <v>wt</v>
      </c>
      <c r="F19">
        <v>3</v>
      </c>
      <c r="G19">
        <v>1</v>
      </c>
      <c r="H19">
        <v>52</v>
      </c>
      <c r="I19">
        <v>0</v>
      </c>
      <c r="J19">
        <f t="shared" si="9"/>
        <v>1</v>
      </c>
      <c r="K19" s="1">
        <f t="shared" si="2"/>
        <v>2600</v>
      </c>
      <c r="L19" s="1">
        <f t="shared" si="10"/>
        <v>140000000</v>
      </c>
      <c r="M19" s="2">
        <f t="shared" si="3"/>
        <v>1.8571428571428572E-5</v>
      </c>
    </row>
    <row r="20" spans="1:14">
      <c r="A20">
        <v>1</v>
      </c>
      <c r="B20">
        <v>4</v>
      </c>
      <c r="C20" t="s">
        <v>14</v>
      </c>
      <c r="D20">
        <f>D17</f>
        <v>1</v>
      </c>
      <c r="E20" t="str">
        <f t="shared" si="8"/>
        <v>prs</v>
      </c>
      <c r="F20">
        <f t="shared" ref="F20:F28" si="11">F17</f>
        <v>1</v>
      </c>
      <c r="G20">
        <v>1</v>
      </c>
      <c r="H20">
        <v>47</v>
      </c>
      <c r="I20">
        <v>3</v>
      </c>
      <c r="J20">
        <f t="shared" si="9"/>
        <v>1E-3</v>
      </c>
      <c r="K20" s="1">
        <f t="shared" si="2"/>
        <v>2350000</v>
      </c>
      <c r="L20" s="1">
        <f t="shared" si="10"/>
        <v>54999999.999999993</v>
      </c>
      <c r="M20" s="2">
        <f>K20/L20</f>
        <v>4.2727272727272732E-2</v>
      </c>
      <c r="N20" s="1"/>
    </row>
    <row r="21" spans="1:14">
      <c r="A21">
        <v>1</v>
      </c>
      <c r="B21">
        <v>5</v>
      </c>
      <c r="C21" t="s">
        <v>14</v>
      </c>
      <c r="D21">
        <f t="shared" si="5"/>
        <v>2</v>
      </c>
      <c r="E21" t="str">
        <f t="shared" si="8"/>
        <v>prs</v>
      </c>
      <c r="F21">
        <f t="shared" si="11"/>
        <v>2</v>
      </c>
      <c r="G21">
        <v>1</v>
      </c>
      <c r="H21">
        <v>61</v>
      </c>
      <c r="I21">
        <v>3</v>
      </c>
      <c r="J21">
        <f t="shared" si="9"/>
        <v>1E-3</v>
      </c>
      <c r="K21" s="1">
        <f t="shared" si="2"/>
        <v>3049999.9999999995</v>
      </c>
      <c r="L21" s="1">
        <f t="shared" si="10"/>
        <v>99999999.999999985</v>
      </c>
      <c r="M21" s="2">
        <f t="shared" si="3"/>
        <v>3.0499999999999999E-2</v>
      </c>
    </row>
    <row r="22" spans="1:14">
      <c r="A22">
        <v>1</v>
      </c>
      <c r="B22">
        <v>6</v>
      </c>
      <c r="C22" t="s">
        <v>14</v>
      </c>
      <c r="D22">
        <f t="shared" si="5"/>
        <v>3</v>
      </c>
      <c r="E22" t="str">
        <f t="shared" si="8"/>
        <v>prs</v>
      </c>
      <c r="F22">
        <f t="shared" si="11"/>
        <v>3</v>
      </c>
      <c r="G22">
        <v>1</v>
      </c>
      <c r="H22">
        <v>65</v>
      </c>
      <c r="I22">
        <v>3</v>
      </c>
      <c r="J22">
        <f t="shared" si="9"/>
        <v>1E-3</v>
      </c>
      <c r="K22" s="1">
        <f t="shared" si="2"/>
        <v>3249999.9999999995</v>
      </c>
      <c r="L22" s="1">
        <f t="shared" si="10"/>
        <v>85000000</v>
      </c>
      <c r="M22" s="2">
        <f t="shared" si="3"/>
        <v>3.8235294117647055E-2</v>
      </c>
    </row>
    <row r="23" spans="1:14">
      <c r="A23">
        <v>1</v>
      </c>
      <c r="B23">
        <v>7</v>
      </c>
      <c r="C23" t="s">
        <v>15</v>
      </c>
      <c r="D23">
        <f t="shared" si="5"/>
        <v>1</v>
      </c>
      <c r="E23" t="str">
        <f t="shared" si="8"/>
        <v>hipa</v>
      </c>
      <c r="F23">
        <f t="shared" si="11"/>
        <v>1</v>
      </c>
      <c r="G23">
        <v>1</v>
      </c>
      <c r="H23">
        <v>68</v>
      </c>
      <c r="I23">
        <v>1</v>
      </c>
      <c r="J23">
        <f t="shared" si="9"/>
        <v>0.1</v>
      </c>
      <c r="K23" s="1">
        <f t="shared" si="2"/>
        <v>34000</v>
      </c>
      <c r="L23" s="1">
        <f t="shared" si="10"/>
        <v>174999999.99999997</v>
      </c>
      <c r="M23" s="2">
        <f t="shared" si="3"/>
        <v>1.9428571428571433E-4</v>
      </c>
      <c r="N23" s="1"/>
    </row>
    <row r="24" spans="1:14">
      <c r="A24">
        <v>1</v>
      </c>
      <c r="B24">
        <v>8</v>
      </c>
      <c r="C24" t="s">
        <v>15</v>
      </c>
      <c r="D24">
        <f t="shared" si="5"/>
        <v>2</v>
      </c>
      <c r="E24" t="str">
        <f t="shared" si="8"/>
        <v>hipa</v>
      </c>
      <c r="F24">
        <f t="shared" si="11"/>
        <v>2</v>
      </c>
      <c r="G24">
        <v>1</v>
      </c>
      <c r="H24">
        <v>68</v>
      </c>
      <c r="I24">
        <v>1</v>
      </c>
      <c r="J24">
        <f t="shared" si="9"/>
        <v>0.1</v>
      </c>
      <c r="K24" s="1">
        <f t="shared" si="2"/>
        <v>34000</v>
      </c>
      <c r="L24" s="1">
        <f t="shared" si="10"/>
        <v>145000000</v>
      </c>
      <c r="M24" s="2">
        <f t="shared" si="3"/>
        <v>2.3448275862068965E-4</v>
      </c>
    </row>
    <row r="25" spans="1:14">
      <c r="A25">
        <v>1</v>
      </c>
      <c r="B25">
        <v>9</v>
      </c>
      <c r="C25" t="s">
        <v>15</v>
      </c>
      <c r="D25">
        <f t="shared" si="5"/>
        <v>3</v>
      </c>
      <c r="E25" t="str">
        <f t="shared" si="8"/>
        <v>hipa</v>
      </c>
      <c r="F25">
        <f t="shared" si="11"/>
        <v>3</v>
      </c>
      <c r="G25">
        <v>1</v>
      </c>
      <c r="H25">
        <v>68</v>
      </c>
      <c r="I25">
        <v>1</v>
      </c>
      <c r="J25">
        <f t="shared" si="9"/>
        <v>0.1</v>
      </c>
      <c r="K25" s="1">
        <f t="shared" si="2"/>
        <v>34000</v>
      </c>
      <c r="L25" s="1">
        <f t="shared" si="10"/>
        <v>184999999.99999997</v>
      </c>
      <c r="M25" s="2">
        <f t="shared" si="3"/>
        <v>1.8378378378378381E-4</v>
      </c>
    </row>
    <row r="26" spans="1:14">
      <c r="A26">
        <v>1</v>
      </c>
      <c r="B26">
        <v>10</v>
      </c>
      <c r="C26" t="s">
        <v>16</v>
      </c>
      <c r="D26">
        <f t="shared" si="5"/>
        <v>1</v>
      </c>
      <c r="E26" t="str">
        <f t="shared" si="8"/>
        <v>pc</v>
      </c>
      <c r="F26">
        <f t="shared" si="11"/>
        <v>1</v>
      </c>
      <c r="G26">
        <v>1</v>
      </c>
      <c r="H26">
        <v>40</v>
      </c>
      <c r="I26">
        <v>4</v>
      </c>
      <c r="J26">
        <f t="shared" si="9"/>
        <v>1E-4</v>
      </c>
      <c r="K26" s="1">
        <f t="shared" si="2"/>
        <v>19999999.999999996</v>
      </c>
      <c r="L26" s="1">
        <f t="shared" si="10"/>
        <v>114999999.99999999</v>
      </c>
      <c r="M26" s="2">
        <f t="shared" si="3"/>
        <v>0.17391304347826086</v>
      </c>
    </row>
    <row r="27" spans="1:14">
      <c r="A27">
        <v>1</v>
      </c>
      <c r="B27">
        <v>11</v>
      </c>
      <c r="C27" t="s">
        <v>16</v>
      </c>
      <c r="D27">
        <f t="shared" si="5"/>
        <v>2</v>
      </c>
      <c r="E27" t="str">
        <f t="shared" si="8"/>
        <v>pc</v>
      </c>
      <c r="F27">
        <f t="shared" si="11"/>
        <v>2</v>
      </c>
      <c r="G27">
        <v>1</v>
      </c>
      <c r="H27">
        <v>49</v>
      </c>
      <c r="I27">
        <v>4</v>
      </c>
      <c r="J27">
        <f t="shared" si="9"/>
        <v>1E-4</v>
      </c>
      <c r="K27" s="1">
        <f t="shared" si="2"/>
        <v>24499999.999999996</v>
      </c>
      <c r="L27" s="1">
        <f t="shared" si="10"/>
        <v>85000000</v>
      </c>
      <c r="M27" s="2">
        <f t="shared" si="3"/>
        <v>0.28823529411764703</v>
      </c>
    </row>
    <row r="28" spans="1:14">
      <c r="A28">
        <v>1</v>
      </c>
      <c r="B28">
        <v>12</v>
      </c>
      <c r="C28" t="s">
        <v>16</v>
      </c>
      <c r="D28">
        <f t="shared" si="5"/>
        <v>3</v>
      </c>
      <c r="E28" t="str">
        <f t="shared" si="8"/>
        <v>pc</v>
      </c>
      <c r="F28">
        <f t="shared" si="11"/>
        <v>3</v>
      </c>
      <c r="G28">
        <v>1</v>
      </c>
      <c r="H28">
        <v>43</v>
      </c>
      <c r="I28">
        <v>4</v>
      </c>
      <c r="J28">
        <f t="shared" si="9"/>
        <v>1E-4</v>
      </c>
      <c r="K28" s="1">
        <f t="shared" si="2"/>
        <v>21499999.999999996</v>
      </c>
      <c r="L28" s="1">
        <f t="shared" si="10"/>
        <v>99999999.999999985</v>
      </c>
      <c r="M28" s="2">
        <f t="shared" si="3"/>
        <v>0.215</v>
      </c>
    </row>
    <row r="29" spans="1:14">
      <c r="A29">
        <f t="shared" ref="A29:A31" si="12">A17</f>
        <v>1</v>
      </c>
      <c r="B29">
        <v>13</v>
      </c>
      <c r="C29" t="s">
        <v>17</v>
      </c>
      <c r="D29">
        <f t="shared" si="5"/>
        <v>1</v>
      </c>
      <c r="E29" t="str">
        <f t="shared" si="8"/>
        <v>plac</v>
      </c>
      <c r="F29">
        <f t="shared" si="7"/>
        <v>1</v>
      </c>
      <c r="G29">
        <v>1</v>
      </c>
      <c r="H29">
        <v>88</v>
      </c>
      <c r="I29">
        <v>1</v>
      </c>
      <c r="J29">
        <f t="shared" si="9"/>
        <v>0.1</v>
      </c>
      <c r="K29" s="1">
        <f t="shared" si="2"/>
        <v>44000</v>
      </c>
      <c r="L29" s="1">
        <f t="shared" si="10"/>
        <v>99999999.999999985</v>
      </c>
      <c r="M29" s="2">
        <f t="shared" si="3"/>
        <v>4.4000000000000007E-4</v>
      </c>
    </row>
    <row r="30" spans="1:14">
      <c r="A30">
        <f t="shared" si="12"/>
        <v>1</v>
      </c>
      <c r="B30">
        <v>14</v>
      </c>
      <c r="C30" t="s">
        <v>17</v>
      </c>
      <c r="D30">
        <f t="shared" si="5"/>
        <v>2</v>
      </c>
      <c r="E30" t="str">
        <f t="shared" si="8"/>
        <v>plac</v>
      </c>
      <c r="F30">
        <f t="shared" si="7"/>
        <v>2</v>
      </c>
      <c r="G30">
        <v>1</v>
      </c>
      <c r="H30">
        <v>120</v>
      </c>
      <c r="I30">
        <v>1</v>
      </c>
      <c r="J30">
        <f t="shared" si="9"/>
        <v>0.1</v>
      </c>
      <c r="K30" s="1">
        <f t="shared" si="2"/>
        <v>60000</v>
      </c>
      <c r="L30" s="1">
        <f t="shared" si="10"/>
        <v>119999999.99999999</v>
      </c>
      <c r="M30" s="2">
        <f t="shared" si="3"/>
        <v>5.0000000000000001E-4</v>
      </c>
    </row>
    <row r="31" spans="1:14">
      <c r="A31">
        <f t="shared" si="12"/>
        <v>1</v>
      </c>
      <c r="B31">
        <v>15</v>
      </c>
      <c r="C31" t="s">
        <v>17</v>
      </c>
      <c r="D31">
        <f t="shared" si="5"/>
        <v>3</v>
      </c>
      <c r="E31" t="str">
        <f t="shared" si="8"/>
        <v>plac</v>
      </c>
      <c r="F31">
        <f t="shared" si="7"/>
        <v>3</v>
      </c>
      <c r="G31">
        <v>1</v>
      </c>
      <c r="H31">
        <v>101</v>
      </c>
      <c r="I31">
        <v>1</v>
      </c>
      <c r="J31">
        <f t="shared" si="9"/>
        <v>0.1</v>
      </c>
      <c r="K31" s="1">
        <f t="shared" si="2"/>
        <v>50500</v>
      </c>
      <c r="L31" s="1">
        <f t="shared" si="10"/>
        <v>140000000</v>
      </c>
      <c r="M31" s="2">
        <f t="shared" si="3"/>
        <v>3.6071428571428572E-4</v>
      </c>
    </row>
    <row r="32" spans="1:14">
      <c r="A32">
        <v>1</v>
      </c>
      <c r="B32">
        <v>1</v>
      </c>
      <c r="C32" t="s">
        <v>13</v>
      </c>
      <c r="D32">
        <v>1</v>
      </c>
      <c r="E32" t="str">
        <f>C32</f>
        <v>wt</v>
      </c>
      <c r="F32">
        <v>1</v>
      </c>
      <c r="G32">
        <v>2</v>
      </c>
      <c r="H32">
        <v>31</v>
      </c>
      <c r="I32">
        <v>-1</v>
      </c>
      <c r="J32">
        <f>1/10^I32</f>
        <v>10</v>
      </c>
      <c r="K32" s="1">
        <f t="shared" si="2"/>
        <v>155</v>
      </c>
      <c r="L32" s="1">
        <f t="shared" si="10"/>
        <v>135000000</v>
      </c>
      <c r="M32" s="2">
        <f t="shared" si="3"/>
        <v>1.1481481481481482E-6</v>
      </c>
    </row>
    <row r="33" spans="1:13">
      <c r="A33">
        <v>1</v>
      </c>
      <c r="B33">
        <v>2</v>
      </c>
      <c r="C33" t="s">
        <v>13</v>
      </c>
      <c r="D33">
        <v>2</v>
      </c>
      <c r="E33" t="str">
        <f t="shared" ref="E33:E46" si="13">C33</f>
        <v>wt</v>
      </c>
      <c r="F33">
        <v>2</v>
      </c>
      <c r="G33">
        <v>2</v>
      </c>
      <c r="H33">
        <v>22</v>
      </c>
      <c r="I33">
        <v>-1</v>
      </c>
      <c r="J33">
        <f t="shared" ref="J33:J46" si="14">1/10^I33</f>
        <v>10</v>
      </c>
      <c r="K33" s="1">
        <f t="shared" si="2"/>
        <v>110</v>
      </c>
      <c r="L33" s="1">
        <f t="shared" si="10"/>
        <v>124999999.99999999</v>
      </c>
      <c r="M33" s="2">
        <f t="shared" si="3"/>
        <v>8.8000000000000015E-7</v>
      </c>
    </row>
    <row r="34" spans="1:13">
      <c r="A34">
        <v>1</v>
      </c>
      <c r="B34">
        <v>3</v>
      </c>
      <c r="C34" t="s">
        <v>13</v>
      </c>
      <c r="D34">
        <v>3</v>
      </c>
      <c r="E34" t="str">
        <f t="shared" si="13"/>
        <v>wt</v>
      </c>
      <c r="F34">
        <v>3</v>
      </c>
      <c r="G34">
        <v>2</v>
      </c>
      <c r="H34">
        <v>30</v>
      </c>
      <c r="I34">
        <v>-1</v>
      </c>
      <c r="J34">
        <f t="shared" si="14"/>
        <v>10</v>
      </c>
      <c r="K34" s="1">
        <f t="shared" si="2"/>
        <v>150</v>
      </c>
      <c r="L34" s="1">
        <f t="shared" si="10"/>
        <v>140000000</v>
      </c>
      <c r="M34" s="2">
        <f t="shared" si="3"/>
        <v>1.0714285714285714E-6</v>
      </c>
    </row>
    <row r="35" spans="1:13">
      <c r="A35">
        <v>1</v>
      </c>
      <c r="B35">
        <v>4</v>
      </c>
      <c r="C35" t="s">
        <v>14</v>
      </c>
      <c r="D35">
        <f>D32</f>
        <v>1</v>
      </c>
      <c r="E35" t="str">
        <f t="shared" si="13"/>
        <v>prs</v>
      </c>
      <c r="F35">
        <f t="shared" ref="F35:F43" si="15">F32</f>
        <v>1</v>
      </c>
      <c r="G35">
        <v>2</v>
      </c>
      <c r="H35">
        <v>48</v>
      </c>
      <c r="I35">
        <v>2</v>
      </c>
      <c r="J35">
        <f t="shared" si="14"/>
        <v>0.01</v>
      </c>
      <c r="K35" s="1">
        <f t="shared" si="2"/>
        <v>240000</v>
      </c>
      <c r="L35" s="1">
        <f t="shared" si="10"/>
        <v>54999999.999999993</v>
      </c>
      <c r="M35" s="2">
        <f t="shared" si="3"/>
        <v>4.3636363636363638E-3</v>
      </c>
    </row>
    <row r="36" spans="1:13">
      <c r="A36">
        <v>1</v>
      </c>
      <c r="B36">
        <v>5</v>
      </c>
      <c r="C36" t="s">
        <v>14</v>
      </c>
      <c r="D36">
        <f t="shared" si="5"/>
        <v>2</v>
      </c>
      <c r="E36" t="str">
        <f t="shared" si="13"/>
        <v>prs</v>
      </c>
      <c r="F36">
        <f t="shared" si="15"/>
        <v>2</v>
      </c>
      <c r="G36">
        <v>2</v>
      </c>
      <c r="H36">
        <v>82</v>
      </c>
      <c r="I36">
        <v>2</v>
      </c>
      <c r="J36">
        <f t="shared" si="14"/>
        <v>0.01</v>
      </c>
      <c r="K36" s="1">
        <f t="shared" si="2"/>
        <v>410000</v>
      </c>
      <c r="L36" s="1">
        <f t="shared" si="10"/>
        <v>99999999.999999985</v>
      </c>
      <c r="M36" s="2">
        <f t="shared" si="3"/>
        <v>4.1000000000000003E-3</v>
      </c>
    </row>
    <row r="37" spans="1:13">
      <c r="A37">
        <v>1</v>
      </c>
      <c r="B37">
        <v>6</v>
      </c>
      <c r="C37" t="s">
        <v>14</v>
      </c>
      <c r="D37">
        <f t="shared" si="5"/>
        <v>3</v>
      </c>
      <c r="E37" t="str">
        <f t="shared" si="13"/>
        <v>prs</v>
      </c>
      <c r="F37">
        <f t="shared" si="15"/>
        <v>3</v>
      </c>
      <c r="G37">
        <v>2</v>
      </c>
      <c r="H37">
        <v>88</v>
      </c>
      <c r="I37">
        <v>2</v>
      </c>
      <c r="J37">
        <f t="shared" si="14"/>
        <v>0.01</v>
      </c>
      <c r="K37" s="1">
        <f t="shared" si="2"/>
        <v>440000</v>
      </c>
      <c r="L37" s="1">
        <f t="shared" si="10"/>
        <v>85000000</v>
      </c>
      <c r="M37" s="2">
        <f t="shared" si="3"/>
        <v>5.1764705882352945E-3</v>
      </c>
    </row>
    <row r="38" spans="1:13">
      <c r="A38">
        <v>1</v>
      </c>
      <c r="B38">
        <v>7</v>
      </c>
      <c r="C38" t="s">
        <v>15</v>
      </c>
      <c r="D38">
        <f t="shared" si="5"/>
        <v>1</v>
      </c>
      <c r="E38" t="str">
        <f t="shared" si="13"/>
        <v>hipa</v>
      </c>
      <c r="F38">
        <f t="shared" si="15"/>
        <v>1</v>
      </c>
      <c r="G38">
        <v>2</v>
      </c>
      <c r="H38">
        <v>66</v>
      </c>
      <c r="I38">
        <v>0</v>
      </c>
      <c r="J38">
        <f t="shared" si="14"/>
        <v>1</v>
      </c>
      <c r="K38" s="1">
        <f t="shared" si="2"/>
        <v>3300</v>
      </c>
      <c r="L38" s="1">
        <f t="shared" si="10"/>
        <v>174999999.99999997</v>
      </c>
      <c r="M38" s="2">
        <f t="shared" si="3"/>
        <v>1.8857142857142859E-5</v>
      </c>
    </row>
    <row r="39" spans="1:13">
      <c r="A39">
        <v>1</v>
      </c>
      <c r="B39">
        <v>8</v>
      </c>
      <c r="C39" t="s">
        <v>15</v>
      </c>
      <c r="D39">
        <f t="shared" si="5"/>
        <v>2</v>
      </c>
      <c r="E39" t="str">
        <f t="shared" si="13"/>
        <v>hipa</v>
      </c>
      <c r="F39">
        <f t="shared" si="15"/>
        <v>2</v>
      </c>
      <c r="G39">
        <v>2</v>
      </c>
      <c r="H39">
        <v>58</v>
      </c>
      <c r="I39">
        <v>0</v>
      </c>
      <c r="J39">
        <f t="shared" si="14"/>
        <v>1</v>
      </c>
      <c r="K39" s="1">
        <f t="shared" si="2"/>
        <v>2900</v>
      </c>
      <c r="L39" s="1">
        <f t="shared" si="10"/>
        <v>145000000</v>
      </c>
      <c r="M39" s="2">
        <f t="shared" si="3"/>
        <v>2.0000000000000002E-5</v>
      </c>
    </row>
    <row r="40" spans="1:13">
      <c r="A40">
        <v>1</v>
      </c>
      <c r="B40">
        <v>9</v>
      </c>
      <c r="C40" t="s">
        <v>15</v>
      </c>
      <c r="D40">
        <f t="shared" si="5"/>
        <v>3</v>
      </c>
      <c r="E40" t="str">
        <f t="shared" si="13"/>
        <v>hipa</v>
      </c>
      <c r="F40">
        <f t="shared" si="15"/>
        <v>3</v>
      </c>
      <c r="G40">
        <v>2</v>
      </c>
      <c r="H40">
        <v>61</v>
      </c>
      <c r="I40">
        <v>0</v>
      </c>
      <c r="J40">
        <f t="shared" si="14"/>
        <v>1</v>
      </c>
      <c r="K40" s="1">
        <f t="shared" si="2"/>
        <v>3050</v>
      </c>
      <c r="L40" s="1">
        <f t="shared" si="10"/>
        <v>184999999.99999997</v>
      </c>
      <c r="M40" s="2">
        <f t="shared" si="3"/>
        <v>1.6486486486486489E-5</v>
      </c>
    </row>
    <row r="41" spans="1:13">
      <c r="A41">
        <v>1</v>
      </c>
      <c r="B41">
        <v>10</v>
      </c>
      <c r="C41" t="s">
        <v>16</v>
      </c>
      <c r="D41">
        <f t="shared" si="5"/>
        <v>1</v>
      </c>
      <c r="E41" t="str">
        <f t="shared" si="13"/>
        <v>pc</v>
      </c>
      <c r="F41">
        <f t="shared" si="15"/>
        <v>1</v>
      </c>
      <c r="G41">
        <v>2</v>
      </c>
      <c r="H41">
        <v>96</v>
      </c>
      <c r="I41">
        <v>3</v>
      </c>
      <c r="J41">
        <f t="shared" si="14"/>
        <v>1E-3</v>
      </c>
      <c r="K41" s="1">
        <f t="shared" si="2"/>
        <v>4800000</v>
      </c>
      <c r="L41" s="1">
        <f t="shared" si="10"/>
        <v>114999999.99999999</v>
      </c>
      <c r="M41" s="2">
        <f t="shared" si="3"/>
        <v>4.1739130434782612E-2</v>
      </c>
    </row>
    <row r="42" spans="1:13">
      <c r="A42">
        <v>1</v>
      </c>
      <c r="B42">
        <v>11</v>
      </c>
      <c r="C42" t="s">
        <v>16</v>
      </c>
      <c r="D42">
        <f t="shared" si="5"/>
        <v>2</v>
      </c>
      <c r="E42" t="str">
        <f t="shared" si="13"/>
        <v>pc</v>
      </c>
      <c r="F42">
        <f t="shared" si="15"/>
        <v>2</v>
      </c>
      <c r="G42">
        <v>2</v>
      </c>
      <c r="H42">
        <v>106</v>
      </c>
      <c r="I42">
        <v>3</v>
      </c>
      <c r="J42">
        <f t="shared" si="14"/>
        <v>1E-3</v>
      </c>
      <c r="K42" s="1">
        <f t="shared" si="2"/>
        <v>5300000</v>
      </c>
      <c r="L42" s="1">
        <f t="shared" si="10"/>
        <v>85000000</v>
      </c>
      <c r="M42" s="2">
        <f t="shared" si="3"/>
        <v>6.235294117647059E-2</v>
      </c>
    </row>
    <row r="43" spans="1:13">
      <c r="A43">
        <v>1</v>
      </c>
      <c r="B43">
        <v>12</v>
      </c>
      <c r="C43" t="s">
        <v>16</v>
      </c>
      <c r="D43">
        <f t="shared" si="5"/>
        <v>3</v>
      </c>
      <c r="E43" t="str">
        <f t="shared" si="13"/>
        <v>pc</v>
      </c>
      <c r="F43">
        <f t="shared" si="15"/>
        <v>3</v>
      </c>
      <c r="G43">
        <v>2</v>
      </c>
      <c r="H43">
        <v>117</v>
      </c>
      <c r="I43">
        <v>3</v>
      </c>
      <c r="J43">
        <f t="shared" si="14"/>
        <v>1E-3</v>
      </c>
      <c r="K43" s="1">
        <f t="shared" si="2"/>
        <v>5849999.9999999991</v>
      </c>
      <c r="L43" s="1">
        <f t="shared" si="10"/>
        <v>99999999.999999985</v>
      </c>
      <c r="M43" s="2">
        <f t="shared" si="3"/>
        <v>5.8499999999999996E-2</v>
      </c>
    </row>
    <row r="44" spans="1:13">
      <c r="A44">
        <f t="shared" ref="A44:A46" si="16">A32</f>
        <v>1</v>
      </c>
      <c r="B44">
        <v>13</v>
      </c>
      <c r="C44" t="s">
        <v>17</v>
      </c>
      <c r="D44">
        <f t="shared" si="5"/>
        <v>1</v>
      </c>
      <c r="E44" t="str">
        <f t="shared" si="13"/>
        <v>plac</v>
      </c>
      <c r="F44">
        <f t="shared" si="7"/>
        <v>1</v>
      </c>
      <c r="G44">
        <v>2</v>
      </c>
      <c r="H44">
        <v>103</v>
      </c>
      <c r="I44">
        <v>1</v>
      </c>
      <c r="J44">
        <f t="shared" si="14"/>
        <v>0.1</v>
      </c>
      <c r="K44" s="1">
        <f t="shared" si="2"/>
        <v>51500</v>
      </c>
      <c r="L44" s="1">
        <f t="shared" si="10"/>
        <v>99999999.999999985</v>
      </c>
      <c r="M44" s="2">
        <f t="shared" si="3"/>
        <v>5.1500000000000005E-4</v>
      </c>
    </row>
    <row r="45" spans="1:13">
      <c r="A45">
        <f t="shared" si="16"/>
        <v>1</v>
      </c>
      <c r="B45">
        <v>14</v>
      </c>
      <c r="C45" t="s">
        <v>17</v>
      </c>
      <c r="D45">
        <f t="shared" si="5"/>
        <v>2</v>
      </c>
      <c r="E45" t="str">
        <f t="shared" si="13"/>
        <v>plac</v>
      </c>
      <c r="F45">
        <f t="shared" si="7"/>
        <v>2</v>
      </c>
      <c r="G45">
        <v>2</v>
      </c>
      <c r="H45">
        <v>95</v>
      </c>
      <c r="I45">
        <v>1</v>
      </c>
      <c r="J45">
        <f t="shared" si="14"/>
        <v>0.1</v>
      </c>
      <c r="K45" s="1">
        <f t="shared" si="2"/>
        <v>47500</v>
      </c>
      <c r="L45" s="1">
        <f t="shared" si="10"/>
        <v>119999999.99999999</v>
      </c>
      <c r="M45" s="2">
        <f t="shared" si="3"/>
        <v>3.9583333333333338E-4</v>
      </c>
    </row>
    <row r="46" spans="1:13">
      <c r="A46">
        <f t="shared" si="16"/>
        <v>1</v>
      </c>
      <c r="B46">
        <v>15</v>
      </c>
      <c r="C46" t="s">
        <v>17</v>
      </c>
      <c r="D46">
        <f t="shared" si="5"/>
        <v>3</v>
      </c>
      <c r="E46" t="str">
        <f t="shared" si="13"/>
        <v>plac</v>
      </c>
      <c r="F46">
        <f t="shared" si="7"/>
        <v>3</v>
      </c>
      <c r="G46">
        <v>2</v>
      </c>
      <c r="H46">
        <v>107</v>
      </c>
      <c r="I46">
        <v>1</v>
      </c>
      <c r="J46">
        <f t="shared" si="14"/>
        <v>0.1</v>
      </c>
      <c r="K46" s="1">
        <f t="shared" si="2"/>
        <v>53500</v>
      </c>
      <c r="L46" s="1">
        <f t="shared" si="10"/>
        <v>140000000</v>
      </c>
      <c r="M46" s="2">
        <f t="shared" si="3"/>
        <v>3.8214285714285715E-4</v>
      </c>
    </row>
    <row r="47" spans="1:13">
      <c r="A47">
        <v>1</v>
      </c>
      <c r="B47">
        <v>1</v>
      </c>
      <c r="C47" t="s">
        <v>13</v>
      </c>
      <c r="D47">
        <v>1</v>
      </c>
      <c r="E47" t="str">
        <f>C47</f>
        <v>wt</v>
      </c>
      <c r="F47">
        <v>1</v>
      </c>
      <c r="G47">
        <v>3</v>
      </c>
      <c r="H47">
        <v>14</v>
      </c>
      <c r="I47">
        <v>-1</v>
      </c>
      <c r="J47">
        <f>1/10^I47</f>
        <v>10</v>
      </c>
      <c r="K47" s="1">
        <f t="shared" si="2"/>
        <v>70</v>
      </c>
      <c r="L47" s="1">
        <f t="shared" si="10"/>
        <v>135000000</v>
      </c>
      <c r="M47" s="2">
        <f t="shared" si="3"/>
        <v>5.1851851851851856E-7</v>
      </c>
    </row>
    <row r="48" spans="1:13">
      <c r="A48">
        <v>1</v>
      </c>
      <c r="B48">
        <v>2</v>
      </c>
      <c r="C48" t="s">
        <v>13</v>
      </c>
      <c r="D48">
        <v>2</v>
      </c>
      <c r="E48" t="str">
        <f t="shared" ref="E48:E61" si="17">C48</f>
        <v>wt</v>
      </c>
      <c r="F48">
        <v>2</v>
      </c>
      <c r="G48">
        <v>3</v>
      </c>
      <c r="H48">
        <v>6</v>
      </c>
      <c r="I48">
        <v>-1</v>
      </c>
      <c r="J48">
        <f t="shared" ref="J48:J61" si="18">1/10^I48</f>
        <v>10</v>
      </c>
      <c r="K48" s="1">
        <f t="shared" si="2"/>
        <v>30</v>
      </c>
      <c r="L48" s="1">
        <f t="shared" si="10"/>
        <v>124999999.99999999</v>
      </c>
      <c r="M48" s="2">
        <f t="shared" si="3"/>
        <v>2.4000000000000003E-7</v>
      </c>
    </row>
    <row r="49" spans="1:13">
      <c r="A49">
        <v>1</v>
      </c>
      <c r="B49">
        <v>3</v>
      </c>
      <c r="C49" t="s">
        <v>13</v>
      </c>
      <c r="D49">
        <v>3</v>
      </c>
      <c r="E49" t="str">
        <f t="shared" si="17"/>
        <v>wt</v>
      </c>
      <c r="F49">
        <v>3</v>
      </c>
      <c r="G49">
        <v>3</v>
      </c>
      <c r="H49">
        <v>9</v>
      </c>
      <c r="I49">
        <v>-1</v>
      </c>
      <c r="J49">
        <f t="shared" si="18"/>
        <v>10</v>
      </c>
      <c r="K49" s="1">
        <f t="shared" si="2"/>
        <v>45</v>
      </c>
      <c r="L49" s="1">
        <f t="shared" si="10"/>
        <v>140000000</v>
      </c>
      <c r="M49" s="2">
        <f t="shared" si="3"/>
        <v>3.2142857142857145E-7</v>
      </c>
    </row>
    <row r="50" spans="1:13">
      <c r="A50">
        <v>1</v>
      </c>
      <c r="B50">
        <v>4</v>
      </c>
      <c r="C50" t="s">
        <v>14</v>
      </c>
      <c r="D50">
        <f>D47</f>
        <v>1</v>
      </c>
      <c r="E50" t="str">
        <f t="shared" si="17"/>
        <v>prs</v>
      </c>
      <c r="F50">
        <f t="shared" ref="F50:F58" si="19">F47</f>
        <v>1</v>
      </c>
      <c r="G50">
        <v>3</v>
      </c>
      <c r="H50">
        <v>26</v>
      </c>
      <c r="I50">
        <v>2</v>
      </c>
      <c r="J50">
        <f t="shared" si="18"/>
        <v>0.01</v>
      </c>
      <c r="K50" s="1">
        <f t="shared" si="2"/>
        <v>130000</v>
      </c>
      <c r="L50" s="1">
        <f t="shared" si="10"/>
        <v>54999999.999999993</v>
      </c>
      <c r="M50" s="2">
        <f t="shared" si="3"/>
        <v>2.3636363636363638E-3</v>
      </c>
    </row>
    <row r="51" spans="1:13">
      <c r="A51">
        <v>1</v>
      </c>
      <c r="B51">
        <v>5</v>
      </c>
      <c r="C51" t="s">
        <v>14</v>
      </c>
      <c r="D51">
        <f t="shared" si="5"/>
        <v>2</v>
      </c>
      <c r="E51" t="str">
        <f t="shared" si="17"/>
        <v>prs</v>
      </c>
      <c r="F51">
        <f t="shared" si="19"/>
        <v>2</v>
      </c>
      <c r="G51">
        <v>3</v>
      </c>
      <c r="H51">
        <v>32</v>
      </c>
      <c r="I51">
        <v>2</v>
      </c>
      <c r="J51">
        <f t="shared" si="18"/>
        <v>0.01</v>
      </c>
      <c r="K51" s="1">
        <f t="shared" si="2"/>
        <v>160000</v>
      </c>
      <c r="L51" s="1">
        <f t="shared" si="10"/>
        <v>99999999.999999985</v>
      </c>
      <c r="M51" s="2">
        <f t="shared" si="3"/>
        <v>1.6000000000000003E-3</v>
      </c>
    </row>
    <row r="52" spans="1:13">
      <c r="A52">
        <v>1</v>
      </c>
      <c r="B52">
        <v>6</v>
      </c>
      <c r="C52" t="s">
        <v>14</v>
      </c>
      <c r="D52">
        <f t="shared" si="5"/>
        <v>3</v>
      </c>
      <c r="E52" t="str">
        <f t="shared" si="17"/>
        <v>prs</v>
      </c>
      <c r="F52">
        <f t="shared" si="19"/>
        <v>3</v>
      </c>
      <c r="G52">
        <v>3</v>
      </c>
      <c r="H52">
        <v>33</v>
      </c>
      <c r="I52">
        <v>2</v>
      </c>
      <c r="J52">
        <f t="shared" si="18"/>
        <v>0.01</v>
      </c>
      <c r="K52" s="1">
        <f t="shared" si="2"/>
        <v>165000</v>
      </c>
      <c r="L52" s="1">
        <f t="shared" si="10"/>
        <v>85000000</v>
      </c>
      <c r="M52" s="2">
        <f t="shared" si="3"/>
        <v>1.9411764705882352E-3</v>
      </c>
    </row>
    <row r="53" spans="1:13">
      <c r="A53">
        <v>1</v>
      </c>
      <c r="B53">
        <v>7</v>
      </c>
      <c r="C53" t="s">
        <v>15</v>
      </c>
      <c r="D53">
        <f t="shared" si="5"/>
        <v>1</v>
      </c>
      <c r="E53" t="str">
        <f t="shared" si="17"/>
        <v>hipa</v>
      </c>
      <c r="F53">
        <f t="shared" si="19"/>
        <v>1</v>
      </c>
      <c r="G53">
        <v>3</v>
      </c>
      <c r="H53">
        <v>19</v>
      </c>
      <c r="I53">
        <v>0</v>
      </c>
      <c r="J53">
        <f t="shared" si="18"/>
        <v>1</v>
      </c>
      <c r="K53" s="1">
        <f t="shared" si="2"/>
        <v>950</v>
      </c>
      <c r="L53" s="1">
        <f t="shared" si="10"/>
        <v>174999999.99999997</v>
      </c>
      <c r="M53" s="2">
        <f t="shared" si="3"/>
        <v>5.4285714285714297E-6</v>
      </c>
    </row>
    <row r="54" spans="1:13">
      <c r="A54">
        <v>1</v>
      </c>
      <c r="B54">
        <v>8</v>
      </c>
      <c r="C54" t="s">
        <v>15</v>
      </c>
      <c r="D54">
        <f t="shared" si="5"/>
        <v>2</v>
      </c>
      <c r="E54" t="str">
        <f t="shared" si="17"/>
        <v>hipa</v>
      </c>
      <c r="F54">
        <f t="shared" si="19"/>
        <v>2</v>
      </c>
      <c r="G54">
        <v>3</v>
      </c>
      <c r="H54">
        <v>22</v>
      </c>
      <c r="I54">
        <v>0</v>
      </c>
      <c r="J54">
        <f t="shared" si="18"/>
        <v>1</v>
      </c>
      <c r="K54" s="1">
        <f t="shared" si="2"/>
        <v>1100</v>
      </c>
      <c r="L54" s="1">
        <f t="shared" si="10"/>
        <v>145000000</v>
      </c>
      <c r="M54" s="2">
        <f t="shared" si="3"/>
        <v>7.5862068965517241E-6</v>
      </c>
    </row>
    <row r="55" spans="1:13">
      <c r="A55">
        <v>1</v>
      </c>
      <c r="B55">
        <v>9</v>
      </c>
      <c r="C55" t="s">
        <v>15</v>
      </c>
      <c r="D55">
        <f t="shared" si="5"/>
        <v>3</v>
      </c>
      <c r="E55" t="str">
        <f t="shared" si="17"/>
        <v>hipa</v>
      </c>
      <c r="F55">
        <f t="shared" si="19"/>
        <v>3</v>
      </c>
      <c r="G55">
        <v>3</v>
      </c>
      <c r="H55">
        <v>29</v>
      </c>
      <c r="I55">
        <v>0</v>
      </c>
      <c r="J55">
        <f t="shared" si="18"/>
        <v>1</v>
      </c>
      <c r="K55" s="1">
        <f t="shared" si="2"/>
        <v>1450</v>
      </c>
      <c r="L55" s="1">
        <f t="shared" si="10"/>
        <v>184999999.99999997</v>
      </c>
      <c r="M55" s="2">
        <f t="shared" si="3"/>
        <v>7.8378378378378398E-6</v>
      </c>
    </row>
    <row r="56" spans="1:13">
      <c r="A56">
        <v>1</v>
      </c>
      <c r="B56">
        <v>10</v>
      </c>
      <c r="C56" t="s">
        <v>16</v>
      </c>
      <c r="D56">
        <f t="shared" si="5"/>
        <v>1</v>
      </c>
      <c r="E56" t="str">
        <f t="shared" si="17"/>
        <v>pc</v>
      </c>
      <c r="F56">
        <f t="shared" si="19"/>
        <v>1</v>
      </c>
      <c r="G56">
        <v>3</v>
      </c>
      <c r="H56">
        <v>99</v>
      </c>
      <c r="I56">
        <v>3</v>
      </c>
      <c r="J56">
        <f t="shared" si="18"/>
        <v>1E-3</v>
      </c>
      <c r="K56" s="1">
        <f t="shared" si="2"/>
        <v>4950000</v>
      </c>
      <c r="L56" s="1">
        <f t="shared" si="10"/>
        <v>114999999.99999999</v>
      </c>
      <c r="M56" s="2">
        <f t="shared" si="3"/>
        <v>4.3043478260869572E-2</v>
      </c>
    </row>
    <row r="57" spans="1:13">
      <c r="A57">
        <v>1</v>
      </c>
      <c r="B57">
        <v>11</v>
      </c>
      <c r="C57" t="s">
        <v>16</v>
      </c>
      <c r="D57">
        <f t="shared" si="5"/>
        <v>2</v>
      </c>
      <c r="E57" t="str">
        <f t="shared" si="17"/>
        <v>pc</v>
      </c>
      <c r="F57">
        <f t="shared" si="19"/>
        <v>2</v>
      </c>
      <c r="G57">
        <v>3</v>
      </c>
      <c r="H57">
        <v>95</v>
      </c>
      <c r="I57">
        <v>3</v>
      </c>
      <c r="J57">
        <f t="shared" si="18"/>
        <v>1E-3</v>
      </c>
      <c r="K57" s="1">
        <f t="shared" si="2"/>
        <v>4750000</v>
      </c>
      <c r="L57" s="1">
        <f t="shared" si="10"/>
        <v>85000000</v>
      </c>
      <c r="M57" s="2">
        <f t="shared" si="3"/>
        <v>5.5882352941176473E-2</v>
      </c>
    </row>
    <row r="58" spans="1:13">
      <c r="A58">
        <v>1</v>
      </c>
      <c r="B58">
        <v>12</v>
      </c>
      <c r="C58" t="s">
        <v>16</v>
      </c>
      <c r="D58">
        <f t="shared" si="5"/>
        <v>3</v>
      </c>
      <c r="E58" t="str">
        <f t="shared" si="17"/>
        <v>pc</v>
      </c>
      <c r="F58">
        <f t="shared" si="19"/>
        <v>3</v>
      </c>
      <c r="G58">
        <v>3</v>
      </c>
      <c r="H58">
        <v>96</v>
      </c>
      <c r="I58">
        <v>3</v>
      </c>
      <c r="J58">
        <f t="shared" si="18"/>
        <v>1E-3</v>
      </c>
      <c r="K58" s="1">
        <f t="shared" si="2"/>
        <v>4800000</v>
      </c>
      <c r="L58" s="1">
        <f t="shared" si="10"/>
        <v>99999999.999999985</v>
      </c>
      <c r="M58" s="2">
        <f t="shared" si="3"/>
        <v>4.8000000000000008E-2</v>
      </c>
    </row>
    <row r="59" spans="1:13">
      <c r="A59">
        <f t="shared" ref="A59:A61" si="20">A47</f>
        <v>1</v>
      </c>
      <c r="B59">
        <v>13</v>
      </c>
      <c r="C59" t="s">
        <v>17</v>
      </c>
      <c r="D59">
        <f t="shared" si="5"/>
        <v>1</v>
      </c>
      <c r="E59" t="str">
        <f t="shared" si="17"/>
        <v>plac</v>
      </c>
      <c r="F59">
        <f t="shared" ref="F59:F61" si="21">F47</f>
        <v>1</v>
      </c>
      <c r="G59">
        <v>3</v>
      </c>
      <c r="H59">
        <v>62</v>
      </c>
      <c r="I59">
        <v>1</v>
      </c>
      <c r="J59">
        <f t="shared" si="18"/>
        <v>0.1</v>
      </c>
      <c r="K59" s="1">
        <f t="shared" si="2"/>
        <v>31000</v>
      </c>
      <c r="L59" s="1">
        <f t="shared" si="10"/>
        <v>99999999.999999985</v>
      </c>
      <c r="M59" s="2">
        <f t="shared" si="3"/>
        <v>3.1000000000000005E-4</v>
      </c>
    </row>
    <row r="60" spans="1:13">
      <c r="A60">
        <f t="shared" si="20"/>
        <v>1</v>
      </c>
      <c r="B60">
        <v>14</v>
      </c>
      <c r="C60" t="s">
        <v>17</v>
      </c>
      <c r="D60">
        <f t="shared" si="5"/>
        <v>2</v>
      </c>
      <c r="E60" t="str">
        <f t="shared" si="17"/>
        <v>plac</v>
      </c>
      <c r="F60">
        <f t="shared" si="21"/>
        <v>2</v>
      </c>
      <c r="G60">
        <v>3</v>
      </c>
      <c r="H60">
        <v>56</v>
      </c>
      <c r="I60">
        <v>1</v>
      </c>
      <c r="J60">
        <f t="shared" si="18"/>
        <v>0.1</v>
      </c>
      <c r="K60" s="1">
        <f t="shared" si="2"/>
        <v>28000</v>
      </c>
      <c r="L60" s="1">
        <f t="shared" si="10"/>
        <v>119999999.99999999</v>
      </c>
      <c r="M60" s="2">
        <f t="shared" si="3"/>
        <v>2.3333333333333336E-4</v>
      </c>
    </row>
    <row r="61" spans="1:13">
      <c r="A61">
        <f t="shared" si="20"/>
        <v>1</v>
      </c>
      <c r="B61">
        <v>15</v>
      </c>
      <c r="C61" t="s">
        <v>17</v>
      </c>
      <c r="D61">
        <f t="shared" si="5"/>
        <v>3</v>
      </c>
      <c r="E61" t="str">
        <f t="shared" si="17"/>
        <v>plac</v>
      </c>
      <c r="F61">
        <f t="shared" si="21"/>
        <v>3</v>
      </c>
      <c r="G61">
        <v>3</v>
      </c>
      <c r="H61">
        <v>89</v>
      </c>
      <c r="I61">
        <v>1</v>
      </c>
      <c r="J61">
        <f t="shared" si="18"/>
        <v>0.1</v>
      </c>
      <c r="K61" s="1">
        <f t="shared" si="2"/>
        <v>44500</v>
      </c>
      <c r="L61" s="1">
        <f t="shared" si="10"/>
        <v>140000000</v>
      </c>
      <c r="M61" s="2">
        <f t="shared" si="3"/>
        <v>3.1785714285714284E-4</v>
      </c>
    </row>
    <row r="62" spans="1:13">
      <c r="A62">
        <v>1</v>
      </c>
      <c r="B62">
        <v>1</v>
      </c>
      <c r="C62" t="s">
        <v>13</v>
      </c>
      <c r="D62">
        <v>1</v>
      </c>
      <c r="E62" t="str">
        <f>C62</f>
        <v>wt</v>
      </c>
      <c r="F62">
        <v>1</v>
      </c>
      <c r="G62">
        <v>5</v>
      </c>
      <c r="H62">
        <v>1</v>
      </c>
      <c r="I62">
        <v>-1</v>
      </c>
      <c r="J62">
        <f>1/10^I62</f>
        <v>10</v>
      </c>
      <c r="K62" s="1">
        <f t="shared" si="2"/>
        <v>5</v>
      </c>
      <c r="L62" s="1">
        <f t="shared" si="10"/>
        <v>135000000</v>
      </c>
      <c r="M62" s="2">
        <f t="shared" si="3"/>
        <v>3.7037037037037036E-8</v>
      </c>
    </row>
    <row r="63" spans="1:13">
      <c r="A63">
        <v>1</v>
      </c>
      <c r="B63">
        <v>2</v>
      </c>
      <c r="C63" t="s">
        <v>13</v>
      </c>
      <c r="D63">
        <v>2</v>
      </c>
      <c r="E63" t="str">
        <f t="shared" ref="E63:E76" si="22">C63</f>
        <v>wt</v>
      </c>
      <c r="F63">
        <v>2</v>
      </c>
      <c r="G63">
        <v>5</v>
      </c>
      <c r="H63">
        <v>2</v>
      </c>
      <c r="I63">
        <v>-1</v>
      </c>
      <c r="J63">
        <f t="shared" ref="J63:J76" si="23">1/10^I63</f>
        <v>10</v>
      </c>
      <c r="K63" s="1">
        <f t="shared" si="2"/>
        <v>10</v>
      </c>
      <c r="L63" s="1">
        <f t="shared" si="10"/>
        <v>124999999.99999999</v>
      </c>
      <c r="M63" s="2">
        <f t="shared" si="3"/>
        <v>8.0000000000000015E-8</v>
      </c>
    </row>
    <row r="64" spans="1:13">
      <c r="A64">
        <v>1</v>
      </c>
      <c r="B64">
        <v>3</v>
      </c>
      <c r="C64" t="s">
        <v>13</v>
      </c>
      <c r="D64">
        <v>3</v>
      </c>
      <c r="E64" t="str">
        <f t="shared" si="22"/>
        <v>wt</v>
      </c>
      <c r="F64">
        <v>3</v>
      </c>
      <c r="G64">
        <v>5</v>
      </c>
      <c r="H64">
        <v>5</v>
      </c>
      <c r="I64">
        <v>-1</v>
      </c>
      <c r="J64">
        <f t="shared" si="23"/>
        <v>10</v>
      </c>
      <c r="K64" s="1">
        <f t="shared" si="2"/>
        <v>25</v>
      </c>
      <c r="L64" s="1">
        <f t="shared" si="10"/>
        <v>140000000</v>
      </c>
      <c r="M64" s="2">
        <f t="shared" si="3"/>
        <v>1.7857142857142858E-7</v>
      </c>
    </row>
    <row r="65" spans="1:13">
      <c r="A65">
        <v>1</v>
      </c>
      <c r="B65">
        <v>4</v>
      </c>
      <c r="C65" t="s">
        <v>14</v>
      </c>
      <c r="D65">
        <f>D62</f>
        <v>1</v>
      </c>
      <c r="E65" t="str">
        <f t="shared" si="22"/>
        <v>prs</v>
      </c>
      <c r="F65">
        <f t="shared" ref="F65:F73" si="24">F62</f>
        <v>1</v>
      </c>
      <c r="G65">
        <v>5</v>
      </c>
      <c r="H65">
        <v>40</v>
      </c>
      <c r="I65">
        <v>1</v>
      </c>
      <c r="J65">
        <f t="shared" si="23"/>
        <v>0.1</v>
      </c>
      <c r="K65" s="1">
        <f t="shared" si="2"/>
        <v>20000</v>
      </c>
      <c r="L65" s="1">
        <f t="shared" si="10"/>
        <v>54999999.999999993</v>
      </c>
      <c r="M65" s="2">
        <f t="shared" si="3"/>
        <v>3.6363636363636367E-4</v>
      </c>
    </row>
    <row r="66" spans="1:13">
      <c r="A66">
        <v>1</v>
      </c>
      <c r="B66">
        <v>5</v>
      </c>
      <c r="C66" t="s">
        <v>14</v>
      </c>
      <c r="D66">
        <f t="shared" si="5"/>
        <v>2</v>
      </c>
      <c r="E66" t="str">
        <f t="shared" si="22"/>
        <v>prs</v>
      </c>
      <c r="F66">
        <f t="shared" si="24"/>
        <v>2</v>
      </c>
      <c r="G66">
        <v>5</v>
      </c>
      <c r="H66">
        <v>21</v>
      </c>
      <c r="I66">
        <v>1</v>
      </c>
      <c r="J66">
        <f t="shared" si="23"/>
        <v>0.1</v>
      </c>
      <c r="K66" s="1">
        <f t="shared" si="2"/>
        <v>10500</v>
      </c>
      <c r="L66" s="1">
        <f t="shared" si="10"/>
        <v>99999999.999999985</v>
      </c>
      <c r="M66" s="2">
        <f t="shared" si="3"/>
        <v>1.0500000000000002E-4</v>
      </c>
    </row>
    <row r="67" spans="1:13">
      <c r="A67">
        <v>1</v>
      </c>
      <c r="B67">
        <v>6</v>
      </c>
      <c r="C67" t="s">
        <v>14</v>
      </c>
      <c r="D67">
        <f t="shared" si="5"/>
        <v>3</v>
      </c>
      <c r="E67" t="str">
        <f t="shared" si="22"/>
        <v>prs</v>
      </c>
      <c r="F67">
        <f t="shared" si="24"/>
        <v>3</v>
      </c>
      <c r="G67">
        <v>5</v>
      </c>
      <c r="H67">
        <v>29</v>
      </c>
      <c r="I67">
        <v>1</v>
      </c>
      <c r="J67">
        <f t="shared" si="23"/>
        <v>0.1</v>
      </c>
      <c r="K67" s="1">
        <f t="shared" ref="K67:K91" si="25">H67/(J67*0.02)</f>
        <v>14500</v>
      </c>
      <c r="L67" s="1">
        <f t="shared" si="10"/>
        <v>85000000</v>
      </c>
      <c r="M67" s="2">
        <f t="shared" ref="M67:M91" si="26">K67/L67</f>
        <v>1.7058823529411766E-4</v>
      </c>
    </row>
    <row r="68" spans="1:13">
      <c r="A68">
        <v>1</v>
      </c>
      <c r="B68">
        <v>7</v>
      </c>
      <c r="C68" t="s">
        <v>15</v>
      </c>
      <c r="D68">
        <f t="shared" si="5"/>
        <v>1</v>
      </c>
      <c r="E68" t="str">
        <f t="shared" si="22"/>
        <v>hipa</v>
      </c>
      <c r="F68">
        <f t="shared" si="24"/>
        <v>1</v>
      </c>
      <c r="G68">
        <v>5</v>
      </c>
      <c r="H68">
        <v>31</v>
      </c>
      <c r="I68">
        <v>-1</v>
      </c>
      <c r="J68">
        <f t="shared" si="23"/>
        <v>10</v>
      </c>
      <c r="K68" s="1">
        <f t="shared" si="25"/>
        <v>155</v>
      </c>
      <c r="L68" s="1">
        <f t="shared" si="10"/>
        <v>174999999.99999997</v>
      </c>
      <c r="M68" s="2">
        <f t="shared" si="26"/>
        <v>8.8571428571428583E-7</v>
      </c>
    </row>
    <row r="69" spans="1:13">
      <c r="A69">
        <v>1</v>
      </c>
      <c r="B69">
        <v>8</v>
      </c>
      <c r="C69" t="s">
        <v>15</v>
      </c>
      <c r="D69">
        <f t="shared" si="5"/>
        <v>2</v>
      </c>
      <c r="E69" t="str">
        <f t="shared" si="22"/>
        <v>hipa</v>
      </c>
      <c r="F69">
        <f t="shared" si="24"/>
        <v>2</v>
      </c>
      <c r="G69">
        <v>5</v>
      </c>
      <c r="H69">
        <v>41</v>
      </c>
      <c r="I69">
        <v>-1</v>
      </c>
      <c r="J69">
        <f t="shared" si="23"/>
        <v>10</v>
      </c>
      <c r="K69" s="1">
        <f t="shared" si="25"/>
        <v>205</v>
      </c>
      <c r="L69" s="1">
        <f t="shared" si="10"/>
        <v>145000000</v>
      </c>
      <c r="M69" s="2">
        <f t="shared" si="26"/>
        <v>1.4137931034482759E-6</v>
      </c>
    </row>
    <row r="70" spans="1:13">
      <c r="A70">
        <v>1</v>
      </c>
      <c r="B70">
        <v>9</v>
      </c>
      <c r="C70" t="s">
        <v>15</v>
      </c>
      <c r="D70">
        <f t="shared" ref="D70:D76" si="27">D67</f>
        <v>3</v>
      </c>
      <c r="E70" t="str">
        <f t="shared" si="22"/>
        <v>hipa</v>
      </c>
      <c r="F70">
        <f t="shared" si="24"/>
        <v>3</v>
      </c>
      <c r="G70">
        <v>5</v>
      </c>
      <c r="H70">
        <v>37</v>
      </c>
      <c r="I70">
        <v>-1</v>
      </c>
      <c r="J70">
        <f t="shared" si="23"/>
        <v>10</v>
      </c>
      <c r="K70" s="1">
        <f t="shared" si="25"/>
        <v>185</v>
      </c>
      <c r="L70" s="1">
        <f t="shared" si="10"/>
        <v>184999999.99999997</v>
      </c>
      <c r="M70" s="2">
        <f t="shared" si="26"/>
        <v>1.0000000000000002E-6</v>
      </c>
    </row>
    <row r="71" spans="1:13">
      <c r="A71">
        <v>1</v>
      </c>
      <c r="B71">
        <v>10</v>
      </c>
      <c r="C71" t="s">
        <v>16</v>
      </c>
      <c r="D71">
        <f t="shared" si="27"/>
        <v>1</v>
      </c>
      <c r="E71" t="str">
        <f t="shared" si="22"/>
        <v>pc</v>
      </c>
      <c r="F71">
        <f t="shared" si="24"/>
        <v>1</v>
      </c>
      <c r="G71">
        <v>5</v>
      </c>
      <c r="H71">
        <v>30</v>
      </c>
      <c r="I71">
        <v>3</v>
      </c>
      <c r="J71">
        <f t="shared" si="23"/>
        <v>1E-3</v>
      </c>
      <c r="K71" s="1">
        <f t="shared" si="25"/>
        <v>1499999.9999999998</v>
      </c>
      <c r="L71" s="1">
        <f t="shared" si="10"/>
        <v>114999999.99999999</v>
      </c>
      <c r="M71" s="2">
        <f t="shared" si="26"/>
        <v>1.3043478260869565E-2</v>
      </c>
    </row>
    <row r="72" spans="1:13">
      <c r="A72">
        <v>1</v>
      </c>
      <c r="B72">
        <v>11</v>
      </c>
      <c r="C72" t="s">
        <v>16</v>
      </c>
      <c r="D72">
        <f t="shared" si="27"/>
        <v>2</v>
      </c>
      <c r="E72" t="str">
        <f t="shared" si="22"/>
        <v>pc</v>
      </c>
      <c r="F72">
        <f t="shared" si="24"/>
        <v>2</v>
      </c>
      <c r="G72">
        <v>5</v>
      </c>
      <c r="H72">
        <v>19</v>
      </c>
      <c r="I72">
        <v>3</v>
      </c>
      <c r="J72">
        <f t="shared" si="23"/>
        <v>1E-3</v>
      </c>
      <c r="K72" s="1">
        <f t="shared" si="25"/>
        <v>949999.99999999988</v>
      </c>
      <c r="L72" s="1">
        <f t="shared" si="10"/>
        <v>85000000</v>
      </c>
      <c r="M72" s="2">
        <f t="shared" si="26"/>
        <v>1.1176470588235293E-2</v>
      </c>
    </row>
    <row r="73" spans="1:13">
      <c r="A73">
        <v>1</v>
      </c>
      <c r="B73">
        <v>12</v>
      </c>
      <c r="C73" t="s">
        <v>16</v>
      </c>
      <c r="D73">
        <f t="shared" si="27"/>
        <v>3</v>
      </c>
      <c r="E73" t="str">
        <f t="shared" si="22"/>
        <v>pc</v>
      </c>
      <c r="F73">
        <f t="shared" si="24"/>
        <v>3</v>
      </c>
      <c r="G73">
        <v>5</v>
      </c>
      <c r="H73">
        <v>25</v>
      </c>
      <c r="I73">
        <v>3</v>
      </c>
      <c r="J73">
        <f t="shared" si="23"/>
        <v>1E-3</v>
      </c>
      <c r="K73" s="1">
        <f t="shared" si="25"/>
        <v>1250000</v>
      </c>
      <c r="L73" s="1">
        <f t="shared" si="10"/>
        <v>99999999.999999985</v>
      </c>
      <c r="M73" s="2">
        <f t="shared" si="26"/>
        <v>1.2500000000000002E-2</v>
      </c>
    </row>
    <row r="74" spans="1:13">
      <c r="A74">
        <f t="shared" ref="A74:A76" si="28">A62</f>
        <v>1</v>
      </c>
      <c r="B74">
        <v>13</v>
      </c>
      <c r="C74" t="s">
        <v>17</v>
      </c>
      <c r="D74">
        <f t="shared" si="27"/>
        <v>1</v>
      </c>
      <c r="E74" t="str">
        <f t="shared" si="22"/>
        <v>plac</v>
      </c>
      <c r="F74">
        <f t="shared" ref="F74:F76" si="29">F62</f>
        <v>1</v>
      </c>
      <c r="G74">
        <v>5</v>
      </c>
      <c r="H74">
        <v>17</v>
      </c>
      <c r="I74">
        <v>1</v>
      </c>
      <c r="J74">
        <f t="shared" si="23"/>
        <v>0.1</v>
      </c>
      <c r="K74" s="1">
        <f t="shared" si="25"/>
        <v>8500</v>
      </c>
      <c r="L74" s="1">
        <f t="shared" si="10"/>
        <v>99999999.999999985</v>
      </c>
      <c r="M74" s="2">
        <f t="shared" si="26"/>
        <v>8.5000000000000006E-5</v>
      </c>
    </row>
    <row r="75" spans="1:13">
      <c r="A75">
        <f t="shared" si="28"/>
        <v>1</v>
      </c>
      <c r="B75">
        <v>14</v>
      </c>
      <c r="C75" t="s">
        <v>17</v>
      </c>
      <c r="D75">
        <f t="shared" si="27"/>
        <v>2</v>
      </c>
      <c r="E75" t="str">
        <f t="shared" si="22"/>
        <v>plac</v>
      </c>
      <c r="F75">
        <f t="shared" si="29"/>
        <v>2</v>
      </c>
      <c r="G75">
        <v>5</v>
      </c>
      <c r="H75">
        <v>15</v>
      </c>
      <c r="I75">
        <v>1</v>
      </c>
      <c r="J75">
        <f t="shared" si="23"/>
        <v>0.1</v>
      </c>
      <c r="K75" s="1">
        <f t="shared" si="25"/>
        <v>7500</v>
      </c>
      <c r="L75" s="1">
        <f t="shared" si="10"/>
        <v>119999999.99999999</v>
      </c>
      <c r="M75" s="2">
        <f t="shared" si="26"/>
        <v>6.2500000000000001E-5</v>
      </c>
    </row>
    <row r="76" spans="1:13">
      <c r="A76">
        <f t="shared" si="28"/>
        <v>1</v>
      </c>
      <c r="B76">
        <v>15</v>
      </c>
      <c r="C76" t="s">
        <v>17</v>
      </c>
      <c r="D76">
        <f t="shared" si="27"/>
        <v>3</v>
      </c>
      <c r="E76" t="str">
        <f t="shared" si="22"/>
        <v>plac</v>
      </c>
      <c r="F76">
        <f t="shared" si="29"/>
        <v>3</v>
      </c>
      <c r="G76">
        <v>5</v>
      </c>
      <c r="H76">
        <v>23</v>
      </c>
      <c r="I76">
        <v>1</v>
      </c>
      <c r="J76">
        <f t="shared" si="23"/>
        <v>0.1</v>
      </c>
      <c r="K76" s="1">
        <f t="shared" si="25"/>
        <v>11500</v>
      </c>
      <c r="L76" s="1">
        <f t="shared" si="10"/>
        <v>140000000</v>
      </c>
      <c r="M76" s="2">
        <f t="shared" si="26"/>
        <v>8.214285714285714E-5</v>
      </c>
    </row>
    <row r="77" spans="1:13">
      <c r="A77">
        <v>1</v>
      </c>
      <c r="B77">
        <v>1</v>
      </c>
      <c r="C77" t="s">
        <v>13</v>
      </c>
      <c r="D77">
        <v>1</v>
      </c>
      <c r="E77" t="str">
        <f>C77</f>
        <v>wt</v>
      </c>
      <c r="F77">
        <v>1</v>
      </c>
      <c r="G77">
        <v>7</v>
      </c>
      <c r="H77">
        <v>4</v>
      </c>
      <c r="I77">
        <v>-1</v>
      </c>
      <c r="J77">
        <f>1/10^I77</f>
        <v>10</v>
      </c>
      <c r="K77" s="1">
        <f t="shared" si="25"/>
        <v>20</v>
      </c>
      <c r="L77" s="1">
        <f t="shared" si="10"/>
        <v>135000000</v>
      </c>
      <c r="M77" s="2">
        <f t="shared" si="26"/>
        <v>1.4814814814814815E-7</v>
      </c>
    </row>
    <row r="78" spans="1:13">
      <c r="A78">
        <v>1</v>
      </c>
      <c r="B78">
        <v>2</v>
      </c>
      <c r="C78" t="s">
        <v>13</v>
      </c>
      <c r="D78">
        <v>2</v>
      </c>
      <c r="E78" t="str">
        <f t="shared" ref="E78:E91" si="30">C78</f>
        <v>wt</v>
      </c>
      <c r="F78">
        <v>2</v>
      </c>
      <c r="G78">
        <v>7</v>
      </c>
      <c r="H78">
        <v>1</v>
      </c>
      <c r="I78">
        <v>-1</v>
      </c>
      <c r="J78">
        <f t="shared" ref="J78:J91" si="31">1/10^I78</f>
        <v>10</v>
      </c>
      <c r="K78" s="1">
        <f t="shared" si="25"/>
        <v>5</v>
      </c>
      <c r="L78" s="1">
        <f t="shared" si="10"/>
        <v>124999999.99999999</v>
      </c>
      <c r="M78" s="2">
        <f t="shared" si="26"/>
        <v>4.0000000000000007E-8</v>
      </c>
    </row>
    <row r="79" spans="1:13">
      <c r="A79">
        <v>1</v>
      </c>
      <c r="B79">
        <v>3</v>
      </c>
      <c r="C79" t="s">
        <v>13</v>
      </c>
      <c r="D79">
        <v>3</v>
      </c>
      <c r="E79" t="str">
        <f t="shared" si="30"/>
        <v>wt</v>
      </c>
      <c r="F79">
        <v>3</v>
      </c>
      <c r="G79">
        <v>7</v>
      </c>
      <c r="H79">
        <v>1</v>
      </c>
      <c r="I79">
        <v>-1</v>
      </c>
      <c r="J79">
        <f t="shared" si="31"/>
        <v>10</v>
      </c>
      <c r="K79" s="1">
        <f t="shared" si="25"/>
        <v>5</v>
      </c>
      <c r="L79" s="1">
        <f t="shared" si="10"/>
        <v>140000000</v>
      </c>
      <c r="M79" s="2">
        <f t="shared" si="26"/>
        <v>3.5714285714285712E-8</v>
      </c>
    </row>
    <row r="80" spans="1:13">
      <c r="A80">
        <v>1</v>
      </c>
      <c r="B80">
        <v>4</v>
      </c>
      <c r="C80" t="s">
        <v>14</v>
      </c>
      <c r="D80">
        <f>D77</f>
        <v>1</v>
      </c>
      <c r="E80" t="str">
        <f t="shared" si="30"/>
        <v>prs</v>
      </c>
      <c r="F80">
        <f t="shared" ref="F80:F88" si="32">F77</f>
        <v>1</v>
      </c>
      <c r="G80">
        <v>7</v>
      </c>
      <c r="H80">
        <v>54</v>
      </c>
      <c r="I80">
        <v>0</v>
      </c>
      <c r="J80">
        <f t="shared" si="31"/>
        <v>1</v>
      </c>
      <c r="K80" s="1">
        <f t="shared" si="25"/>
        <v>2700</v>
      </c>
      <c r="L80" s="1">
        <f t="shared" si="10"/>
        <v>54999999.999999993</v>
      </c>
      <c r="M80" s="2">
        <f t="shared" si="26"/>
        <v>4.9090909090909098E-5</v>
      </c>
    </row>
    <row r="81" spans="1:13">
      <c r="A81">
        <v>1</v>
      </c>
      <c r="B81">
        <v>5</v>
      </c>
      <c r="C81" t="s">
        <v>14</v>
      </c>
      <c r="D81">
        <f t="shared" ref="D81:D91" si="33">D78</f>
        <v>2</v>
      </c>
      <c r="E81" t="str">
        <f t="shared" si="30"/>
        <v>prs</v>
      </c>
      <c r="F81">
        <f t="shared" si="32"/>
        <v>2</v>
      </c>
      <c r="G81">
        <v>7</v>
      </c>
      <c r="H81">
        <v>40</v>
      </c>
      <c r="I81">
        <v>0</v>
      </c>
      <c r="J81">
        <f t="shared" si="31"/>
        <v>1</v>
      </c>
      <c r="K81" s="1">
        <f t="shared" si="25"/>
        <v>2000</v>
      </c>
      <c r="L81" s="1">
        <f t="shared" si="10"/>
        <v>99999999.999999985</v>
      </c>
      <c r="M81" s="2">
        <f t="shared" si="26"/>
        <v>2.0000000000000002E-5</v>
      </c>
    </row>
    <row r="82" spans="1:13">
      <c r="A82">
        <v>1</v>
      </c>
      <c r="B82">
        <v>6</v>
      </c>
      <c r="C82" t="s">
        <v>14</v>
      </c>
      <c r="D82">
        <f t="shared" si="33"/>
        <v>3</v>
      </c>
      <c r="E82" t="str">
        <f t="shared" si="30"/>
        <v>prs</v>
      </c>
      <c r="F82">
        <f t="shared" si="32"/>
        <v>3</v>
      </c>
      <c r="G82">
        <v>7</v>
      </c>
      <c r="H82">
        <v>45</v>
      </c>
      <c r="I82">
        <v>0</v>
      </c>
      <c r="J82">
        <f t="shared" si="31"/>
        <v>1</v>
      </c>
      <c r="K82" s="1">
        <f t="shared" si="25"/>
        <v>2250</v>
      </c>
      <c r="L82" s="1">
        <f t="shared" ref="L82:L91" si="34">L67</f>
        <v>85000000</v>
      </c>
      <c r="M82" s="2">
        <f t="shared" si="26"/>
        <v>2.6470588235294119E-5</v>
      </c>
    </row>
    <row r="83" spans="1:13">
      <c r="A83">
        <v>1</v>
      </c>
      <c r="B83">
        <v>7</v>
      </c>
      <c r="C83" t="s">
        <v>15</v>
      </c>
      <c r="D83">
        <f t="shared" si="33"/>
        <v>1</v>
      </c>
      <c r="E83" t="str">
        <f t="shared" si="30"/>
        <v>hipa</v>
      </c>
      <c r="F83">
        <f t="shared" si="32"/>
        <v>1</v>
      </c>
      <c r="G83">
        <v>7</v>
      </c>
      <c r="H83">
        <v>13</v>
      </c>
      <c r="I83">
        <v>-1</v>
      </c>
      <c r="J83">
        <f t="shared" si="31"/>
        <v>10</v>
      </c>
      <c r="K83" s="1">
        <f t="shared" si="25"/>
        <v>65</v>
      </c>
      <c r="L83" s="1">
        <f t="shared" si="34"/>
        <v>174999999.99999997</v>
      </c>
      <c r="M83" s="2">
        <f t="shared" si="26"/>
        <v>3.714285714285715E-7</v>
      </c>
    </row>
    <row r="84" spans="1:13">
      <c r="A84">
        <v>1</v>
      </c>
      <c r="B84">
        <v>8</v>
      </c>
      <c r="C84" t="s">
        <v>15</v>
      </c>
      <c r="D84">
        <f t="shared" si="33"/>
        <v>2</v>
      </c>
      <c r="E84" t="str">
        <f t="shared" si="30"/>
        <v>hipa</v>
      </c>
      <c r="F84">
        <f t="shared" si="32"/>
        <v>2</v>
      </c>
      <c r="G84">
        <v>7</v>
      </c>
      <c r="H84">
        <v>20</v>
      </c>
      <c r="I84">
        <v>-1</v>
      </c>
      <c r="J84">
        <f t="shared" si="31"/>
        <v>10</v>
      </c>
      <c r="K84" s="1">
        <f t="shared" si="25"/>
        <v>100</v>
      </c>
      <c r="L84" s="1">
        <f t="shared" si="34"/>
        <v>145000000</v>
      </c>
      <c r="M84" s="2">
        <f t="shared" si="26"/>
        <v>6.8965517241379312E-7</v>
      </c>
    </row>
    <row r="85" spans="1:13">
      <c r="A85">
        <v>1</v>
      </c>
      <c r="B85">
        <v>9</v>
      </c>
      <c r="C85" t="s">
        <v>15</v>
      </c>
      <c r="D85">
        <f t="shared" si="33"/>
        <v>3</v>
      </c>
      <c r="E85" t="str">
        <f t="shared" si="30"/>
        <v>hipa</v>
      </c>
      <c r="F85">
        <f t="shared" si="32"/>
        <v>3</v>
      </c>
      <c r="G85">
        <v>7</v>
      </c>
      <c r="H85">
        <v>10</v>
      </c>
      <c r="I85">
        <v>-1</v>
      </c>
      <c r="J85">
        <f t="shared" si="31"/>
        <v>10</v>
      </c>
      <c r="K85" s="1">
        <f t="shared" si="25"/>
        <v>50</v>
      </c>
      <c r="L85" s="1">
        <f t="shared" si="34"/>
        <v>184999999.99999997</v>
      </c>
      <c r="M85" s="2">
        <f t="shared" si="26"/>
        <v>2.7027027027027029E-7</v>
      </c>
    </row>
    <row r="86" spans="1:13">
      <c r="A86">
        <v>1</v>
      </c>
      <c r="B86">
        <v>10</v>
      </c>
      <c r="C86" t="s">
        <v>16</v>
      </c>
      <c r="D86">
        <f t="shared" si="33"/>
        <v>1</v>
      </c>
      <c r="E86" t="str">
        <f t="shared" si="30"/>
        <v>pc</v>
      </c>
      <c r="F86">
        <f t="shared" si="32"/>
        <v>1</v>
      </c>
      <c r="G86">
        <v>7</v>
      </c>
      <c r="H86">
        <v>90</v>
      </c>
      <c r="I86">
        <v>2</v>
      </c>
      <c r="J86">
        <f t="shared" si="31"/>
        <v>0.01</v>
      </c>
      <c r="K86" s="1">
        <f t="shared" si="25"/>
        <v>450000</v>
      </c>
      <c r="L86" s="1">
        <f t="shared" si="34"/>
        <v>114999999.99999999</v>
      </c>
      <c r="M86" s="2">
        <f t="shared" si="26"/>
        <v>3.9130434782608699E-3</v>
      </c>
    </row>
    <row r="87" spans="1:13">
      <c r="A87">
        <v>1</v>
      </c>
      <c r="B87">
        <v>11</v>
      </c>
      <c r="C87" t="s">
        <v>16</v>
      </c>
      <c r="D87">
        <f t="shared" si="33"/>
        <v>2</v>
      </c>
      <c r="E87" t="str">
        <f t="shared" si="30"/>
        <v>pc</v>
      </c>
      <c r="F87">
        <f t="shared" si="32"/>
        <v>2</v>
      </c>
      <c r="G87">
        <v>7</v>
      </c>
      <c r="H87">
        <v>90</v>
      </c>
      <c r="I87">
        <v>2</v>
      </c>
      <c r="J87">
        <f t="shared" si="31"/>
        <v>0.01</v>
      </c>
      <c r="K87" s="1">
        <f t="shared" si="25"/>
        <v>450000</v>
      </c>
      <c r="L87" s="1">
        <f t="shared" si="34"/>
        <v>85000000</v>
      </c>
      <c r="M87" s="2">
        <f t="shared" si="26"/>
        <v>5.2941176470588233E-3</v>
      </c>
    </row>
    <row r="88" spans="1:13">
      <c r="A88">
        <v>1</v>
      </c>
      <c r="B88">
        <v>12</v>
      </c>
      <c r="C88" t="s">
        <v>16</v>
      </c>
      <c r="D88">
        <f t="shared" si="33"/>
        <v>3</v>
      </c>
      <c r="E88" t="str">
        <f t="shared" si="30"/>
        <v>pc</v>
      </c>
      <c r="F88">
        <f t="shared" si="32"/>
        <v>3</v>
      </c>
      <c r="G88">
        <v>7</v>
      </c>
      <c r="H88">
        <v>73</v>
      </c>
      <c r="I88">
        <v>2</v>
      </c>
      <c r="J88">
        <f t="shared" si="31"/>
        <v>0.01</v>
      </c>
      <c r="K88" s="1">
        <f t="shared" si="25"/>
        <v>365000</v>
      </c>
      <c r="L88" s="1">
        <f t="shared" si="34"/>
        <v>99999999.999999985</v>
      </c>
      <c r="M88" s="2">
        <f t="shared" si="26"/>
        <v>3.6500000000000005E-3</v>
      </c>
    </row>
    <row r="89" spans="1:13">
      <c r="A89">
        <f t="shared" ref="A89:A91" si="35">A77</f>
        <v>1</v>
      </c>
      <c r="B89">
        <v>13</v>
      </c>
      <c r="C89" t="s">
        <v>17</v>
      </c>
      <c r="D89">
        <f t="shared" si="33"/>
        <v>1</v>
      </c>
      <c r="E89" t="str">
        <f t="shared" si="30"/>
        <v>plac</v>
      </c>
      <c r="F89">
        <f t="shared" ref="F89:F91" si="36">F77</f>
        <v>1</v>
      </c>
      <c r="G89">
        <v>7</v>
      </c>
      <c r="H89">
        <v>56</v>
      </c>
      <c r="I89">
        <v>-1</v>
      </c>
      <c r="J89">
        <f t="shared" si="31"/>
        <v>10</v>
      </c>
      <c r="K89" s="1">
        <f t="shared" si="25"/>
        <v>280</v>
      </c>
      <c r="L89" s="1">
        <f t="shared" si="34"/>
        <v>99999999.999999985</v>
      </c>
      <c r="M89" s="2">
        <f t="shared" si="26"/>
        <v>2.8000000000000003E-6</v>
      </c>
    </row>
    <row r="90" spans="1:13">
      <c r="A90">
        <f t="shared" si="35"/>
        <v>1</v>
      </c>
      <c r="B90">
        <v>14</v>
      </c>
      <c r="C90" t="s">
        <v>17</v>
      </c>
      <c r="D90">
        <f t="shared" si="33"/>
        <v>2</v>
      </c>
      <c r="E90" t="str">
        <f t="shared" si="30"/>
        <v>plac</v>
      </c>
      <c r="F90">
        <f t="shared" si="36"/>
        <v>2</v>
      </c>
      <c r="G90">
        <v>7</v>
      </c>
      <c r="H90">
        <v>52</v>
      </c>
      <c r="I90">
        <v>-1</v>
      </c>
      <c r="J90">
        <f t="shared" si="31"/>
        <v>10</v>
      </c>
      <c r="K90" s="1">
        <f t="shared" si="25"/>
        <v>260</v>
      </c>
      <c r="L90" s="1">
        <f t="shared" si="34"/>
        <v>119999999.99999999</v>
      </c>
      <c r="M90" s="2">
        <f t="shared" si="26"/>
        <v>2.166666666666667E-6</v>
      </c>
    </row>
    <row r="91" spans="1:13">
      <c r="A91">
        <f t="shared" si="35"/>
        <v>1</v>
      </c>
      <c r="B91">
        <v>15</v>
      </c>
      <c r="C91" t="s">
        <v>17</v>
      </c>
      <c r="D91">
        <f t="shared" si="33"/>
        <v>3</v>
      </c>
      <c r="E91" t="str">
        <f t="shared" si="30"/>
        <v>plac</v>
      </c>
      <c r="F91">
        <f t="shared" si="36"/>
        <v>3</v>
      </c>
      <c r="G91">
        <v>7</v>
      </c>
      <c r="H91">
        <v>47</v>
      </c>
      <c r="I91">
        <v>-1</v>
      </c>
      <c r="J91">
        <f t="shared" si="31"/>
        <v>10</v>
      </c>
      <c r="K91" s="1">
        <f t="shared" si="25"/>
        <v>235</v>
      </c>
      <c r="L91" s="1">
        <f t="shared" si="34"/>
        <v>140000000</v>
      </c>
      <c r="M91" s="2">
        <f t="shared" si="26"/>
        <v>1.6785714285714286E-6</v>
      </c>
    </row>
    <row r="92" spans="1:13">
      <c r="K92" s="1"/>
      <c r="L92" s="1"/>
      <c r="M92" s="2"/>
    </row>
    <row r="93" spans="1:13">
      <c r="K93" s="1"/>
      <c r="L93" s="1"/>
      <c r="M93" s="2"/>
    </row>
    <row r="94" spans="1:13">
      <c r="K94" s="1"/>
      <c r="L94" s="1"/>
      <c r="M94" s="2"/>
    </row>
    <row r="95" spans="1:13">
      <c r="K95" s="1"/>
      <c r="L95" s="1"/>
      <c r="M95" s="2"/>
    </row>
    <row r="96" spans="1:13">
      <c r="K96" s="1"/>
      <c r="L96" s="1"/>
      <c r="M96" s="2"/>
    </row>
    <row r="97" spans="11:13">
      <c r="K97" s="1"/>
      <c r="L97" s="1"/>
      <c r="M97" s="2"/>
    </row>
    <row r="98" spans="11:13">
      <c r="K98" s="1"/>
      <c r="L98" s="1"/>
      <c r="M98" s="2"/>
    </row>
    <row r="99" spans="11:13">
      <c r="K99" s="1"/>
      <c r="L99" s="1"/>
      <c r="M99" s="2"/>
    </row>
    <row r="100" spans="11:13">
      <c r="K100" s="1"/>
      <c r="L100" s="1"/>
      <c r="M100" s="2"/>
    </row>
    <row r="101" spans="11:13">
      <c r="K101" s="1"/>
      <c r="L101" s="1"/>
      <c r="M101" s="2"/>
    </row>
    <row r="102" spans="11:13">
      <c r="K102" s="1"/>
      <c r="L102" s="1"/>
      <c r="M102" s="2"/>
    </row>
    <row r="103" spans="11:13">
      <c r="K103" s="1"/>
      <c r="L103" s="1"/>
      <c r="M103" s="2"/>
    </row>
    <row r="104" spans="11:13">
      <c r="K104" s="1"/>
      <c r="L104" s="1"/>
      <c r="M104" s="2"/>
    </row>
    <row r="105" spans="11:13">
      <c r="K105" s="1"/>
      <c r="L105" s="1"/>
      <c r="M105" s="2"/>
    </row>
    <row r="106" spans="11:13">
      <c r="K106" s="1"/>
      <c r="L106" s="1"/>
      <c r="M106" s="2"/>
    </row>
    <row r="107" spans="11:13">
      <c r="K107" s="1"/>
      <c r="L107" s="1"/>
      <c r="M107" s="2"/>
    </row>
    <row r="108" spans="11:13">
      <c r="K108" s="1"/>
      <c r="L108" s="1"/>
      <c r="M108" s="2"/>
    </row>
    <row r="109" spans="11:13">
      <c r="K109" s="1"/>
      <c r="L109" s="1"/>
      <c r="M109" s="2"/>
    </row>
    <row r="110" spans="11:13">
      <c r="K110" s="1"/>
      <c r="L110" s="1"/>
      <c r="M110" s="2"/>
    </row>
    <row r="111" spans="11:13">
      <c r="K111" s="1"/>
      <c r="L111" s="1"/>
      <c r="M111" s="2"/>
    </row>
    <row r="112" spans="11:13">
      <c r="K112" s="1"/>
      <c r="L112" s="1"/>
      <c r="M112" s="2"/>
    </row>
    <row r="113" spans="11:13">
      <c r="K113" s="1"/>
      <c r="L113" s="1"/>
      <c r="M113" s="2"/>
    </row>
    <row r="114" spans="11:13">
      <c r="K114" s="1"/>
      <c r="L114" s="1"/>
      <c r="M114" s="2"/>
    </row>
    <row r="115" spans="11:13">
      <c r="K115" s="1"/>
      <c r="L115" s="1"/>
      <c r="M115" s="2"/>
    </row>
    <row r="116" spans="11:13">
      <c r="K116" s="1"/>
      <c r="L116" s="1"/>
      <c r="M116" s="2"/>
    </row>
    <row r="117" spans="11:13">
      <c r="K117" s="1"/>
      <c r="L117" s="1"/>
      <c r="M117" s="2"/>
    </row>
    <row r="118" spans="11:13">
      <c r="K118" s="1"/>
      <c r="L118" s="1"/>
      <c r="M118" s="2"/>
    </row>
    <row r="119" spans="11:13">
      <c r="K119" s="1"/>
      <c r="L119" s="1"/>
      <c r="M119" s="2"/>
    </row>
    <row r="120" spans="11:13">
      <c r="K120" s="1"/>
      <c r="L120" s="1"/>
      <c r="M120" s="2"/>
    </row>
    <row r="121" spans="11:13">
      <c r="K121" s="1"/>
      <c r="L121" s="1"/>
      <c r="M121" s="2"/>
    </row>
    <row r="122" spans="11:13">
      <c r="K122" s="1"/>
      <c r="L122" s="1"/>
      <c r="M122" s="2"/>
    </row>
    <row r="123" spans="11:13">
      <c r="K123" s="1"/>
      <c r="L123" s="1"/>
      <c r="M123" s="2"/>
    </row>
    <row r="124" spans="11:13">
      <c r="K124" s="1"/>
      <c r="L124" s="1"/>
      <c r="M124" s="2"/>
    </row>
    <row r="125" spans="11:13">
      <c r="K125" s="1"/>
      <c r="L125" s="1"/>
      <c r="M125" s="2"/>
    </row>
    <row r="126" spans="11:13">
      <c r="K126" s="1"/>
      <c r="L126" s="1"/>
      <c r="M126" s="2"/>
    </row>
    <row r="127" spans="11:13">
      <c r="K127" s="1"/>
      <c r="L127" s="1"/>
      <c r="M127" s="2"/>
    </row>
    <row r="128" spans="11:13">
      <c r="K128" s="1"/>
      <c r="L128" s="1"/>
      <c r="M128" s="2"/>
    </row>
    <row r="129" spans="11:13">
      <c r="K129" s="1"/>
      <c r="L129" s="1"/>
      <c r="M129" s="2"/>
    </row>
    <row r="130" spans="11:13">
      <c r="K130" s="1"/>
      <c r="L130" s="1"/>
      <c r="M130" s="2"/>
    </row>
    <row r="131" spans="11:13">
      <c r="K131" s="1"/>
      <c r="L131" s="1"/>
      <c r="M131" s="2"/>
    </row>
    <row r="132" spans="11:13">
      <c r="K132" s="1"/>
      <c r="L132" s="1"/>
      <c r="M132" s="2"/>
    </row>
    <row r="133" spans="11:13">
      <c r="K133" s="1"/>
      <c r="L133" s="1"/>
      <c r="M133" s="2"/>
    </row>
    <row r="134" spans="11:13">
      <c r="K134" s="1"/>
      <c r="L134" s="1"/>
      <c r="M134" s="2"/>
    </row>
    <row r="135" spans="11:13">
      <c r="K135" s="1"/>
      <c r="L135" s="1"/>
      <c r="M135" s="2"/>
    </row>
    <row r="136" spans="11:13">
      <c r="K136" s="1"/>
      <c r="L136" s="1"/>
      <c r="M136" s="2"/>
    </row>
    <row r="137" spans="11:13">
      <c r="K137" s="1"/>
      <c r="L137" s="1"/>
      <c r="M137" s="2"/>
    </row>
    <row r="138" spans="11:13">
      <c r="K138" s="1"/>
      <c r="L138" s="1"/>
      <c r="M138" s="2"/>
    </row>
    <row r="139" spans="11:13">
      <c r="K139" s="1"/>
      <c r="L139" s="1"/>
      <c r="M139" s="2"/>
    </row>
    <row r="140" spans="11:13">
      <c r="K140" s="1"/>
      <c r="L140" s="1"/>
      <c r="M140" s="2"/>
    </row>
    <row r="141" spans="11:13">
      <c r="K141" s="1"/>
      <c r="L141" s="1"/>
      <c r="M141" s="2"/>
    </row>
    <row r="142" spans="11:13">
      <c r="K142" s="1"/>
      <c r="L142" s="1"/>
      <c r="M142" s="2"/>
    </row>
    <row r="143" spans="11:13">
      <c r="K143" s="1"/>
      <c r="L143" s="1"/>
      <c r="M143" s="2"/>
    </row>
    <row r="144" spans="11:13">
      <c r="K144" s="1"/>
      <c r="L144" s="1"/>
      <c r="M144" s="2"/>
    </row>
    <row r="145" spans="11:13">
      <c r="K145" s="1"/>
      <c r="L145" s="1"/>
      <c r="M145" s="2"/>
    </row>
    <row r="146" spans="11:13">
      <c r="K146" s="1"/>
      <c r="M146" s="2"/>
    </row>
    <row r="147" spans="11:13">
      <c r="K147" s="1"/>
      <c r="M147" s="2"/>
    </row>
    <row r="148" spans="11:13">
      <c r="K148" s="1"/>
      <c r="M148" s="2"/>
    </row>
    <row r="149" spans="11:13">
      <c r="K149" s="1"/>
      <c r="M149" s="2"/>
    </row>
    <row r="150" spans="11:13">
      <c r="K150" s="1"/>
      <c r="M150" s="2"/>
    </row>
    <row r="151" spans="11:13">
      <c r="K151" s="1"/>
      <c r="M151" s="2"/>
    </row>
    <row r="152" spans="11:13">
      <c r="K152" s="1"/>
      <c r="M152" s="2"/>
    </row>
    <row r="153" spans="11:13">
      <c r="K153" s="1"/>
      <c r="M153" s="2"/>
    </row>
    <row r="154" spans="11:13">
      <c r="K154" s="1"/>
      <c r="M154" s="2"/>
    </row>
    <row r="155" spans="11:13">
      <c r="K155" s="1"/>
      <c r="M155" s="2"/>
    </row>
    <row r="156" spans="11:13">
      <c r="K156" s="1"/>
      <c r="M156" s="2"/>
    </row>
    <row r="157" spans="11:13">
      <c r="K157" s="1"/>
      <c r="M157" s="2"/>
    </row>
    <row r="158" spans="11:13">
      <c r="K158" s="1"/>
      <c r="M158" s="2"/>
    </row>
    <row r="159" spans="11:13">
      <c r="K159" s="1"/>
      <c r="M159" s="2"/>
    </row>
    <row r="160" spans="11:13">
      <c r="K160" s="1"/>
      <c r="M160" s="2"/>
    </row>
    <row r="161" spans="11:13">
      <c r="K161" s="1"/>
      <c r="M161" s="2"/>
    </row>
    <row r="162" spans="11:13">
      <c r="K162" s="1"/>
      <c r="M162" s="2"/>
    </row>
    <row r="163" spans="11:13">
      <c r="K163" s="1"/>
      <c r="M163" s="2"/>
    </row>
    <row r="164" spans="11:13">
      <c r="K164" s="1"/>
      <c r="M164" s="2"/>
    </row>
    <row r="165" spans="11:13">
      <c r="K165" s="1"/>
      <c r="M165" s="2"/>
    </row>
    <row r="166" spans="11:13">
      <c r="K166" s="1"/>
      <c r="M166" s="2"/>
    </row>
    <row r="167" spans="11:13">
      <c r="K167" s="1"/>
      <c r="M167" s="2"/>
    </row>
    <row r="168" spans="11:13">
      <c r="K168" s="1"/>
      <c r="M168" s="2"/>
    </row>
    <row r="169" spans="11:13">
      <c r="K169" s="1"/>
      <c r="M169" s="2"/>
    </row>
    <row r="170" spans="11:13">
      <c r="K170" s="1"/>
      <c r="M170" s="2"/>
    </row>
    <row r="171" spans="11:13">
      <c r="K171" s="1"/>
      <c r="M171" s="2"/>
    </row>
    <row r="172" spans="11:13">
      <c r="K172" s="1"/>
      <c r="M172" s="2"/>
    </row>
    <row r="173" spans="11:13">
      <c r="K173" s="1"/>
      <c r="M173" s="2"/>
    </row>
    <row r="174" spans="11:13">
      <c r="K174" s="1"/>
      <c r="M174" s="2"/>
    </row>
    <row r="175" spans="11:13">
      <c r="K175" s="1"/>
      <c r="M175" s="2"/>
    </row>
    <row r="176" spans="11:13">
      <c r="K176" s="1"/>
      <c r="M176" s="2"/>
    </row>
    <row r="177" spans="11:13">
      <c r="K177" s="1"/>
      <c r="M177" s="2"/>
    </row>
    <row r="178" spans="11:13">
      <c r="K178" s="1"/>
      <c r="M178" s="2"/>
    </row>
    <row r="179" spans="11:13">
      <c r="K179" s="1"/>
      <c r="M179" s="2"/>
    </row>
    <row r="180" spans="11:13">
      <c r="K180" s="1"/>
      <c r="M180" s="2"/>
    </row>
    <row r="181" spans="11:13">
      <c r="K181" s="1"/>
      <c r="M181" s="2"/>
    </row>
    <row r="182" spans="11:13">
      <c r="K182" s="1"/>
      <c r="M182" s="2"/>
    </row>
    <row r="183" spans="11:13">
      <c r="K183" s="1"/>
      <c r="M183" s="2"/>
    </row>
    <row r="184" spans="11:13">
      <c r="K184" s="1"/>
      <c r="M184" s="2"/>
    </row>
    <row r="185" spans="11:13">
      <c r="K185" s="1"/>
      <c r="M185" s="2"/>
    </row>
    <row r="186" spans="11:13">
      <c r="K186" s="1"/>
      <c r="M186" s="2"/>
    </row>
    <row r="187" spans="11:13">
      <c r="K187" s="1"/>
      <c r="M187" s="2"/>
    </row>
    <row r="188" spans="11:13">
      <c r="K188" s="1"/>
      <c r="M188" s="2"/>
    </row>
    <row r="189" spans="11:13">
      <c r="K189" s="1"/>
      <c r="M189" s="2"/>
    </row>
    <row r="190" spans="11:13">
      <c r="K190" s="1"/>
      <c r="M190" s="2"/>
    </row>
    <row r="191" spans="11:13">
      <c r="K191" s="1"/>
      <c r="M191" s="2"/>
    </row>
    <row r="192" spans="11:13">
      <c r="K192" s="1"/>
      <c r="M192" s="2"/>
    </row>
    <row r="193" spans="11:13">
      <c r="K193" s="1"/>
      <c r="M193" s="2"/>
    </row>
    <row r="194" spans="11:13">
      <c r="K194" s="1"/>
      <c r="M194" s="2"/>
    </row>
    <row r="195" spans="11:13">
      <c r="K195" s="1"/>
      <c r="M195" s="2"/>
    </row>
    <row r="196" spans="11:13">
      <c r="K196" s="1"/>
      <c r="M196" s="2"/>
    </row>
    <row r="197" spans="11:13">
      <c r="K197" s="1"/>
      <c r="M197" s="2"/>
    </row>
    <row r="198" spans="11:13">
      <c r="K198" s="1"/>
      <c r="M198" s="2"/>
    </row>
    <row r="199" spans="11:13">
      <c r="K199" s="1"/>
      <c r="M199" s="2"/>
    </row>
    <row r="200" spans="11:13">
      <c r="K200" s="1"/>
      <c r="M200" s="2"/>
    </row>
    <row r="201" spans="11:13">
      <c r="K201" s="1"/>
      <c r="M201" s="2"/>
    </row>
    <row r="202" spans="11:13">
      <c r="K202" s="1"/>
      <c r="M202" s="2"/>
    </row>
    <row r="203" spans="11:13">
      <c r="K203" s="1"/>
      <c r="M203" s="2"/>
    </row>
    <row r="204" spans="11:13">
      <c r="K204" s="1"/>
      <c r="M204" s="2"/>
    </row>
    <row r="205" spans="11:13">
      <c r="K205" s="1"/>
      <c r="M205" s="2"/>
    </row>
    <row r="206" spans="11:13">
      <c r="K206" s="1"/>
      <c r="M206" s="2"/>
    </row>
    <row r="207" spans="11:13">
      <c r="K207" s="1"/>
      <c r="M207" s="2"/>
    </row>
    <row r="208" spans="11:13">
      <c r="K208" s="1"/>
      <c r="M208" s="2"/>
    </row>
    <row r="209" spans="8:13">
      <c r="K209" s="1"/>
      <c r="M209" s="2"/>
    </row>
    <row r="210" spans="8:13">
      <c r="K210" s="1"/>
      <c r="M210" s="2"/>
    </row>
    <row r="211" spans="8:13">
      <c r="K211" s="1"/>
      <c r="M211" s="2"/>
    </row>
    <row r="212" spans="8:13">
      <c r="K212" s="1"/>
      <c r="M212" s="2"/>
    </row>
    <row r="213" spans="8:13">
      <c r="K213" s="1"/>
      <c r="M213" s="2"/>
    </row>
    <row r="214" spans="8:13">
      <c r="K214" s="1"/>
      <c r="M214" s="2"/>
    </row>
    <row r="215" spans="8:13">
      <c r="K215" s="1"/>
      <c r="M215" s="2"/>
    </row>
    <row r="216" spans="8:13">
      <c r="K216" s="1"/>
      <c r="M216" s="2"/>
    </row>
    <row r="217" spans="8:13">
      <c r="K217" s="1"/>
      <c r="M217" s="2"/>
    </row>
    <row r="218" spans="8:13">
      <c r="K218" s="1"/>
      <c r="M218" s="2"/>
    </row>
    <row r="219" spans="8:13">
      <c r="K219" s="1"/>
      <c r="M219" s="2"/>
    </row>
    <row r="220" spans="8:13">
      <c r="H220" s="3"/>
      <c r="I220" s="3"/>
      <c r="K220" s="1"/>
      <c r="M220" s="2"/>
    </row>
    <row r="221" spans="8:13">
      <c r="K221" s="1"/>
      <c r="M221" s="2"/>
    </row>
    <row r="222" spans="8:13">
      <c r="K222" s="1"/>
      <c r="M222" s="2"/>
    </row>
    <row r="223" spans="8:13">
      <c r="H223" s="3"/>
      <c r="I223" s="3"/>
      <c r="K223" s="1"/>
      <c r="M223" s="2"/>
    </row>
    <row r="224" spans="8:13">
      <c r="K224" s="1"/>
      <c r="M224" s="2"/>
    </row>
    <row r="225" spans="8:13">
      <c r="K225" s="1"/>
      <c r="M225" s="2"/>
    </row>
    <row r="226" spans="8:13">
      <c r="H226" s="3"/>
      <c r="I226" s="3"/>
      <c r="K226" s="1"/>
      <c r="M226" s="2"/>
    </row>
    <row r="227" spans="8:13">
      <c r="K227" s="1"/>
      <c r="M227" s="2"/>
    </row>
    <row r="228" spans="8:13">
      <c r="K228" s="1"/>
      <c r="M228" s="2"/>
    </row>
    <row r="229" spans="8:13">
      <c r="H229" s="3"/>
      <c r="I229" s="3"/>
      <c r="K229" s="1"/>
      <c r="M229" s="2"/>
    </row>
    <row r="230" spans="8:13">
      <c r="K230" s="1"/>
      <c r="M230" s="2"/>
    </row>
    <row r="231" spans="8:13">
      <c r="K231" s="1"/>
      <c r="M231" s="2"/>
    </row>
    <row r="232" spans="8:13">
      <c r="H232" s="3"/>
      <c r="I232" s="3"/>
      <c r="K232" s="1"/>
      <c r="M232" s="2"/>
    </row>
  </sheetData>
  <phoneticPr fontId="2" type="noConversion"/>
  <conditionalFormatting sqref="K1:K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56A7-3893-474F-BA5F-7AD12D1AADBD}">
  <dimension ref="B5:K19"/>
  <sheetViews>
    <sheetView workbookViewId="0">
      <selection activeCell="B18" sqref="B18"/>
    </sheetView>
  </sheetViews>
  <sheetFormatPr defaultColWidth="11" defaultRowHeight="15.95"/>
  <cols>
    <col min="8" max="8" width="17.5" bestFit="1" customWidth="1"/>
  </cols>
  <sheetData>
    <row r="5" spans="2:11">
      <c r="H5" t="s">
        <v>18</v>
      </c>
      <c r="J5">
        <v>10</v>
      </c>
      <c r="K5" t="s">
        <v>19</v>
      </c>
    </row>
    <row r="10" spans="2:11">
      <c r="B10" t="s">
        <v>20</v>
      </c>
      <c r="C10" t="s">
        <v>21</v>
      </c>
      <c r="E10" t="s">
        <v>22</v>
      </c>
      <c r="F10" t="s">
        <v>23</v>
      </c>
    </row>
    <row r="11" spans="2:11">
      <c r="B11">
        <v>10</v>
      </c>
      <c r="E11">
        <v>6</v>
      </c>
      <c r="F11">
        <v>129</v>
      </c>
    </row>
    <row r="12" spans="2:11">
      <c r="C12">
        <f>(E11*F11)/B11</f>
        <v>77.400000000000006</v>
      </c>
    </row>
    <row r="14" spans="2:11">
      <c r="H14">
        <v>77.400000000000006</v>
      </c>
      <c r="I14">
        <v>24</v>
      </c>
    </row>
    <row r="15" spans="2:11">
      <c r="H15">
        <f>H14*I14</f>
        <v>1857.6000000000001</v>
      </c>
    </row>
    <row r="17" spans="2:9">
      <c r="B17" t="s">
        <v>24</v>
      </c>
    </row>
    <row r="19" spans="2:9">
      <c r="H19">
        <v>4</v>
      </c>
      <c r="I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Lyon</dc:creator>
  <cp:keywords/>
  <dc:description/>
  <cp:lastModifiedBy>adammlyon@gmail.com</cp:lastModifiedBy>
  <cp:revision/>
  <dcterms:created xsi:type="dcterms:W3CDTF">2024-02-22T01:56:38Z</dcterms:created>
  <dcterms:modified xsi:type="dcterms:W3CDTF">2026-01-25T03:09:28Z</dcterms:modified>
  <cp:category/>
  <cp:contentStatus/>
</cp:coreProperties>
</file>