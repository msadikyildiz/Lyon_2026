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/Users/adamlyon/Desktop/September2024/MDK/mutants/"/>
    </mc:Choice>
  </mc:AlternateContent>
  <xr:revisionPtr revIDLastSave="0" documentId="13_ncr:1_{80816382-5AAE-0F45-ACFD-3199005089F6}" xr6:coauthVersionLast="47" xr6:coauthVersionMax="47" xr10:uidLastSave="{00000000-0000-0000-0000-000000000000}"/>
  <bookViews>
    <workbookView xWindow="-33000" yWindow="540" windowWidth="28800" windowHeight="15760" xr2:uid="{177CD699-1056-2B46-834D-83BE0E876923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/>
  <c r="L27" i="1"/>
  <c r="L28" i="1"/>
  <c r="L29" i="1"/>
  <c r="L30" i="1"/>
  <c r="L54" i="1" s="1"/>
  <c r="L78" i="1" s="1"/>
  <c r="L102" i="1" s="1"/>
  <c r="L126" i="1" s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9" i="1"/>
  <c r="L80" i="1"/>
  <c r="L81" i="1"/>
  <c r="L82" i="1"/>
  <c r="L83" i="1"/>
  <c r="L107" i="1" s="1"/>
  <c r="L131" i="1" s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2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H15" i="2" l="1"/>
  <c r="C12" i="2"/>
  <c r="K46" i="1"/>
  <c r="M46" i="1" s="1"/>
  <c r="K3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41" i="1"/>
  <c r="E2" i="1"/>
  <c r="D6" i="1"/>
  <c r="D9" i="1" s="1"/>
  <c r="D12" i="1" s="1"/>
  <c r="D15" i="1" s="1"/>
  <c r="D18" i="1" s="1"/>
  <c r="D21" i="1" s="1"/>
  <c r="D24" i="1" s="1"/>
  <c r="D27" i="1" s="1"/>
  <c r="D30" i="1" s="1"/>
  <c r="D33" i="1" s="1"/>
  <c r="D36" i="1" s="1"/>
  <c r="D39" i="1" s="1"/>
  <c r="D42" i="1" s="1"/>
  <c r="D45" i="1" s="1"/>
  <c r="D48" i="1" s="1"/>
  <c r="D51" i="1" s="1"/>
  <c r="D54" i="1" s="1"/>
  <c r="D57" i="1" s="1"/>
  <c r="D60" i="1" s="1"/>
  <c r="D63" i="1" s="1"/>
  <c r="D66" i="1" s="1"/>
  <c r="D69" i="1" s="1"/>
  <c r="D72" i="1" s="1"/>
  <c r="D75" i="1" s="1"/>
  <c r="D7" i="1"/>
  <c r="D10" i="1" s="1"/>
  <c r="D13" i="1" s="1"/>
  <c r="D16" i="1" s="1"/>
  <c r="D19" i="1" s="1"/>
  <c r="D22" i="1" s="1"/>
  <c r="D25" i="1" s="1"/>
  <c r="D28" i="1" s="1"/>
  <c r="D31" i="1" s="1"/>
  <c r="D34" i="1" s="1"/>
  <c r="D37" i="1" s="1"/>
  <c r="D40" i="1" s="1"/>
  <c r="D43" i="1" s="1"/>
  <c r="D46" i="1" s="1"/>
  <c r="D49" i="1" s="1"/>
  <c r="D52" i="1" s="1"/>
  <c r="D55" i="1" s="1"/>
  <c r="D58" i="1" s="1"/>
  <c r="D61" i="1" s="1"/>
  <c r="D64" i="1" s="1"/>
  <c r="D67" i="1" s="1"/>
  <c r="D70" i="1" s="1"/>
  <c r="D73" i="1" s="1"/>
  <c r="D76" i="1" s="1"/>
  <c r="D5" i="1"/>
  <c r="D8" i="1" s="1"/>
  <c r="D11" i="1" s="1"/>
  <c r="D14" i="1" s="1"/>
  <c r="D17" i="1" s="1"/>
  <c r="D20" i="1" s="1"/>
  <c r="D23" i="1" s="1"/>
  <c r="D26" i="1" s="1"/>
  <c r="D29" i="1" s="1"/>
  <c r="D32" i="1" s="1"/>
  <c r="D35" i="1" s="1"/>
  <c r="D38" i="1" s="1"/>
  <c r="D41" i="1" s="1"/>
  <c r="D44" i="1" s="1"/>
  <c r="D47" i="1" s="1"/>
  <c r="D50" i="1" s="1"/>
  <c r="D53" i="1" s="1"/>
  <c r="D56" i="1" s="1"/>
  <c r="D59" i="1" s="1"/>
  <c r="D62" i="1" s="1"/>
  <c r="D65" i="1" s="1"/>
  <c r="D68" i="1" s="1"/>
  <c r="D71" i="1" s="1"/>
  <c r="D74" i="1" s="1"/>
  <c r="B27" i="1"/>
  <c r="B51" i="1" s="1"/>
  <c r="C27" i="1"/>
  <c r="E27" i="1" s="1"/>
  <c r="B28" i="1"/>
  <c r="C28" i="1"/>
  <c r="E28" i="1" s="1"/>
  <c r="B29" i="1"/>
  <c r="B53" i="1" s="1"/>
  <c r="C29" i="1"/>
  <c r="E29" i="1" s="1"/>
  <c r="B30" i="1"/>
  <c r="C30" i="1"/>
  <c r="E30" i="1" s="1"/>
  <c r="B31" i="1"/>
  <c r="B55" i="1" s="1"/>
  <c r="C31" i="1"/>
  <c r="E31" i="1" s="1"/>
  <c r="B32" i="1"/>
  <c r="C32" i="1"/>
  <c r="B33" i="1"/>
  <c r="C33" i="1"/>
  <c r="C57" i="1" s="1"/>
  <c r="C81" i="1" s="1"/>
  <c r="B34" i="1"/>
  <c r="B58" i="1" s="1"/>
  <c r="C34" i="1"/>
  <c r="B35" i="1"/>
  <c r="B59" i="1" s="1"/>
  <c r="C35" i="1"/>
  <c r="C59" i="1" s="1"/>
  <c r="B36" i="1"/>
  <c r="B60" i="1" s="1"/>
  <c r="C36" i="1"/>
  <c r="B37" i="1"/>
  <c r="B61" i="1" s="1"/>
  <c r="C37" i="1"/>
  <c r="C61" i="1" s="1"/>
  <c r="C85" i="1" s="1"/>
  <c r="B38" i="1"/>
  <c r="B62" i="1" s="1"/>
  <c r="C38" i="1"/>
  <c r="B39" i="1"/>
  <c r="B63" i="1" s="1"/>
  <c r="C39" i="1"/>
  <c r="C63" i="1" s="1"/>
  <c r="B40" i="1"/>
  <c r="B64" i="1" s="1"/>
  <c r="C40" i="1"/>
  <c r="B41" i="1"/>
  <c r="B65" i="1" s="1"/>
  <c r="C41" i="1"/>
  <c r="C65" i="1" s="1"/>
  <c r="C89" i="1" s="1"/>
  <c r="C113" i="1" s="1"/>
  <c r="B42" i="1"/>
  <c r="B66" i="1" s="1"/>
  <c r="C42" i="1"/>
  <c r="B43" i="1"/>
  <c r="B67" i="1" s="1"/>
  <c r="C43" i="1"/>
  <c r="C67" i="1" s="1"/>
  <c r="B44" i="1"/>
  <c r="B68" i="1" s="1"/>
  <c r="C44" i="1"/>
  <c r="B45" i="1"/>
  <c r="B69" i="1" s="1"/>
  <c r="C45" i="1"/>
  <c r="C69" i="1" s="1"/>
  <c r="C93" i="1" s="1"/>
  <c r="B46" i="1"/>
  <c r="B70" i="1" s="1"/>
  <c r="C46" i="1"/>
  <c r="E46" i="1" s="1"/>
  <c r="B47" i="1"/>
  <c r="B71" i="1" s="1"/>
  <c r="C47" i="1"/>
  <c r="C71" i="1" s="1"/>
  <c r="B48" i="1"/>
  <c r="B72" i="1" s="1"/>
  <c r="C48" i="1"/>
  <c r="E48" i="1" s="1"/>
  <c r="B49" i="1"/>
  <c r="B73" i="1" s="1"/>
  <c r="C49" i="1"/>
  <c r="C73" i="1" s="1"/>
  <c r="C97" i="1" s="1"/>
  <c r="B52" i="1"/>
  <c r="C53" i="1"/>
  <c r="C77" i="1" s="1"/>
  <c r="B54" i="1"/>
  <c r="B56" i="1"/>
  <c r="B57" i="1"/>
  <c r="C26" i="1"/>
  <c r="E26" i="1" s="1"/>
  <c r="B26" i="1"/>
  <c r="B50" i="1" s="1"/>
  <c r="K3" i="1"/>
  <c r="M3" i="1" s="1"/>
  <c r="K4" i="1"/>
  <c r="M4" i="1" s="1"/>
  <c r="K5" i="1"/>
  <c r="K6" i="1"/>
  <c r="M6" i="1" s="1"/>
  <c r="K7" i="1"/>
  <c r="M7" i="1" s="1"/>
  <c r="K8" i="1"/>
  <c r="K9" i="1"/>
  <c r="M9" i="1" s="1"/>
  <c r="K10" i="1"/>
  <c r="M10" i="1" s="1"/>
  <c r="K11" i="1"/>
  <c r="K12" i="1"/>
  <c r="M12" i="1" s="1"/>
  <c r="K13" i="1"/>
  <c r="M13" i="1" s="1"/>
  <c r="K14" i="1"/>
  <c r="K15" i="1"/>
  <c r="M15" i="1" s="1"/>
  <c r="K16" i="1"/>
  <c r="M16" i="1" s="1"/>
  <c r="K17" i="1"/>
  <c r="K18" i="1"/>
  <c r="M18" i="1" s="1"/>
  <c r="K19" i="1"/>
  <c r="M19" i="1" s="1"/>
  <c r="K20" i="1"/>
  <c r="K21" i="1"/>
  <c r="M21" i="1" s="1"/>
  <c r="K22" i="1"/>
  <c r="M22" i="1" s="1"/>
  <c r="K23" i="1"/>
  <c r="K24" i="1"/>
  <c r="M24" i="1" s="1"/>
  <c r="K25" i="1"/>
  <c r="M25" i="1" s="1"/>
  <c r="K26" i="1"/>
  <c r="K27" i="1"/>
  <c r="K28" i="1"/>
  <c r="K29" i="1"/>
  <c r="M29" i="1" s="1"/>
  <c r="K30" i="1"/>
  <c r="M30" i="1" s="1"/>
  <c r="K31" i="1"/>
  <c r="K32" i="1"/>
  <c r="K33" i="1"/>
  <c r="K34" i="1"/>
  <c r="M34" i="1" s="1"/>
  <c r="K35" i="1"/>
  <c r="K36" i="1"/>
  <c r="K37" i="1"/>
  <c r="K38" i="1"/>
  <c r="M38" i="1" s="1"/>
  <c r="K40" i="1"/>
  <c r="K41" i="1"/>
  <c r="K42" i="1"/>
  <c r="M42" i="1" s="1"/>
  <c r="K43" i="1"/>
  <c r="K44" i="1"/>
  <c r="K45" i="1"/>
  <c r="K47" i="1"/>
  <c r="M47" i="1" s="1"/>
  <c r="K48" i="1"/>
  <c r="K49" i="1"/>
  <c r="K50" i="1"/>
  <c r="K51" i="1"/>
  <c r="K52" i="1"/>
  <c r="K53" i="1"/>
  <c r="K54" i="1"/>
  <c r="K55" i="1"/>
  <c r="M55" i="1" s="1"/>
  <c r="K56" i="1"/>
  <c r="K57" i="1"/>
  <c r="K58" i="1"/>
  <c r="M58" i="1" s="1"/>
  <c r="K59" i="1"/>
  <c r="M59" i="1" s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M115" i="1" s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M139" i="1" s="1"/>
  <c r="K140" i="1"/>
  <c r="K141" i="1"/>
  <c r="K142" i="1"/>
  <c r="K143" i="1"/>
  <c r="K144" i="1"/>
  <c r="K145" i="1"/>
  <c r="J2" i="1"/>
  <c r="B105" i="1"/>
  <c r="B129" i="1" s="1"/>
  <c r="B106" i="1"/>
  <c r="B107" i="1"/>
  <c r="B108" i="1"/>
  <c r="B109" i="1"/>
  <c r="B110" i="1"/>
  <c r="B134" i="1" s="1"/>
  <c r="B111" i="1"/>
  <c r="B135" i="1" s="1"/>
  <c r="B112" i="1"/>
  <c r="B113" i="1"/>
  <c r="B137" i="1" s="1"/>
  <c r="B114" i="1"/>
  <c r="B138" i="1" s="1"/>
  <c r="B115" i="1"/>
  <c r="B116" i="1"/>
  <c r="B140" i="1" s="1"/>
  <c r="B117" i="1"/>
  <c r="B141" i="1" s="1"/>
  <c r="B118" i="1"/>
  <c r="B142" i="1" s="1"/>
  <c r="B119" i="1"/>
  <c r="B143" i="1" s="1"/>
  <c r="B120" i="1"/>
  <c r="B144" i="1" s="1"/>
  <c r="B121" i="1"/>
  <c r="B145" i="1" s="1"/>
  <c r="B130" i="1"/>
  <c r="B131" i="1"/>
  <c r="B132" i="1"/>
  <c r="B133" i="1"/>
  <c r="B136" i="1"/>
  <c r="B139" i="1"/>
  <c r="B99" i="1"/>
  <c r="B123" i="1" s="1"/>
  <c r="B100" i="1"/>
  <c r="B124" i="1" s="1"/>
  <c r="B101" i="1"/>
  <c r="B125" i="1" s="1"/>
  <c r="B102" i="1"/>
  <c r="B126" i="1" s="1"/>
  <c r="B103" i="1"/>
  <c r="B127" i="1" s="1"/>
  <c r="B104" i="1"/>
  <c r="B128" i="1" s="1"/>
  <c r="B98" i="1"/>
  <c r="B122" i="1" s="1"/>
  <c r="F72" i="1"/>
  <c r="F73" i="1"/>
  <c r="F71" i="1"/>
  <c r="A15" i="1"/>
  <c r="F15" i="1"/>
  <c r="F27" i="1" s="1"/>
  <c r="F39" i="1" s="1"/>
  <c r="F51" i="1" s="1"/>
  <c r="F63" i="1" s="1"/>
  <c r="A16" i="1"/>
  <c r="F16" i="1"/>
  <c r="F28" i="1" s="1"/>
  <c r="A17" i="1"/>
  <c r="A18" i="1"/>
  <c r="A19" i="1"/>
  <c r="A20" i="1"/>
  <c r="A21" i="1"/>
  <c r="F14" i="1"/>
  <c r="A14" i="1"/>
  <c r="F6" i="1"/>
  <c r="F18" i="1" s="1"/>
  <c r="F7" i="1"/>
  <c r="F10" i="1" s="1"/>
  <c r="F5" i="1"/>
  <c r="F17" i="1" s="1"/>
  <c r="C72" i="1" l="1"/>
  <c r="E72" i="1" s="1"/>
  <c r="C55" i="1"/>
  <c r="E55" i="1" s="1"/>
  <c r="C51" i="1"/>
  <c r="E51" i="1" s="1"/>
  <c r="E89" i="1"/>
  <c r="E57" i="1"/>
  <c r="C50" i="1"/>
  <c r="E69" i="1"/>
  <c r="E49" i="1"/>
  <c r="E33" i="1"/>
  <c r="E65" i="1"/>
  <c r="E45" i="1"/>
  <c r="C79" i="1"/>
  <c r="C75" i="1"/>
  <c r="E73" i="1"/>
  <c r="E53" i="1"/>
  <c r="E37" i="1"/>
  <c r="C101" i="1"/>
  <c r="E77" i="1"/>
  <c r="M23" i="1"/>
  <c r="E44" i="1"/>
  <c r="C68" i="1"/>
  <c r="M11" i="1"/>
  <c r="E42" i="1"/>
  <c r="C66" i="1"/>
  <c r="E40" i="1"/>
  <c r="C64" i="1"/>
  <c r="E38" i="1"/>
  <c r="C62" i="1"/>
  <c r="E36" i="1"/>
  <c r="C60" i="1"/>
  <c r="E34" i="1"/>
  <c r="C58" i="1"/>
  <c r="C56" i="1"/>
  <c r="E32" i="1"/>
  <c r="M14" i="1"/>
  <c r="C54" i="1"/>
  <c r="C52" i="1"/>
  <c r="E50" i="1"/>
  <c r="C74" i="1"/>
  <c r="C70" i="1"/>
  <c r="C121" i="1"/>
  <c r="E97" i="1"/>
  <c r="C95" i="1"/>
  <c r="E71" i="1"/>
  <c r="C117" i="1"/>
  <c r="E93" i="1"/>
  <c r="E67" i="1"/>
  <c r="C91" i="1"/>
  <c r="C137" i="1"/>
  <c r="E137" i="1" s="1"/>
  <c r="E113" i="1"/>
  <c r="C87" i="1"/>
  <c r="E63" i="1"/>
  <c r="C109" i="1"/>
  <c r="E85" i="1"/>
  <c r="C83" i="1"/>
  <c r="E59" i="1"/>
  <c r="C105" i="1"/>
  <c r="E81" i="1"/>
  <c r="E61" i="1"/>
  <c r="M5" i="1"/>
  <c r="E47" i="1"/>
  <c r="E43" i="1"/>
  <c r="E39" i="1"/>
  <c r="E35" i="1"/>
  <c r="K2" i="1"/>
  <c r="M17" i="1"/>
  <c r="M20" i="1"/>
  <c r="M8" i="1"/>
  <c r="M51" i="1"/>
  <c r="M44" i="1"/>
  <c r="M40" i="1"/>
  <c r="M36" i="1"/>
  <c r="M32" i="1"/>
  <c r="M136" i="1"/>
  <c r="M132" i="1"/>
  <c r="M128" i="1"/>
  <c r="M112" i="1"/>
  <c r="M108" i="1"/>
  <c r="M104" i="1"/>
  <c r="M92" i="1"/>
  <c r="M88" i="1"/>
  <c r="M84" i="1"/>
  <c r="M80" i="1"/>
  <c r="M72" i="1"/>
  <c r="M68" i="1"/>
  <c r="M64" i="1"/>
  <c r="M60" i="1"/>
  <c r="M56" i="1"/>
  <c r="M48" i="1"/>
  <c r="M43" i="1"/>
  <c r="M39" i="1"/>
  <c r="M35" i="1"/>
  <c r="M31" i="1"/>
  <c r="M27" i="1"/>
  <c r="M100" i="1"/>
  <c r="M144" i="1"/>
  <c r="M140" i="1"/>
  <c r="M124" i="1"/>
  <c r="M120" i="1"/>
  <c r="M116" i="1"/>
  <c r="M96" i="1"/>
  <c r="M76" i="1"/>
  <c r="M52" i="1"/>
  <c r="M143" i="1"/>
  <c r="M135" i="1"/>
  <c r="M131" i="1"/>
  <c r="M127" i="1"/>
  <c r="M123" i="1"/>
  <c r="M107" i="1"/>
  <c r="M95" i="1"/>
  <c r="M83" i="1"/>
  <c r="M63" i="1"/>
  <c r="M119" i="1"/>
  <c r="M103" i="1"/>
  <c r="M91" i="1"/>
  <c r="M75" i="1"/>
  <c r="M134" i="1"/>
  <c r="M122" i="1"/>
  <c r="M106" i="1"/>
  <c r="M94" i="1"/>
  <c r="M74" i="1"/>
  <c r="M111" i="1"/>
  <c r="M99" i="1"/>
  <c r="M87" i="1"/>
  <c r="M79" i="1"/>
  <c r="M71" i="1"/>
  <c r="M67" i="1"/>
  <c r="M142" i="1"/>
  <c r="M138" i="1"/>
  <c r="M130" i="1"/>
  <c r="M126" i="1"/>
  <c r="M118" i="1"/>
  <c r="M114" i="1"/>
  <c r="M110" i="1"/>
  <c r="M102" i="1"/>
  <c r="M98" i="1"/>
  <c r="M90" i="1"/>
  <c r="M86" i="1"/>
  <c r="M82" i="1"/>
  <c r="M78" i="1"/>
  <c r="M70" i="1"/>
  <c r="M66" i="1"/>
  <c r="M62" i="1"/>
  <c r="M54" i="1"/>
  <c r="M50" i="1"/>
  <c r="M45" i="1"/>
  <c r="M41" i="1"/>
  <c r="M37" i="1"/>
  <c r="M33" i="1"/>
  <c r="M145" i="1"/>
  <c r="M141" i="1"/>
  <c r="M137" i="1"/>
  <c r="M133" i="1"/>
  <c r="M129" i="1"/>
  <c r="M125" i="1"/>
  <c r="M121" i="1"/>
  <c r="M117" i="1"/>
  <c r="M113" i="1"/>
  <c r="M109" i="1"/>
  <c r="M105" i="1"/>
  <c r="M101" i="1"/>
  <c r="M97" i="1"/>
  <c r="M93" i="1"/>
  <c r="M89" i="1"/>
  <c r="M85" i="1"/>
  <c r="M81" i="1"/>
  <c r="M77" i="1"/>
  <c r="M73" i="1"/>
  <c r="M69" i="1"/>
  <c r="M65" i="1"/>
  <c r="M61" i="1"/>
  <c r="M57" i="1"/>
  <c r="M53" i="1"/>
  <c r="M49" i="1"/>
  <c r="M28" i="1"/>
  <c r="D77" i="1"/>
  <c r="D78" i="1"/>
  <c r="D79" i="1"/>
  <c r="F30" i="1"/>
  <c r="F29" i="1"/>
  <c r="F13" i="1"/>
  <c r="F22" i="1"/>
  <c r="F40" i="1"/>
  <c r="F8" i="1"/>
  <c r="F26" i="1"/>
  <c r="F9" i="1"/>
  <c r="F19" i="1"/>
  <c r="C96" i="1" l="1"/>
  <c r="E75" i="1"/>
  <c r="C99" i="1"/>
  <c r="E79" i="1"/>
  <c r="C103" i="1"/>
  <c r="C129" i="1"/>
  <c r="E129" i="1" s="1"/>
  <c r="E105" i="1"/>
  <c r="C133" i="1"/>
  <c r="E133" i="1" s="1"/>
  <c r="E109" i="1"/>
  <c r="C141" i="1"/>
  <c r="E141" i="1" s="1"/>
  <c r="E117" i="1"/>
  <c r="E52" i="1"/>
  <c r="C76" i="1"/>
  <c r="E60" i="1"/>
  <c r="C84" i="1"/>
  <c r="E96" i="1"/>
  <c r="C120" i="1"/>
  <c r="C115" i="1"/>
  <c r="E91" i="1"/>
  <c r="C107" i="1"/>
  <c r="E83" i="1"/>
  <c r="C145" i="1"/>
  <c r="E145" i="1" s="1"/>
  <c r="E121" i="1"/>
  <c r="E64" i="1"/>
  <c r="C88" i="1"/>
  <c r="E70" i="1"/>
  <c r="C94" i="1"/>
  <c r="E54" i="1"/>
  <c r="C78" i="1"/>
  <c r="E56" i="1"/>
  <c r="C80" i="1"/>
  <c r="M2" i="1"/>
  <c r="C111" i="1"/>
  <c r="E87" i="1"/>
  <c r="E95" i="1"/>
  <c r="C119" i="1"/>
  <c r="E74" i="1"/>
  <c r="C98" i="1"/>
  <c r="E58" i="1"/>
  <c r="C82" i="1"/>
  <c r="E62" i="1"/>
  <c r="C86" i="1"/>
  <c r="E66" i="1"/>
  <c r="C90" i="1"/>
  <c r="E68" i="1"/>
  <c r="C92" i="1"/>
  <c r="C125" i="1"/>
  <c r="E125" i="1" s="1"/>
  <c r="E101" i="1"/>
  <c r="D80" i="1"/>
  <c r="D81" i="1"/>
  <c r="D82" i="1"/>
  <c r="F34" i="1"/>
  <c r="F38" i="1"/>
  <c r="F11" i="1"/>
  <c r="F20" i="1"/>
  <c r="F52" i="1"/>
  <c r="F42" i="1"/>
  <c r="F25" i="1"/>
  <c r="F31" i="1"/>
  <c r="F12" i="1"/>
  <c r="F21" i="1"/>
  <c r="F41" i="1"/>
  <c r="C127" i="1" l="1"/>
  <c r="E127" i="1" s="1"/>
  <c r="E103" i="1"/>
  <c r="C123" i="1"/>
  <c r="E123" i="1" s="1"/>
  <c r="E99" i="1"/>
  <c r="E88" i="1"/>
  <c r="C112" i="1"/>
  <c r="E120" i="1"/>
  <c r="C144" i="1"/>
  <c r="E144" i="1" s="1"/>
  <c r="E82" i="1"/>
  <c r="C106" i="1"/>
  <c r="C143" i="1"/>
  <c r="E143" i="1" s="1"/>
  <c r="E119" i="1"/>
  <c r="E107" i="1"/>
  <c r="C131" i="1"/>
  <c r="E131" i="1" s="1"/>
  <c r="E80" i="1"/>
  <c r="C104" i="1"/>
  <c r="C118" i="1"/>
  <c r="E94" i="1"/>
  <c r="E84" i="1"/>
  <c r="C108" i="1"/>
  <c r="E111" i="1"/>
  <c r="C135" i="1"/>
  <c r="E135" i="1" s="1"/>
  <c r="C102" i="1"/>
  <c r="E78" i="1"/>
  <c r="E76" i="1"/>
  <c r="C100" i="1"/>
  <c r="E90" i="1"/>
  <c r="C114" i="1"/>
  <c r="E92" i="1"/>
  <c r="C116" i="1"/>
  <c r="C110" i="1"/>
  <c r="E86" i="1"/>
  <c r="C122" i="1"/>
  <c r="E122" i="1" s="1"/>
  <c r="E98" i="1"/>
  <c r="C139" i="1"/>
  <c r="E139" i="1" s="1"/>
  <c r="E115" i="1"/>
  <c r="D85" i="1"/>
  <c r="D84" i="1"/>
  <c r="D83" i="1"/>
  <c r="F64" i="1"/>
  <c r="F43" i="1"/>
  <c r="F54" i="1"/>
  <c r="F32" i="1"/>
  <c r="F33" i="1"/>
  <c r="F37" i="1"/>
  <c r="F23" i="1"/>
  <c r="F53" i="1"/>
  <c r="F66" i="1"/>
  <c r="F24" i="1"/>
  <c r="F50" i="1"/>
  <c r="F46" i="1"/>
  <c r="E104" i="1" l="1"/>
  <c r="C128" i="1"/>
  <c r="E128" i="1" s="1"/>
  <c r="C134" i="1"/>
  <c r="E134" i="1" s="1"/>
  <c r="E110" i="1"/>
  <c r="C126" i="1"/>
  <c r="E126" i="1" s="1"/>
  <c r="E102" i="1"/>
  <c r="C142" i="1"/>
  <c r="E142" i="1" s="1"/>
  <c r="E118" i="1"/>
  <c r="C138" i="1"/>
  <c r="E138" i="1" s="1"/>
  <c r="E114" i="1"/>
  <c r="E108" i="1"/>
  <c r="C132" i="1"/>
  <c r="E132" i="1" s="1"/>
  <c r="E116" i="1"/>
  <c r="C140" i="1"/>
  <c r="E140" i="1" s="1"/>
  <c r="E100" i="1"/>
  <c r="C124" i="1"/>
  <c r="E124" i="1" s="1"/>
  <c r="E106" i="1"/>
  <c r="C130" i="1"/>
  <c r="E130" i="1" s="1"/>
  <c r="E112" i="1"/>
  <c r="C136" i="1"/>
  <c r="E136" i="1" s="1"/>
  <c r="D87" i="1"/>
  <c r="D86" i="1"/>
  <c r="D88" i="1"/>
  <c r="F55" i="1"/>
  <c r="F69" i="1"/>
  <c r="F44" i="1"/>
  <c r="F36" i="1"/>
  <c r="F58" i="1"/>
  <c r="F45" i="1"/>
  <c r="F62" i="1"/>
  <c r="F35" i="1"/>
  <c r="F49" i="1"/>
  <c r="F67" i="1"/>
  <c r="D89" i="1" l="1"/>
  <c r="D91" i="1"/>
  <c r="D90" i="1"/>
  <c r="F47" i="1"/>
  <c r="F70" i="1"/>
  <c r="F65" i="1"/>
  <c r="F61" i="1"/>
  <c r="F56" i="1"/>
  <c r="F48" i="1"/>
  <c r="F57" i="1"/>
  <c r="D94" i="1" l="1"/>
  <c r="D93" i="1"/>
  <c r="D92" i="1"/>
  <c r="F68" i="1"/>
  <c r="F60" i="1"/>
  <c r="F59" i="1"/>
  <c r="D96" i="1" l="1"/>
  <c r="D95" i="1"/>
  <c r="D97" i="1"/>
  <c r="F78" i="1"/>
  <c r="F99" i="1"/>
  <c r="F123" i="1" s="1"/>
  <c r="D100" i="1" l="1"/>
  <c r="D103" i="1" s="1"/>
  <c r="D106" i="1" s="1"/>
  <c r="D109" i="1" s="1"/>
  <c r="D112" i="1" s="1"/>
  <c r="D115" i="1" s="1"/>
  <c r="D118" i="1" s="1"/>
  <c r="D121" i="1" s="1"/>
  <c r="D124" i="1" s="1"/>
  <c r="D127" i="1" s="1"/>
  <c r="D130" i="1" s="1"/>
  <c r="D133" i="1" s="1"/>
  <c r="D136" i="1" s="1"/>
  <c r="D139" i="1" s="1"/>
  <c r="D142" i="1" s="1"/>
  <c r="D145" i="1" s="1"/>
  <c r="D99" i="1"/>
  <c r="D102" i="1" s="1"/>
  <c r="D105" i="1" s="1"/>
  <c r="D108" i="1" s="1"/>
  <c r="D111" i="1" s="1"/>
  <c r="D114" i="1" s="1"/>
  <c r="D117" i="1" s="1"/>
  <c r="D120" i="1" s="1"/>
  <c r="D123" i="1" s="1"/>
  <c r="D126" i="1" s="1"/>
  <c r="D129" i="1" s="1"/>
  <c r="D132" i="1" s="1"/>
  <c r="D135" i="1" s="1"/>
  <c r="D138" i="1" s="1"/>
  <c r="D141" i="1" s="1"/>
  <c r="D144" i="1" s="1"/>
  <c r="D98" i="1"/>
  <c r="D101" i="1" s="1"/>
  <c r="D104" i="1" s="1"/>
  <c r="D107" i="1" s="1"/>
  <c r="D110" i="1" s="1"/>
  <c r="D113" i="1" s="1"/>
  <c r="D116" i="1" s="1"/>
  <c r="D119" i="1" s="1"/>
  <c r="D122" i="1" s="1"/>
  <c r="D125" i="1" s="1"/>
  <c r="D128" i="1" s="1"/>
  <c r="D131" i="1" s="1"/>
  <c r="D134" i="1" s="1"/>
  <c r="D137" i="1" s="1"/>
  <c r="D140" i="1" s="1"/>
  <c r="D143" i="1" s="1"/>
  <c r="F81" i="1"/>
  <c r="F102" i="1"/>
  <c r="F126" i="1" s="1"/>
  <c r="F100" i="1"/>
  <c r="F124" i="1" s="1"/>
  <c r="F79" i="1"/>
  <c r="F77" i="1"/>
  <c r="F98" i="1"/>
  <c r="F122" i="1" s="1"/>
  <c r="F103" i="1" l="1"/>
  <c r="F127" i="1" s="1"/>
  <c r="F82" i="1"/>
  <c r="F80" i="1"/>
  <c r="F101" i="1"/>
  <c r="F125" i="1" s="1"/>
  <c r="F84" i="1"/>
  <c r="F105" i="1"/>
  <c r="F129" i="1" s="1"/>
  <c r="F85" i="1" l="1"/>
  <c r="F106" i="1"/>
  <c r="F130" i="1" s="1"/>
  <c r="F87" i="1"/>
  <c r="F108" i="1"/>
  <c r="F132" i="1" s="1"/>
  <c r="F83" i="1"/>
  <c r="F104" i="1"/>
  <c r="F128" i="1" s="1"/>
  <c r="F90" i="1" l="1"/>
  <c r="F111" i="1"/>
  <c r="F135" i="1" s="1"/>
  <c r="F86" i="1"/>
  <c r="F107" i="1"/>
  <c r="F131" i="1" s="1"/>
  <c r="F88" i="1"/>
  <c r="F109" i="1"/>
  <c r="F133" i="1" s="1"/>
  <c r="F114" i="1" l="1"/>
  <c r="F138" i="1" s="1"/>
  <c r="F93" i="1"/>
  <c r="F89" i="1"/>
  <c r="F110" i="1"/>
  <c r="F134" i="1" s="1"/>
  <c r="F91" i="1"/>
  <c r="F112" i="1"/>
  <c r="F136" i="1" s="1"/>
  <c r="F113" i="1" l="1"/>
  <c r="F137" i="1" s="1"/>
  <c r="F92" i="1"/>
  <c r="F96" i="1"/>
  <c r="F120" i="1" s="1"/>
  <c r="F144" i="1" s="1"/>
  <c r="F117" i="1"/>
  <c r="F141" i="1" s="1"/>
  <c r="F115" i="1"/>
  <c r="F139" i="1" s="1"/>
  <c r="F94" i="1"/>
  <c r="F97" i="1" l="1"/>
  <c r="F121" i="1" s="1"/>
  <c r="F145" i="1" s="1"/>
  <c r="F118" i="1"/>
  <c r="F142" i="1" s="1"/>
  <c r="F95" i="1"/>
  <c r="F119" i="1" s="1"/>
  <c r="F143" i="1" s="1"/>
  <c r="F116" i="1"/>
  <c r="F140" i="1" s="1"/>
</calcChain>
</file>

<file path=xl/sharedStrings.xml><?xml version="1.0" encoding="utf-8"?>
<sst xmlns="http://schemas.openxmlformats.org/spreadsheetml/2006/main" count="45" uniqueCount="29">
  <si>
    <t>Day</t>
  </si>
  <si>
    <t>Tube</t>
  </si>
  <si>
    <t>Strain</t>
  </si>
  <si>
    <t>Culture</t>
  </si>
  <si>
    <t>Name</t>
  </si>
  <si>
    <t>Replicate</t>
  </si>
  <si>
    <t>Time</t>
  </si>
  <si>
    <t>COUNT</t>
  </si>
  <si>
    <t>DILUTION</t>
  </si>
  <si>
    <t>Factor</t>
  </si>
  <si>
    <t>CFU</t>
  </si>
  <si>
    <t>TimeZero</t>
  </si>
  <si>
    <t>Fraction</t>
  </si>
  <si>
    <t>gata</t>
  </si>
  <si>
    <t>glvc</t>
  </si>
  <si>
    <t>hipa</t>
  </si>
  <si>
    <t>selb</t>
  </si>
  <si>
    <t>rpoz</t>
  </si>
  <si>
    <t>ftsh</t>
  </si>
  <si>
    <t>fimE</t>
  </si>
  <si>
    <t>wt</t>
  </si>
  <si>
    <t>stock concentration</t>
  </si>
  <si>
    <t>mg/mL</t>
  </si>
  <si>
    <t>C (mg/mL)</t>
  </si>
  <si>
    <t>V (uL)</t>
  </si>
  <si>
    <t>V (ml)</t>
  </si>
  <si>
    <t>C (ug/mL)</t>
  </si>
  <si>
    <t>40mg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</si>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</sst>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0E929-15C7-A94F-89A0-1B970DB2740D}">
  <dimension ref="A1:N232"/>
  <sheetViews>
    <sheetView tabSelected="1" zoomScale="69" workbookViewId="0">
      <selection activeCell="M27" sqref="M27"/>
    </sheetView>
  </sheetViews>
  <sheetFormatPr defaultColWidth="11" defaultRowHeight="15.9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>
      <c r="A2">
        <v>1</v>
      </c>
      <c r="B2">
        <v>1</v>
      </c>
      <c r="C2" t="s">
        <v>13</v>
      </c>
      <c r="D2">
        <v>1</v>
      </c>
      <c r="E2" t="str">
        <f>C2</f>
        <v>gata</v>
      </c>
      <c r="F2">
        <v>1</v>
      </c>
      <c r="G2">
        <v>0</v>
      </c>
      <c r="H2">
        <v>52</v>
      </c>
      <c r="I2">
        <v>5</v>
      </c>
      <c r="J2">
        <f>1/10^I2</f>
        <v>1.0000000000000001E-5</v>
      </c>
      <c r="K2" s="1">
        <f>H2/(J2*0.02)</f>
        <v>259999999.99999997</v>
      </c>
      <c r="L2" s="1">
        <v>259999999.99999997</v>
      </c>
      <c r="M2" s="2">
        <f>K2/L2</f>
        <v>1</v>
      </c>
      <c r="N2" s="1"/>
    </row>
    <row r="3" spans="1:14">
      <c r="A3">
        <v>1</v>
      </c>
      <c r="B3">
        <v>2</v>
      </c>
      <c r="C3" t="s">
        <v>13</v>
      </c>
      <c r="D3">
        <v>2</v>
      </c>
      <c r="E3" t="str">
        <f t="shared" ref="E3:E66" si="0">C3</f>
        <v>gata</v>
      </c>
      <c r="F3">
        <v>2</v>
      </c>
      <c r="G3">
        <v>0</v>
      </c>
      <c r="H3">
        <v>42</v>
      </c>
      <c r="I3">
        <v>5</v>
      </c>
      <c r="J3">
        <f t="shared" ref="J3:J66" si="1">1/10^I3</f>
        <v>1.0000000000000001E-5</v>
      </c>
      <c r="K3" s="1">
        <f t="shared" ref="K3:K66" si="2">H3/(J3*0.02)</f>
        <v>209999999.99999997</v>
      </c>
      <c r="L3" s="1">
        <v>209999999.99999997</v>
      </c>
      <c r="M3" s="2">
        <f t="shared" ref="M3:M66" si="3">K3/L3</f>
        <v>1</v>
      </c>
    </row>
    <row r="4" spans="1:14">
      <c r="A4">
        <v>1</v>
      </c>
      <c r="B4">
        <v>3</v>
      </c>
      <c r="C4" t="s">
        <v>13</v>
      </c>
      <c r="D4">
        <v>3</v>
      </c>
      <c r="E4" t="str">
        <f t="shared" si="0"/>
        <v>gata</v>
      </c>
      <c r="F4">
        <v>3</v>
      </c>
      <c r="G4">
        <v>0</v>
      </c>
      <c r="H4">
        <v>45</v>
      </c>
      <c r="I4">
        <v>5</v>
      </c>
      <c r="J4">
        <f t="shared" si="1"/>
        <v>1.0000000000000001E-5</v>
      </c>
      <c r="K4" s="1">
        <f t="shared" si="2"/>
        <v>224999999.99999997</v>
      </c>
      <c r="L4" s="1">
        <v>224999999.99999997</v>
      </c>
      <c r="M4" s="2">
        <f t="shared" si="3"/>
        <v>1</v>
      </c>
    </row>
    <row r="5" spans="1:14">
      <c r="A5">
        <v>1</v>
      </c>
      <c r="B5">
        <v>4</v>
      </c>
      <c r="C5" t="s">
        <v>14</v>
      </c>
      <c r="D5">
        <f>D2</f>
        <v>1</v>
      </c>
      <c r="E5" t="str">
        <f t="shared" si="0"/>
        <v>glvc</v>
      </c>
      <c r="F5">
        <f t="shared" ref="F5:F13" si="4">F2</f>
        <v>1</v>
      </c>
      <c r="G5">
        <v>0</v>
      </c>
      <c r="H5">
        <v>54</v>
      </c>
      <c r="I5">
        <v>5</v>
      </c>
      <c r="J5">
        <f t="shared" si="1"/>
        <v>1.0000000000000001E-5</v>
      </c>
      <c r="K5" s="1">
        <f t="shared" si="2"/>
        <v>270000000</v>
      </c>
      <c r="L5" s="1">
        <v>270000000</v>
      </c>
      <c r="M5" s="2">
        <f t="shared" si="3"/>
        <v>1</v>
      </c>
      <c r="N5" s="1"/>
    </row>
    <row r="6" spans="1:14">
      <c r="A6">
        <v>1</v>
      </c>
      <c r="B6">
        <v>5</v>
      </c>
      <c r="C6" t="s">
        <v>14</v>
      </c>
      <c r="D6">
        <f t="shared" ref="D6:D69" si="5">D3</f>
        <v>2</v>
      </c>
      <c r="E6" t="str">
        <f t="shared" si="0"/>
        <v>glvc</v>
      </c>
      <c r="F6">
        <f t="shared" si="4"/>
        <v>2</v>
      </c>
      <c r="G6">
        <v>0</v>
      </c>
      <c r="H6">
        <v>57</v>
      </c>
      <c r="I6">
        <v>5</v>
      </c>
      <c r="J6">
        <f t="shared" si="1"/>
        <v>1.0000000000000001E-5</v>
      </c>
      <c r="K6" s="1">
        <f t="shared" si="2"/>
        <v>285000000</v>
      </c>
      <c r="L6" s="1">
        <v>285000000</v>
      </c>
      <c r="M6" s="2">
        <f t="shared" si="3"/>
        <v>1</v>
      </c>
    </row>
    <row r="7" spans="1:14">
      <c r="A7">
        <v>1</v>
      </c>
      <c r="B7">
        <v>6</v>
      </c>
      <c r="C7" t="s">
        <v>14</v>
      </c>
      <c r="D7">
        <f t="shared" si="5"/>
        <v>3</v>
      </c>
      <c r="E7" t="str">
        <f t="shared" si="0"/>
        <v>glvc</v>
      </c>
      <c r="F7">
        <f t="shared" si="4"/>
        <v>3</v>
      </c>
      <c r="G7">
        <v>0</v>
      </c>
      <c r="H7">
        <v>54</v>
      </c>
      <c r="I7">
        <v>5</v>
      </c>
      <c r="J7">
        <f t="shared" si="1"/>
        <v>1.0000000000000001E-5</v>
      </c>
      <c r="K7" s="1">
        <f t="shared" si="2"/>
        <v>270000000</v>
      </c>
      <c r="L7" s="1">
        <v>270000000</v>
      </c>
      <c r="M7" s="2">
        <f t="shared" si="3"/>
        <v>1</v>
      </c>
    </row>
    <row r="8" spans="1:14">
      <c r="A8">
        <v>1</v>
      </c>
      <c r="B8">
        <v>7</v>
      </c>
      <c r="C8" t="s">
        <v>15</v>
      </c>
      <c r="D8">
        <f t="shared" si="5"/>
        <v>1</v>
      </c>
      <c r="E8" t="str">
        <f t="shared" si="0"/>
        <v>hipa</v>
      </c>
      <c r="F8">
        <f t="shared" si="4"/>
        <v>1</v>
      </c>
      <c r="G8">
        <v>0</v>
      </c>
      <c r="H8">
        <v>30</v>
      </c>
      <c r="I8">
        <v>5</v>
      </c>
      <c r="J8">
        <f t="shared" si="1"/>
        <v>1.0000000000000001E-5</v>
      </c>
      <c r="K8" s="1">
        <f t="shared" si="2"/>
        <v>150000000</v>
      </c>
      <c r="L8" s="1">
        <v>150000000</v>
      </c>
      <c r="M8" s="2">
        <f t="shared" si="3"/>
        <v>1</v>
      </c>
      <c r="N8" s="1"/>
    </row>
    <row r="9" spans="1:14">
      <c r="A9">
        <v>1</v>
      </c>
      <c r="B9">
        <v>8</v>
      </c>
      <c r="C9" t="s">
        <v>15</v>
      </c>
      <c r="D9">
        <f t="shared" si="5"/>
        <v>2</v>
      </c>
      <c r="E9" t="str">
        <f t="shared" si="0"/>
        <v>hipa</v>
      </c>
      <c r="F9">
        <f t="shared" si="4"/>
        <v>2</v>
      </c>
      <c r="G9">
        <v>0</v>
      </c>
      <c r="H9">
        <v>40</v>
      </c>
      <c r="I9">
        <v>5</v>
      </c>
      <c r="J9">
        <f t="shared" si="1"/>
        <v>1.0000000000000001E-5</v>
      </c>
      <c r="K9" s="1">
        <f t="shared" si="2"/>
        <v>199999999.99999997</v>
      </c>
      <c r="L9" s="1">
        <v>199999999.99999997</v>
      </c>
      <c r="M9" s="2">
        <f t="shared" si="3"/>
        <v>1</v>
      </c>
    </row>
    <row r="10" spans="1:14">
      <c r="A10">
        <v>1</v>
      </c>
      <c r="B10">
        <v>9</v>
      </c>
      <c r="C10" t="s">
        <v>15</v>
      </c>
      <c r="D10">
        <f t="shared" si="5"/>
        <v>3</v>
      </c>
      <c r="E10" t="str">
        <f t="shared" si="0"/>
        <v>hipa</v>
      </c>
      <c r="F10">
        <f t="shared" si="4"/>
        <v>3</v>
      </c>
      <c r="G10">
        <v>0</v>
      </c>
      <c r="H10">
        <v>43</v>
      </c>
      <c r="I10">
        <v>5</v>
      </c>
      <c r="J10">
        <f t="shared" si="1"/>
        <v>1.0000000000000001E-5</v>
      </c>
      <c r="K10" s="1">
        <f t="shared" si="2"/>
        <v>214999999.99999997</v>
      </c>
      <c r="L10" s="1">
        <v>214999999.99999997</v>
      </c>
      <c r="M10" s="2">
        <f t="shared" si="3"/>
        <v>1</v>
      </c>
    </row>
    <row r="11" spans="1:14">
      <c r="A11">
        <v>1</v>
      </c>
      <c r="B11">
        <v>10</v>
      </c>
      <c r="C11" t="s">
        <v>16</v>
      </c>
      <c r="D11">
        <f t="shared" si="5"/>
        <v>1</v>
      </c>
      <c r="E11" t="str">
        <f t="shared" si="0"/>
        <v>selb</v>
      </c>
      <c r="F11">
        <f t="shared" si="4"/>
        <v>1</v>
      </c>
      <c r="G11">
        <v>0</v>
      </c>
      <c r="H11">
        <v>42</v>
      </c>
      <c r="I11">
        <v>5</v>
      </c>
      <c r="J11">
        <f t="shared" si="1"/>
        <v>1.0000000000000001E-5</v>
      </c>
      <c r="K11" s="1">
        <f t="shared" si="2"/>
        <v>209999999.99999997</v>
      </c>
      <c r="L11" s="1">
        <v>209999999.99999997</v>
      </c>
      <c r="M11" s="2">
        <f t="shared" si="3"/>
        <v>1</v>
      </c>
      <c r="N11" s="1"/>
    </row>
    <row r="12" spans="1:14">
      <c r="A12">
        <v>1</v>
      </c>
      <c r="B12">
        <v>11</v>
      </c>
      <c r="C12" t="s">
        <v>16</v>
      </c>
      <c r="D12">
        <f t="shared" si="5"/>
        <v>2</v>
      </c>
      <c r="E12" t="str">
        <f t="shared" si="0"/>
        <v>selb</v>
      </c>
      <c r="F12">
        <f t="shared" si="4"/>
        <v>2</v>
      </c>
      <c r="G12">
        <v>0</v>
      </c>
      <c r="H12">
        <v>39</v>
      </c>
      <c r="I12">
        <v>5</v>
      </c>
      <c r="J12">
        <f t="shared" si="1"/>
        <v>1.0000000000000001E-5</v>
      </c>
      <c r="K12" s="1">
        <f t="shared" si="2"/>
        <v>194999999.99999997</v>
      </c>
      <c r="L12" s="1">
        <v>194999999.99999997</v>
      </c>
      <c r="M12" s="2">
        <f t="shared" si="3"/>
        <v>1</v>
      </c>
    </row>
    <row r="13" spans="1:14">
      <c r="A13">
        <v>1</v>
      </c>
      <c r="B13">
        <v>12</v>
      </c>
      <c r="C13" t="s">
        <v>16</v>
      </c>
      <c r="D13">
        <f t="shared" si="5"/>
        <v>3</v>
      </c>
      <c r="E13" t="str">
        <f t="shared" si="0"/>
        <v>selb</v>
      </c>
      <c r="F13">
        <f t="shared" si="4"/>
        <v>3</v>
      </c>
      <c r="G13">
        <v>0</v>
      </c>
      <c r="H13">
        <v>42</v>
      </c>
      <c r="I13">
        <v>5</v>
      </c>
      <c r="J13">
        <f t="shared" si="1"/>
        <v>1.0000000000000001E-5</v>
      </c>
      <c r="K13" s="1">
        <f t="shared" si="2"/>
        <v>209999999.99999997</v>
      </c>
      <c r="L13" s="1">
        <v>209999999.99999997</v>
      </c>
      <c r="M13" s="2">
        <f t="shared" si="3"/>
        <v>1</v>
      </c>
    </row>
    <row r="14" spans="1:14">
      <c r="A14">
        <f t="shared" ref="A14:A21" si="6">A2</f>
        <v>1</v>
      </c>
      <c r="B14">
        <v>13</v>
      </c>
      <c r="C14" t="s">
        <v>17</v>
      </c>
      <c r="D14">
        <f t="shared" si="5"/>
        <v>1</v>
      </c>
      <c r="E14" t="str">
        <f t="shared" si="0"/>
        <v>rpoz</v>
      </c>
      <c r="F14">
        <f t="shared" ref="F14:F45" si="7">F2</f>
        <v>1</v>
      </c>
      <c r="G14">
        <v>0</v>
      </c>
      <c r="H14">
        <v>56</v>
      </c>
      <c r="I14">
        <v>5</v>
      </c>
      <c r="J14">
        <f t="shared" si="1"/>
        <v>1.0000000000000001E-5</v>
      </c>
      <c r="K14" s="1">
        <f t="shared" si="2"/>
        <v>280000000</v>
      </c>
      <c r="L14" s="1">
        <v>280000000</v>
      </c>
      <c r="M14" s="2">
        <f t="shared" si="3"/>
        <v>1</v>
      </c>
      <c r="N14" s="1"/>
    </row>
    <row r="15" spans="1:14">
      <c r="A15">
        <f t="shared" si="6"/>
        <v>1</v>
      </c>
      <c r="B15">
        <v>14</v>
      </c>
      <c r="C15" t="s">
        <v>17</v>
      </c>
      <c r="D15">
        <f t="shared" si="5"/>
        <v>2</v>
      </c>
      <c r="E15" t="str">
        <f t="shared" si="0"/>
        <v>rpoz</v>
      </c>
      <c r="F15">
        <f t="shared" si="7"/>
        <v>2</v>
      </c>
      <c r="G15">
        <v>0</v>
      </c>
      <c r="H15">
        <v>45</v>
      </c>
      <c r="I15">
        <v>5</v>
      </c>
      <c r="J15">
        <f t="shared" si="1"/>
        <v>1.0000000000000001E-5</v>
      </c>
      <c r="K15" s="1">
        <f t="shared" si="2"/>
        <v>224999999.99999997</v>
      </c>
      <c r="L15" s="1">
        <v>224999999.99999997</v>
      </c>
      <c r="M15" s="2">
        <f t="shared" si="3"/>
        <v>1</v>
      </c>
    </row>
    <row r="16" spans="1:14">
      <c r="A16">
        <f t="shared" si="6"/>
        <v>1</v>
      </c>
      <c r="B16">
        <v>15</v>
      </c>
      <c r="C16" t="s">
        <v>17</v>
      </c>
      <c r="D16">
        <f t="shared" si="5"/>
        <v>3</v>
      </c>
      <c r="E16" t="str">
        <f t="shared" si="0"/>
        <v>rpoz</v>
      </c>
      <c r="F16">
        <f t="shared" si="7"/>
        <v>3</v>
      </c>
      <c r="G16">
        <v>0</v>
      </c>
      <c r="H16">
        <v>64</v>
      </c>
      <c r="I16">
        <v>5</v>
      </c>
      <c r="J16">
        <f t="shared" si="1"/>
        <v>1.0000000000000001E-5</v>
      </c>
      <c r="K16" s="1">
        <f t="shared" si="2"/>
        <v>320000000</v>
      </c>
      <c r="L16" s="1">
        <v>320000000</v>
      </c>
      <c r="M16" s="2">
        <f t="shared" si="3"/>
        <v>1</v>
      </c>
    </row>
    <row r="17" spans="1:14">
      <c r="A17">
        <f t="shared" si="6"/>
        <v>1</v>
      </c>
      <c r="B17">
        <v>16</v>
      </c>
      <c r="C17" t="s">
        <v>18</v>
      </c>
      <c r="D17">
        <f t="shared" si="5"/>
        <v>1</v>
      </c>
      <c r="E17" t="str">
        <f t="shared" si="0"/>
        <v>ftsh</v>
      </c>
      <c r="F17">
        <f t="shared" si="7"/>
        <v>1</v>
      </c>
      <c r="G17">
        <v>0</v>
      </c>
      <c r="H17">
        <v>52</v>
      </c>
      <c r="I17">
        <v>5</v>
      </c>
      <c r="J17">
        <f t="shared" si="1"/>
        <v>1.0000000000000001E-5</v>
      </c>
      <c r="K17" s="1">
        <f t="shared" si="2"/>
        <v>259999999.99999997</v>
      </c>
      <c r="L17" s="1">
        <v>259999999.99999997</v>
      </c>
      <c r="M17" s="2">
        <f t="shared" si="3"/>
        <v>1</v>
      </c>
      <c r="N17" s="1"/>
    </row>
    <row r="18" spans="1:14">
      <c r="A18">
        <f t="shared" si="6"/>
        <v>1</v>
      </c>
      <c r="B18">
        <v>17</v>
      </c>
      <c r="C18" t="s">
        <v>18</v>
      </c>
      <c r="D18">
        <f t="shared" si="5"/>
        <v>2</v>
      </c>
      <c r="E18" t="str">
        <f t="shared" si="0"/>
        <v>ftsh</v>
      </c>
      <c r="F18">
        <f t="shared" si="7"/>
        <v>2</v>
      </c>
      <c r="G18">
        <v>0</v>
      </c>
      <c r="H18">
        <v>50</v>
      </c>
      <c r="I18">
        <v>5</v>
      </c>
      <c r="J18">
        <f t="shared" si="1"/>
        <v>1.0000000000000001E-5</v>
      </c>
      <c r="K18" s="1">
        <f t="shared" si="2"/>
        <v>249999999.99999997</v>
      </c>
      <c r="L18" s="1">
        <v>249999999.99999997</v>
      </c>
      <c r="M18" s="2">
        <f t="shared" si="3"/>
        <v>1</v>
      </c>
    </row>
    <row r="19" spans="1:14">
      <c r="A19">
        <f t="shared" si="6"/>
        <v>1</v>
      </c>
      <c r="B19">
        <v>18</v>
      </c>
      <c r="C19" t="s">
        <v>18</v>
      </c>
      <c r="D19">
        <f t="shared" si="5"/>
        <v>3</v>
      </c>
      <c r="E19" t="str">
        <f t="shared" si="0"/>
        <v>ftsh</v>
      </c>
      <c r="F19">
        <f t="shared" si="7"/>
        <v>3</v>
      </c>
      <c r="G19">
        <v>0</v>
      </c>
      <c r="H19">
        <v>47</v>
      </c>
      <c r="I19">
        <v>5</v>
      </c>
      <c r="J19">
        <f t="shared" si="1"/>
        <v>1.0000000000000001E-5</v>
      </c>
      <c r="K19" s="1">
        <f t="shared" si="2"/>
        <v>234999999.99999997</v>
      </c>
      <c r="L19" s="1">
        <v>234999999.99999997</v>
      </c>
      <c r="M19" s="2">
        <f t="shared" si="3"/>
        <v>1</v>
      </c>
    </row>
    <row r="20" spans="1:14">
      <c r="A20">
        <f t="shared" si="6"/>
        <v>1</v>
      </c>
      <c r="B20">
        <v>19</v>
      </c>
      <c r="C20" t="s">
        <v>19</v>
      </c>
      <c r="D20">
        <f t="shared" si="5"/>
        <v>1</v>
      </c>
      <c r="E20" t="str">
        <f t="shared" si="0"/>
        <v>fimE</v>
      </c>
      <c r="F20">
        <f t="shared" si="7"/>
        <v>1</v>
      </c>
      <c r="G20">
        <v>0</v>
      </c>
      <c r="H20">
        <v>46</v>
      </c>
      <c r="I20">
        <v>5</v>
      </c>
      <c r="J20">
        <f t="shared" si="1"/>
        <v>1.0000000000000001E-5</v>
      </c>
      <c r="K20" s="1">
        <f t="shared" si="2"/>
        <v>229999999.99999997</v>
      </c>
      <c r="L20" s="1">
        <v>229999999.99999997</v>
      </c>
      <c r="M20" s="2">
        <f t="shared" si="3"/>
        <v>1</v>
      </c>
      <c r="N20" s="1"/>
    </row>
    <row r="21" spans="1:14">
      <c r="A21">
        <f t="shared" si="6"/>
        <v>1</v>
      </c>
      <c r="B21">
        <v>20</v>
      </c>
      <c r="C21" t="s">
        <v>19</v>
      </c>
      <c r="D21">
        <f t="shared" si="5"/>
        <v>2</v>
      </c>
      <c r="E21" t="str">
        <f t="shared" si="0"/>
        <v>fimE</v>
      </c>
      <c r="F21">
        <f t="shared" si="7"/>
        <v>2</v>
      </c>
      <c r="G21">
        <v>0</v>
      </c>
      <c r="H21">
        <v>41</v>
      </c>
      <c r="I21">
        <v>5</v>
      </c>
      <c r="J21">
        <f t="shared" si="1"/>
        <v>1.0000000000000001E-5</v>
      </c>
      <c r="K21" s="1">
        <f t="shared" si="2"/>
        <v>204999999.99999997</v>
      </c>
      <c r="L21" s="1">
        <v>204999999.99999997</v>
      </c>
      <c r="M21" s="2">
        <f t="shared" si="3"/>
        <v>1</v>
      </c>
    </row>
    <row r="22" spans="1:14">
      <c r="A22">
        <v>1</v>
      </c>
      <c r="B22">
        <v>21</v>
      </c>
      <c r="C22" t="s">
        <v>19</v>
      </c>
      <c r="D22">
        <f t="shared" si="5"/>
        <v>3</v>
      </c>
      <c r="E22" t="str">
        <f t="shared" si="0"/>
        <v>fimE</v>
      </c>
      <c r="F22">
        <f t="shared" si="7"/>
        <v>3</v>
      </c>
      <c r="G22">
        <v>0</v>
      </c>
      <c r="H22">
        <v>44</v>
      </c>
      <c r="I22">
        <v>5</v>
      </c>
      <c r="J22">
        <f t="shared" si="1"/>
        <v>1.0000000000000001E-5</v>
      </c>
      <c r="K22" s="1">
        <f t="shared" si="2"/>
        <v>219999999.99999997</v>
      </c>
      <c r="L22" s="1">
        <v>219999999.99999997</v>
      </c>
      <c r="M22" s="2">
        <f t="shared" si="3"/>
        <v>1</v>
      </c>
    </row>
    <row r="23" spans="1:14">
      <c r="A23">
        <v>1</v>
      </c>
      <c r="B23">
        <v>22</v>
      </c>
      <c r="C23" t="s">
        <v>20</v>
      </c>
      <c r="D23">
        <f t="shared" si="5"/>
        <v>1</v>
      </c>
      <c r="E23" t="str">
        <f t="shared" si="0"/>
        <v>wt</v>
      </c>
      <c r="F23">
        <f t="shared" si="7"/>
        <v>1</v>
      </c>
      <c r="G23">
        <v>0</v>
      </c>
      <c r="H23">
        <v>48</v>
      </c>
      <c r="I23">
        <v>5</v>
      </c>
      <c r="J23">
        <f t="shared" si="1"/>
        <v>1.0000000000000001E-5</v>
      </c>
      <c r="K23" s="1">
        <f t="shared" si="2"/>
        <v>239999999.99999997</v>
      </c>
      <c r="L23" s="1">
        <v>239999999.99999997</v>
      </c>
      <c r="M23" s="2">
        <f t="shared" si="3"/>
        <v>1</v>
      </c>
      <c r="N23" s="1"/>
    </row>
    <row r="24" spans="1:14">
      <c r="A24">
        <v>1</v>
      </c>
      <c r="B24">
        <v>23</v>
      </c>
      <c r="C24" t="s">
        <v>20</v>
      </c>
      <c r="D24">
        <f t="shared" si="5"/>
        <v>2</v>
      </c>
      <c r="E24" t="str">
        <f t="shared" si="0"/>
        <v>wt</v>
      </c>
      <c r="F24">
        <f t="shared" si="7"/>
        <v>2</v>
      </c>
      <c r="G24">
        <v>0</v>
      </c>
      <c r="H24">
        <v>50</v>
      </c>
      <c r="I24">
        <v>5</v>
      </c>
      <c r="J24">
        <f t="shared" si="1"/>
        <v>1.0000000000000001E-5</v>
      </c>
      <c r="K24" s="1">
        <f t="shared" si="2"/>
        <v>249999999.99999997</v>
      </c>
      <c r="L24" s="1">
        <v>249999999.99999997</v>
      </c>
      <c r="M24" s="2">
        <f t="shared" si="3"/>
        <v>1</v>
      </c>
    </row>
    <row r="25" spans="1:14">
      <c r="A25">
        <v>1</v>
      </c>
      <c r="B25">
        <v>24</v>
      </c>
      <c r="C25" t="s">
        <v>20</v>
      </c>
      <c r="D25">
        <f t="shared" si="5"/>
        <v>3</v>
      </c>
      <c r="E25" t="str">
        <f t="shared" si="0"/>
        <v>wt</v>
      </c>
      <c r="F25">
        <f t="shared" si="7"/>
        <v>3</v>
      </c>
      <c r="G25">
        <v>0</v>
      </c>
      <c r="H25">
        <v>34</v>
      </c>
      <c r="I25">
        <v>5</v>
      </c>
      <c r="J25">
        <f t="shared" si="1"/>
        <v>1.0000000000000001E-5</v>
      </c>
      <c r="K25" s="1">
        <f t="shared" si="2"/>
        <v>170000000</v>
      </c>
      <c r="L25" s="1">
        <v>170000000</v>
      </c>
      <c r="M25" s="2">
        <f t="shared" si="3"/>
        <v>1</v>
      </c>
    </row>
    <row r="26" spans="1:14">
      <c r="A26">
        <v>1</v>
      </c>
      <c r="B26">
        <f t="shared" ref="B26:C45" si="8">B2</f>
        <v>1</v>
      </c>
      <c r="C26" t="str">
        <f t="shared" si="8"/>
        <v>gata</v>
      </c>
      <c r="D26">
        <f t="shared" si="5"/>
        <v>1</v>
      </c>
      <c r="E26" t="str">
        <f t="shared" si="0"/>
        <v>gata</v>
      </c>
      <c r="F26">
        <f t="shared" si="7"/>
        <v>1</v>
      </c>
      <c r="G26">
        <v>1</v>
      </c>
      <c r="H26">
        <v>105</v>
      </c>
      <c r="I26">
        <v>1</v>
      </c>
      <c r="J26">
        <f t="shared" si="1"/>
        <v>0.1</v>
      </c>
      <c r="K26" s="1">
        <f t="shared" si="2"/>
        <v>52500</v>
      </c>
      <c r="L26" s="1">
        <f>L2</f>
        <v>259999999.99999997</v>
      </c>
      <c r="M26" s="2">
        <f>K26/L26</f>
        <v>2.0192307692307694E-4</v>
      </c>
    </row>
    <row r="27" spans="1:14">
      <c r="A27">
        <v>1</v>
      </c>
      <c r="B27">
        <f t="shared" si="8"/>
        <v>2</v>
      </c>
      <c r="C27" t="str">
        <f t="shared" si="8"/>
        <v>gata</v>
      </c>
      <c r="D27">
        <f t="shared" si="5"/>
        <v>2</v>
      </c>
      <c r="E27" t="str">
        <f t="shared" si="0"/>
        <v>gata</v>
      </c>
      <c r="F27">
        <f t="shared" si="7"/>
        <v>2</v>
      </c>
      <c r="G27">
        <v>1</v>
      </c>
      <c r="H27">
        <v>108</v>
      </c>
      <c r="I27">
        <v>1</v>
      </c>
      <c r="J27">
        <f t="shared" si="1"/>
        <v>0.1</v>
      </c>
      <c r="K27" s="1">
        <f t="shared" si="2"/>
        <v>54000</v>
      </c>
      <c r="L27" s="1">
        <f t="shared" ref="L27:L90" si="9">L3</f>
        <v>209999999.99999997</v>
      </c>
      <c r="M27" s="2">
        <f t="shared" si="3"/>
        <v>2.5714285714285721E-4</v>
      </c>
    </row>
    <row r="28" spans="1:14">
      <c r="A28">
        <v>1</v>
      </c>
      <c r="B28">
        <f t="shared" si="8"/>
        <v>3</v>
      </c>
      <c r="C28" t="str">
        <f t="shared" si="8"/>
        <v>gata</v>
      </c>
      <c r="D28">
        <f t="shared" si="5"/>
        <v>3</v>
      </c>
      <c r="E28" t="str">
        <f t="shared" si="0"/>
        <v>gata</v>
      </c>
      <c r="F28">
        <f t="shared" si="7"/>
        <v>3</v>
      </c>
      <c r="G28">
        <v>1</v>
      </c>
      <c r="H28">
        <v>111</v>
      </c>
      <c r="I28">
        <v>1</v>
      </c>
      <c r="J28">
        <f t="shared" si="1"/>
        <v>0.1</v>
      </c>
      <c r="K28" s="1">
        <f t="shared" si="2"/>
        <v>55500</v>
      </c>
      <c r="L28" s="1">
        <f t="shared" si="9"/>
        <v>224999999.99999997</v>
      </c>
      <c r="M28" s="2">
        <f t="shared" si="3"/>
        <v>2.4666666666666668E-4</v>
      </c>
    </row>
    <row r="29" spans="1:14">
      <c r="A29">
        <v>1</v>
      </c>
      <c r="B29">
        <f t="shared" si="8"/>
        <v>4</v>
      </c>
      <c r="C29" t="str">
        <f t="shared" si="8"/>
        <v>glvc</v>
      </c>
      <c r="D29">
        <f t="shared" si="5"/>
        <v>1</v>
      </c>
      <c r="E29" t="str">
        <f t="shared" si="0"/>
        <v>glvc</v>
      </c>
      <c r="F29">
        <f t="shared" si="7"/>
        <v>1</v>
      </c>
      <c r="G29">
        <v>1</v>
      </c>
      <c r="H29">
        <v>118</v>
      </c>
      <c r="I29">
        <v>1</v>
      </c>
      <c r="J29">
        <f t="shared" si="1"/>
        <v>0.1</v>
      </c>
      <c r="K29" s="1">
        <f t="shared" si="2"/>
        <v>59000</v>
      </c>
      <c r="L29" s="1">
        <f t="shared" si="9"/>
        <v>270000000</v>
      </c>
      <c r="M29" s="2">
        <f t="shared" si="3"/>
        <v>2.1851851851851852E-4</v>
      </c>
    </row>
    <row r="30" spans="1:14">
      <c r="A30">
        <v>1</v>
      </c>
      <c r="B30">
        <f t="shared" si="8"/>
        <v>5</v>
      </c>
      <c r="C30" t="str">
        <f t="shared" si="8"/>
        <v>glvc</v>
      </c>
      <c r="D30">
        <f t="shared" si="5"/>
        <v>2</v>
      </c>
      <c r="E30" t="str">
        <f t="shared" si="0"/>
        <v>glvc</v>
      </c>
      <c r="F30">
        <f t="shared" si="7"/>
        <v>2</v>
      </c>
      <c r="G30">
        <v>1</v>
      </c>
      <c r="H30">
        <v>109</v>
      </c>
      <c r="I30">
        <v>1</v>
      </c>
      <c r="J30">
        <f t="shared" si="1"/>
        <v>0.1</v>
      </c>
      <c r="K30" s="1">
        <f t="shared" si="2"/>
        <v>54500</v>
      </c>
      <c r="L30" s="1">
        <f t="shared" si="9"/>
        <v>285000000</v>
      </c>
      <c r="M30" s="2">
        <f t="shared" si="3"/>
        <v>1.9122807017543859E-4</v>
      </c>
    </row>
    <row r="31" spans="1:14">
      <c r="A31">
        <v>1</v>
      </c>
      <c r="B31">
        <f t="shared" si="8"/>
        <v>6</v>
      </c>
      <c r="C31" t="str">
        <f t="shared" si="8"/>
        <v>glvc</v>
      </c>
      <c r="D31">
        <f t="shared" si="5"/>
        <v>3</v>
      </c>
      <c r="E31" t="str">
        <f t="shared" si="0"/>
        <v>glvc</v>
      </c>
      <c r="F31">
        <f t="shared" si="7"/>
        <v>3</v>
      </c>
      <c r="G31">
        <v>1</v>
      </c>
      <c r="H31">
        <v>100</v>
      </c>
      <c r="I31">
        <v>1</v>
      </c>
      <c r="J31">
        <f t="shared" si="1"/>
        <v>0.1</v>
      </c>
      <c r="K31" s="1">
        <f t="shared" si="2"/>
        <v>50000</v>
      </c>
      <c r="L31" s="1">
        <f t="shared" si="9"/>
        <v>270000000</v>
      </c>
      <c r="M31" s="2">
        <f t="shared" si="3"/>
        <v>1.8518518518518518E-4</v>
      </c>
    </row>
    <row r="32" spans="1:14">
      <c r="A32">
        <v>1</v>
      </c>
      <c r="B32">
        <f t="shared" si="8"/>
        <v>7</v>
      </c>
      <c r="C32" t="str">
        <f t="shared" si="8"/>
        <v>hipa</v>
      </c>
      <c r="D32">
        <f t="shared" si="5"/>
        <v>1</v>
      </c>
      <c r="E32" t="str">
        <f t="shared" si="0"/>
        <v>hipa</v>
      </c>
      <c r="F32">
        <f t="shared" si="7"/>
        <v>1</v>
      </c>
      <c r="G32">
        <v>1</v>
      </c>
      <c r="H32">
        <v>42</v>
      </c>
      <c r="I32">
        <v>2</v>
      </c>
      <c r="J32">
        <f t="shared" si="1"/>
        <v>0.01</v>
      </c>
      <c r="K32" s="1">
        <f t="shared" si="2"/>
        <v>210000</v>
      </c>
      <c r="L32" s="1">
        <f t="shared" si="9"/>
        <v>150000000</v>
      </c>
      <c r="M32" s="2">
        <f t="shared" si="3"/>
        <v>1.4E-3</v>
      </c>
    </row>
    <row r="33" spans="1:13">
      <c r="A33">
        <v>1</v>
      </c>
      <c r="B33">
        <f t="shared" si="8"/>
        <v>8</v>
      </c>
      <c r="C33" t="str">
        <f t="shared" si="8"/>
        <v>hipa</v>
      </c>
      <c r="D33">
        <f t="shared" si="5"/>
        <v>2</v>
      </c>
      <c r="E33" t="str">
        <f t="shared" si="0"/>
        <v>hipa</v>
      </c>
      <c r="F33">
        <f t="shared" si="7"/>
        <v>2</v>
      </c>
      <c r="G33">
        <v>1</v>
      </c>
      <c r="H33">
        <v>47</v>
      </c>
      <c r="I33">
        <v>2</v>
      </c>
      <c r="J33">
        <f t="shared" si="1"/>
        <v>0.01</v>
      </c>
      <c r="K33" s="1">
        <f t="shared" si="2"/>
        <v>235000</v>
      </c>
      <c r="L33" s="1">
        <f t="shared" si="9"/>
        <v>199999999.99999997</v>
      </c>
      <c r="M33" s="2">
        <f t="shared" si="3"/>
        <v>1.1750000000000003E-3</v>
      </c>
    </row>
    <row r="34" spans="1:13">
      <c r="A34">
        <v>1</v>
      </c>
      <c r="B34">
        <f t="shared" si="8"/>
        <v>9</v>
      </c>
      <c r="C34" t="str">
        <f t="shared" si="8"/>
        <v>hipa</v>
      </c>
      <c r="D34">
        <f t="shared" si="5"/>
        <v>3</v>
      </c>
      <c r="E34" t="str">
        <f t="shared" si="0"/>
        <v>hipa</v>
      </c>
      <c r="F34">
        <f t="shared" si="7"/>
        <v>3</v>
      </c>
      <c r="G34">
        <v>1</v>
      </c>
      <c r="H34">
        <v>53</v>
      </c>
      <c r="I34">
        <v>2</v>
      </c>
      <c r="J34">
        <f t="shared" si="1"/>
        <v>0.01</v>
      </c>
      <c r="K34" s="1">
        <f t="shared" si="2"/>
        <v>265000</v>
      </c>
      <c r="L34" s="1">
        <f t="shared" si="9"/>
        <v>214999999.99999997</v>
      </c>
      <c r="M34" s="2">
        <f t="shared" si="3"/>
        <v>1.232558139534884E-3</v>
      </c>
    </row>
    <row r="35" spans="1:13">
      <c r="A35">
        <v>1</v>
      </c>
      <c r="B35">
        <f t="shared" si="8"/>
        <v>10</v>
      </c>
      <c r="C35" t="str">
        <f t="shared" si="8"/>
        <v>selb</v>
      </c>
      <c r="D35">
        <f t="shared" si="5"/>
        <v>1</v>
      </c>
      <c r="E35" t="str">
        <f t="shared" si="0"/>
        <v>selb</v>
      </c>
      <c r="F35">
        <f t="shared" si="7"/>
        <v>1</v>
      </c>
      <c r="G35">
        <v>1</v>
      </c>
      <c r="H35">
        <v>81</v>
      </c>
      <c r="I35">
        <v>1</v>
      </c>
      <c r="J35">
        <f t="shared" si="1"/>
        <v>0.1</v>
      </c>
      <c r="K35" s="1">
        <f t="shared" si="2"/>
        <v>40500</v>
      </c>
      <c r="L35" s="1">
        <f t="shared" si="9"/>
        <v>209999999.99999997</v>
      </c>
      <c r="M35" s="2">
        <f t="shared" si="3"/>
        <v>1.9285714285714289E-4</v>
      </c>
    </row>
    <row r="36" spans="1:13">
      <c r="A36">
        <v>1</v>
      </c>
      <c r="B36">
        <f t="shared" si="8"/>
        <v>11</v>
      </c>
      <c r="C36" t="str">
        <f t="shared" si="8"/>
        <v>selb</v>
      </c>
      <c r="D36">
        <f t="shared" si="5"/>
        <v>2</v>
      </c>
      <c r="E36" t="str">
        <f t="shared" si="0"/>
        <v>selb</v>
      </c>
      <c r="F36">
        <f t="shared" si="7"/>
        <v>2</v>
      </c>
      <c r="G36">
        <v>1</v>
      </c>
      <c r="H36">
        <v>82</v>
      </c>
      <c r="I36">
        <v>1</v>
      </c>
      <c r="J36">
        <f t="shared" si="1"/>
        <v>0.1</v>
      </c>
      <c r="K36" s="1">
        <f t="shared" si="2"/>
        <v>41000</v>
      </c>
      <c r="L36" s="1">
        <f t="shared" si="9"/>
        <v>194999999.99999997</v>
      </c>
      <c r="M36" s="2">
        <f t="shared" si="3"/>
        <v>2.1025641025641028E-4</v>
      </c>
    </row>
    <row r="37" spans="1:13">
      <c r="A37">
        <v>1</v>
      </c>
      <c r="B37">
        <f t="shared" si="8"/>
        <v>12</v>
      </c>
      <c r="C37" t="str">
        <f t="shared" si="8"/>
        <v>selb</v>
      </c>
      <c r="D37">
        <f t="shared" si="5"/>
        <v>3</v>
      </c>
      <c r="E37" t="str">
        <f t="shared" si="0"/>
        <v>selb</v>
      </c>
      <c r="F37">
        <f t="shared" si="7"/>
        <v>3</v>
      </c>
      <c r="G37">
        <v>1</v>
      </c>
      <c r="H37">
        <v>82</v>
      </c>
      <c r="I37">
        <v>1</v>
      </c>
      <c r="J37">
        <f t="shared" si="1"/>
        <v>0.1</v>
      </c>
      <c r="K37" s="1">
        <f t="shared" si="2"/>
        <v>41000</v>
      </c>
      <c r="L37" s="1">
        <f t="shared" si="9"/>
        <v>209999999.99999997</v>
      </c>
      <c r="M37" s="2">
        <f t="shared" si="3"/>
        <v>1.9523809523809527E-4</v>
      </c>
    </row>
    <row r="38" spans="1:13">
      <c r="A38">
        <v>1</v>
      </c>
      <c r="B38">
        <f t="shared" si="8"/>
        <v>13</v>
      </c>
      <c r="C38" t="str">
        <f t="shared" si="8"/>
        <v>rpoz</v>
      </c>
      <c r="D38">
        <f t="shared" si="5"/>
        <v>1</v>
      </c>
      <c r="E38" t="str">
        <f t="shared" si="0"/>
        <v>rpoz</v>
      </c>
      <c r="F38">
        <f t="shared" si="7"/>
        <v>1</v>
      </c>
      <c r="G38">
        <v>1</v>
      </c>
      <c r="H38">
        <v>112</v>
      </c>
      <c r="I38">
        <v>1</v>
      </c>
      <c r="J38">
        <f t="shared" si="1"/>
        <v>0.1</v>
      </c>
      <c r="K38" s="1">
        <f t="shared" si="2"/>
        <v>56000</v>
      </c>
      <c r="L38" s="1">
        <f t="shared" si="9"/>
        <v>280000000</v>
      </c>
      <c r="M38" s="2">
        <f t="shared" si="3"/>
        <v>2.0000000000000001E-4</v>
      </c>
    </row>
    <row r="39" spans="1:13">
      <c r="A39">
        <v>1</v>
      </c>
      <c r="B39">
        <f t="shared" si="8"/>
        <v>14</v>
      </c>
      <c r="C39" t="str">
        <f t="shared" si="8"/>
        <v>rpoz</v>
      </c>
      <c r="D39">
        <f t="shared" si="5"/>
        <v>2</v>
      </c>
      <c r="E39" t="str">
        <f t="shared" si="0"/>
        <v>rpoz</v>
      </c>
      <c r="F39">
        <f t="shared" si="7"/>
        <v>2</v>
      </c>
      <c r="G39">
        <v>1</v>
      </c>
      <c r="H39">
        <v>124</v>
      </c>
      <c r="I39">
        <v>1</v>
      </c>
      <c r="J39">
        <f t="shared" si="1"/>
        <v>0.1</v>
      </c>
      <c r="K39" s="1">
        <f t="shared" si="2"/>
        <v>62000</v>
      </c>
      <c r="L39" s="1">
        <f t="shared" si="9"/>
        <v>224999999.99999997</v>
      </c>
      <c r="M39" s="2">
        <f t="shared" si="3"/>
        <v>2.7555555555555558E-4</v>
      </c>
    </row>
    <row r="40" spans="1:13">
      <c r="A40">
        <v>1</v>
      </c>
      <c r="B40">
        <f t="shared" si="8"/>
        <v>15</v>
      </c>
      <c r="C40" t="str">
        <f t="shared" si="8"/>
        <v>rpoz</v>
      </c>
      <c r="D40">
        <f t="shared" si="5"/>
        <v>3</v>
      </c>
      <c r="E40" t="str">
        <f t="shared" si="0"/>
        <v>rpoz</v>
      </c>
      <c r="F40">
        <f t="shared" si="7"/>
        <v>3</v>
      </c>
      <c r="G40">
        <v>1</v>
      </c>
      <c r="H40">
        <v>125</v>
      </c>
      <c r="I40">
        <v>1</v>
      </c>
      <c r="J40">
        <f t="shared" si="1"/>
        <v>0.1</v>
      </c>
      <c r="K40" s="1">
        <f t="shared" si="2"/>
        <v>62500</v>
      </c>
      <c r="L40" s="1">
        <f t="shared" si="9"/>
        <v>320000000</v>
      </c>
      <c r="M40" s="2">
        <f t="shared" si="3"/>
        <v>1.9531250000000001E-4</v>
      </c>
    </row>
    <row r="41" spans="1:13">
      <c r="A41">
        <v>1</v>
      </c>
      <c r="B41">
        <f t="shared" si="8"/>
        <v>16</v>
      </c>
      <c r="C41" t="str">
        <f t="shared" si="8"/>
        <v>ftsh</v>
      </c>
      <c r="D41">
        <f t="shared" si="5"/>
        <v>1</v>
      </c>
      <c r="E41" t="str">
        <f t="shared" si="0"/>
        <v>ftsh</v>
      </c>
      <c r="F41">
        <f t="shared" si="7"/>
        <v>1</v>
      </c>
      <c r="G41">
        <v>1</v>
      </c>
      <c r="H41">
        <v>104</v>
      </c>
      <c r="I41">
        <v>1</v>
      </c>
      <c r="J41">
        <f t="shared" si="1"/>
        <v>0.1</v>
      </c>
      <c r="K41" s="1">
        <f t="shared" si="2"/>
        <v>52000</v>
      </c>
      <c r="L41" s="1">
        <f t="shared" si="9"/>
        <v>259999999.99999997</v>
      </c>
      <c r="M41" s="2">
        <f t="shared" si="3"/>
        <v>2.0000000000000001E-4</v>
      </c>
    </row>
    <row r="42" spans="1:13">
      <c r="A42">
        <v>1</v>
      </c>
      <c r="B42">
        <f t="shared" si="8"/>
        <v>17</v>
      </c>
      <c r="C42" t="str">
        <f t="shared" si="8"/>
        <v>ftsh</v>
      </c>
      <c r="D42">
        <f t="shared" si="5"/>
        <v>2</v>
      </c>
      <c r="E42" t="str">
        <f t="shared" si="0"/>
        <v>ftsh</v>
      </c>
      <c r="F42">
        <f t="shared" si="7"/>
        <v>2</v>
      </c>
      <c r="G42">
        <v>1</v>
      </c>
      <c r="H42">
        <v>95</v>
      </c>
      <c r="I42">
        <v>1</v>
      </c>
      <c r="J42">
        <f t="shared" si="1"/>
        <v>0.1</v>
      </c>
      <c r="K42" s="1">
        <f t="shared" si="2"/>
        <v>47500</v>
      </c>
      <c r="L42" s="1">
        <f t="shared" si="9"/>
        <v>249999999.99999997</v>
      </c>
      <c r="M42" s="2">
        <f t="shared" si="3"/>
        <v>1.9000000000000001E-4</v>
      </c>
    </row>
    <row r="43" spans="1:13">
      <c r="A43">
        <v>1</v>
      </c>
      <c r="B43">
        <f t="shared" si="8"/>
        <v>18</v>
      </c>
      <c r="C43" t="str">
        <f t="shared" si="8"/>
        <v>ftsh</v>
      </c>
      <c r="D43">
        <f t="shared" si="5"/>
        <v>3</v>
      </c>
      <c r="E43" t="str">
        <f t="shared" si="0"/>
        <v>ftsh</v>
      </c>
      <c r="F43">
        <f t="shared" si="7"/>
        <v>3</v>
      </c>
      <c r="G43">
        <v>1</v>
      </c>
      <c r="H43">
        <v>101</v>
      </c>
      <c r="I43">
        <v>1</v>
      </c>
      <c r="J43">
        <f t="shared" si="1"/>
        <v>0.1</v>
      </c>
      <c r="K43" s="1">
        <f t="shared" si="2"/>
        <v>50500</v>
      </c>
      <c r="L43" s="1">
        <f t="shared" si="9"/>
        <v>234999999.99999997</v>
      </c>
      <c r="M43" s="2">
        <f t="shared" si="3"/>
        <v>2.1489361702127662E-4</v>
      </c>
    </row>
    <row r="44" spans="1:13">
      <c r="A44">
        <v>1</v>
      </c>
      <c r="B44">
        <f t="shared" si="8"/>
        <v>19</v>
      </c>
      <c r="C44" t="str">
        <f t="shared" si="8"/>
        <v>fimE</v>
      </c>
      <c r="D44">
        <f t="shared" si="5"/>
        <v>1</v>
      </c>
      <c r="E44" t="str">
        <f t="shared" si="0"/>
        <v>fimE</v>
      </c>
      <c r="F44">
        <f t="shared" si="7"/>
        <v>1</v>
      </c>
      <c r="G44">
        <v>1</v>
      </c>
      <c r="H44">
        <v>22</v>
      </c>
      <c r="I44">
        <v>2</v>
      </c>
      <c r="J44">
        <f t="shared" si="1"/>
        <v>0.01</v>
      </c>
      <c r="K44" s="1">
        <f t="shared" si="2"/>
        <v>110000</v>
      </c>
      <c r="L44" s="1">
        <f t="shared" si="9"/>
        <v>229999999.99999997</v>
      </c>
      <c r="M44" s="2">
        <f t="shared" si="3"/>
        <v>4.7826086956521746E-4</v>
      </c>
    </row>
    <row r="45" spans="1:13">
      <c r="A45">
        <v>1</v>
      </c>
      <c r="B45">
        <f t="shared" si="8"/>
        <v>20</v>
      </c>
      <c r="C45" t="str">
        <f t="shared" si="8"/>
        <v>fimE</v>
      </c>
      <c r="D45">
        <f t="shared" si="5"/>
        <v>2</v>
      </c>
      <c r="E45" t="str">
        <f t="shared" si="0"/>
        <v>fimE</v>
      </c>
      <c r="F45">
        <f t="shared" si="7"/>
        <v>2</v>
      </c>
      <c r="G45">
        <v>1</v>
      </c>
      <c r="H45">
        <v>19</v>
      </c>
      <c r="I45">
        <v>2</v>
      </c>
      <c r="J45">
        <f t="shared" si="1"/>
        <v>0.01</v>
      </c>
      <c r="K45" s="1">
        <f t="shared" si="2"/>
        <v>95000</v>
      </c>
      <c r="L45" s="1">
        <f t="shared" si="9"/>
        <v>204999999.99999997</v>
      </c>
      <c r="M45" s="2">
        <f t="shared" si="3"/>
        <v>4.6341463414634155E-4</v>
      </c>
    </row>
    <row r="46" spans="1:13">
      <c r="A46">
        <v>1</v>
      </c>
      <c r="B46">
        <f t="shared" ref="B46:C65" si="10">B22</f>
        <v>21</v>
      </c>
      <c r="C46" t="str">
        <f t="shared" si="10"/>
        <v>fimE</v>
      </c>
      <c r="D46">
        <f t="shared" si="5"/>
        <v>3</v>
      </c>
      <c r="E46" t="str">
        <f t="shared" si="0"/>
        <v>fimE</v>
      </c>
      <c r="F46">
        <f t="shared" ref="F46:F64" si="11">F34</f>
        <v>3</v>
      </c>
      <c r="G46">
        <v>1</v>
      </c>
      <c r="H46">
        <v>14</v>
      </c>
      <c r="I46">
        <v>2</v>
      </c>
      <c r="J46">
        <f t="shared" si="1"/>
        <v>0.01</v>
      </c>
      <c r="K46" s="1">
        <f t="shared" si="2"/>
        <v>70000</v>
      </c>
      <c r="L46" s="1">
        <f t="shared" si="9"/>
        <v>219999999.99999997</v>
      </c>
      <c r="M46" s="2">
        <f t="shared" si="3"/>
        <v>3.181818181818182E-4</v>
      </c>
    </row>
    <row r="47" spans="1:13">
      <c r="A47">
        <v>1</v>
      </c>
      <c r="B47">
        <f t="shared" si="10"/>
        <v>22</v>
      </c>
      <c r="C47" t="str">
        <f t="shared" si="10"/>
        <v>wt</v>
      </c>
      <c r="D47">
        <f t="shared" si="5"/>
        <v>1</v>
      </c>
      <c r="E47" t="str">
        <f t="shared" si="0"/>
        <v>wt</v>
      </c>
      <c r="F47">
        <f t="shared" si="11"/>
        <v>1</v>
      </c>
      <c r="G47">
        <v>1</v>
      </c>
      <c r="H47">
        <v>76</v>
      </c>
      <c r="I47">
        <v>1</v>
      </c>
      <c r="J47">
        <f t="shared" si="1"/>
        <v>0.1</v>
      </c>
      <c r="K47" s="1">
        <f t="shared" si="2"/>
        <v>38000</v>
      </c>
      <c r="L47" s="1">
        <f t="shared" si="9"/>
        <v>239999999.99999997</v>
      </c>
      <c r="M47" s="2">
        <f t="shared" si="3"/>
        <v>1.5833333333333335E-4</v>
      </c>
    </row>
    <row r="48" spans="1:13">
      <c r="A48">
        <v>1</v>
      </c>
      <c r="B48">
        <f t="shared" si="10"/>
        <v>23</v>
      </c>
      <c r="C48" t="str">
        <f t="shared" si="10"/>
        <v>wt</v>
      </c>
      <c r="D48">
        <f t="shared" si="5"/>
        <v>2</v>
      </c>
      <c r="E48" t="str">
        <f t="shared" si="0"/>
        <v>wt</v>
      </c>
      <c r="F48">
        <f t="shared" si="11"/>
        <v>2</v>
      </c>
      <c r="G48">
        <v>1</v>
      </c>
      <c r="H48">
        <v>81</v>
      </c>
      <c r="I48">
        <v>1</v>
      </c>
      <c r="J48">
        <f t="shared" si="1"/>
        <v>0.1</v>
      </c>
      <c r="K48" s="1">
        <f t="shared" si="2"/>
        <v>40500</v>
      </c>
      <c r="L48" s="1">
        <f t="shared" si="9"/>
        <v>249999999.99999997</v>
      </c>
      <c r="M48" s="2">
        <f t="shared" si="3"/>
        <v>1.6200000000000001E-4</v>
      </c>
    </row>
    <row r="49" spans="1:13">
      <c r="A49">
        <v>1</v>
      </c>
      <c r="B49">
        <f t="shared" si="10"/>
        <v>24</v>
      </c>
      <c r="C49" t="str">
        <f t="shared" si="10"/>
        <v>wt</v>
      </c>
      <c r="D49">
        <f t="shared" si="5"/>
        <v>3</v>
      </c>
      <c r="E49" t="str">
        <f t="shared" si="0"/>
        <v>wt</v>
      </c>
      <c r="F49">
        <f t="shared" si="11"/>
        <v>3</v>
      </c>
      <c r="G49">
        <v>1</v>
      </c>
      <c r="H49">
        <v>79</v>
      </c>
      <c r="I49">
        <v>1</v>
      </c>
      <c r="J49">
        <f t="shared" si="1"/>
        <v>0.1</v>
      </c>
      <c r="K49" s="1">
        <f t="shared" si="2"/>
        <v>39500</v>
      </c>
      <c r="L49" s="1">
        <f t="shared" si="9"/>
        <v>170000000</v>
      </c>
      <c r="M49" s="2">
        <f t="shared" si="3"/>
        <v>2.3235294117647059E-4</v>
      </c>
    </row>
    <row r="50" spans="1:13">
      <c r="A50">
        <v>1</v>
      </c>
      <c r="B50">
        <f t="shared" si="10"/>
        <v>1</v>
      </c>
      <c r="C50" t="str">
        <f t="shared" si="10"/>
        <v>gata</v>
      </c>
      <c r="D50">
        <f t="shared" si="5"/>
        <v>1</v>
      </c>
      <c r="E50" t="str">
        <f t="shared" si="0"/>
        <v>gata</v>
      </c>
      <c r="F50">
        <f t="shared" si="11"/>
        <v>1</v>
      </c>
      <c r="G50">
        <v>2</v>
      </c>
      <c r="H50">
        <v>95</v>
      </c>
      <c r="I50">
        <v>0</v>
      </c>
      <c r="J50">
        <f t="shared" si="1"/>
        <v>1</v>
      </c>
      <c r="K50" s="1">
        <f t="shared" si="2"/>
        <v>4750</v>
      </c>
      <c r="L50" s="1">
        <f t="shared" si="9"/>
        <v>259999999.99999997</v>
      </c>
      <c r="M50" s="2">
        <f t="shared" si="3"/>
        <v>1.8269230769230772E-5</v>
      </c>
    </row>
    <row r="51" spans="1:13">
      <c r="A51">
        <v>1</v>
      </c>
      <c r="B51">
        <f t="shared" si="10"/>
        <v>2</v>
      </c>
      <c r="C51" t="str">
        <f t="shared" si="10"/>
        <v>gata</v>
      </c>
      <c r="D51">
        <f t="shared" si="5"/>
        <v>2</v>
      </c>
      <c r="E51" t="str">
        <f t="shared" si="0"/>
        <v>gata</v>
      </c>
      <c r="F51">
        <f t="shared" si="11"/>
        <v>2</v>
      </c>
      <c r="G51">
        <v>2</v>
      </c>
      <c r="H51">
        <v>102</v>
      </c>
      <c r="I51">
        <v>0</v>
      </c>
      <c r="J51">
        <f t="shared" si="1"/>
        <v>1</v>
      </c>
      <c r="K51" s="1">
        <f t="shared" si="2"/>
        <v>5100</v>
      </c>
      <c r="L51" s="1">
        <f t="shared" si="9"/>
        <v>209999999.99999997</v>
      </c>
      <c r="M51" s="2">
        <f t="shared" si="3"/>
        <v>2.4285714285714288E-5</v>
      </c>
    </row>
    <row r="52" spans="1:13">
      <c r="A52">
        <v>1</v>
      </c>
      <c r="B52">
        <f t="shared" si="10"/>
        <v>3</v>
      </c>
      <c r="C52" t="str">
        <f t="shared" si="10"/>
        <v>gata</v>
      </c>
      <c r="D52">
        <f t="shared" si="5"/>
        <v>3</v>
      </c>
      <c r="E52" t="str">
        <f t="shared" si="0"/>
        <v>gata</v>
      </c>
      <c r="F52">
        <f t="shared" si="11"/>
        <v>3</v>
      </c>
      <c r="G52">
        <v>2</v>
      </c>
      <c r="H52">
        <v>103</v>
      </c>
      <c r="I52">
        <v>0</v>
      </c>
      <c r="J52">
        <f t="shared" si="1"/>
        <v>1</v>
      </c>
      <c r="K52" s="1">
        <f t="shared" si="2"/>
        <v>5150</v>
      </c>
      <c r="L52" s="1">
        <f t="shared" si="9"/>
        <v>224999999.99999997</v>
      </c>
      <c r="M52" s="2">
        <f t="shared" si="3"/>
        <v>2.2888888888888891E-5</v>
      </c>
    </row>
    <row r="53" spans="1:13">
      <c r="A53">
        <v>1</v>
      </c>
      <c r="B53">
        <f t="shared" si="10"/>
        <v>4</v>
      </c>
      <c r="C53" t="str">
        <f t="shared" si="10"/>
        <v>glvc</v>
      </c>
      <c r="D53">
        <f t="shared" si="5"/>
        <v>1</v>
      </c>
      <c r="E53" t="str">
        <f t="shared" si="0"/>
        <v>glvc</v>
      </c>
      <c r="F53">
        <f t="shared" si="11"/>
        <v>1</v>
      </c>
      <c r="G53">
        <v>2</v>
      </c>
      <c r="H53">
        <v>36</v>
      </c>
      <c r="I53">
        <v>1</v>
      </c>
      <c r="J53">
        <f t="shared" si="1"/>
        <v>0.1</v>
      </c>
      <c r="K53" s="1">
        <f t="shared" si="2"/>
        <v>18000</v>
      </c>
      <c r="L53" s="1">
        <f t="shared" si="9"/>
        <v>270000000</v>
      </c>
      <c r="M53" s="2">
        <f t="shared" si="3"/>
        <v>6.666666666666667E-5</v>
      </c>
    </row>
    <row r="54" spans="1:13">
      <c r="A54">
        <v>1</v>
      </c>
      <c r="B54">
        <f t="shared" si="10"/>
        <v>5</v>
      </c>
      <c r="C54" t="str">
        <f t="shared" si="10"/>
        <v>glvc</v>
      </c>
      <c r="D54">
        <f t="shared" si="5"/>
        <v>2</v>
      </c>
      <c r="E54" t="str">
        <f t="shared" si="0"/>
        <v>glvc</v>
      </c>
      <c r="F54">
        <f t="shared" si="11"/>
        <v>2</v>
      </c>
      <c r="G54">
        <v>2</v>
      </c>
      <c r="H54">
        <v>25</v>
      </c>
      <c r="I54">
        <v>1</v>
      </c>
      <c r="J54">
        <f t="shared" si="1"/>
        <v>0.1</v>
      </c>
      <c r="K54" s="1">
        <f t="shared" si="2"/>
        <v>12500</v>
      </c>
      <c r="L54" s="1">
        <f t="shared" si="9"/>
        <v>285000000</v>
      </c>
      <c r="M54" s="2">
        <f t="shared" si="3"/>
        <v>4.3859649122807014E-5</v>
      </c>
    </row>
    <row r="55" spans="1:13">
      <c r="A55">
        <v>1</v>
      </c>
      <c r="B55">
        <f t="shared" si="10"/>
        <v>6</v>
      </c>
      <c r="C55" t="str">
        <f t="shared" si="10"/>
        <v>glvc</v>
      </c>
      <c r="D55">
        <f t="shared" si="5"/>
        <v>3</v>
      </c>
      <c r="E55" t="str">
        <f t="shared" si="0"/>
        <v>glvc</v>
      </c>
      <c r="F55">
        <f t="shared" si="11"/>
        <v>3</v>
      </c>
      <c r="G55">
        <v>2</v>
      </c>
      <c r="H55">
        <v>25</v>
      </c>
      <c r="I55">
        <v>1</v>
      </c>
      <c r="J55">
        <f t="shared" si="1"/>
        <v>0.1</v>
      </c>
      <c r="K55" s="1">
        <f t="shared" si="2"/>
        <v>12500</v>
      </c>
      <c r="L55" s="1">
        <f t="shared" si="9"/>
        <v>270000000</v>
      </c>
      <c r="M55" s="2">
        <f t="shared" si="3"/>
        <v>4.6296296296296294E-5</v>
      </c>
    </row>
    <row r="56" spans="1:13">
      <c r="A56">
        <v>1</v>
      </c>
      <c r="B56">
        <f t="shared" si="10"/>
        <v>7</v>
      </c>
      <c r="C56" t="str">
        <f t="shared" si="10"/>
        <v>hipa</v>
      </c>
      <c r="D56">
        <f t="shared" si="5"/>
        <v>1</v>
      </c>
      <c r="E56" t="str">
        <f t="shared" si="0"/>
        <v>hipa</v>
      </c>
      <c r="F56">
        <f t="shared" si="11"/>
        <v>1</v>
      </c>
      <c r="G56">
        <v>2</v>
      </c>
      <c r="H56">
        <v>76</v>
      </c>
      <c r="I56">
        <v>1</v>
      </c>
      <c r="J56">
        <f t="shared" si="1"/>
        <v>0.1</v>
      </c>
      <c r="K56" s="1">
        <f t="shared" si="2"/>
        <v>38000</v>
      </c>
      <c r="L56" s="1">
        <f t="shared" si="9"/>
        <v>150000000</v>
      </c>
      <c r="M56" s="2">
        <f t="shared" si="3"/>
        <v>2.5333333333333333E-4</v>
      </c>
    </row>
    <row r="57" spans="1:13">
      <c r="A57">
        <v>1</v>
      </c>
      <c r="B57">
        <f t="shared" si="10"/>
        <v>8</v>
      </c>
      <c r="C57" t="str">
        <f t="shared" si="10"/>
        <v>hipa</v>
      </c>
      <c r="D57">
        <f t="shared" si="5"/>
        <v>2</v>
      </c>
      <c r="E57" t="str">
        <f t="shared" si="0"/>
        <v>hipa</v>
      </c>
      <c r="F57">
        <f t="shared" si="11"/>
        <v>2</v>
      </c>
      <c r="G57">
        <v>2</v>
      </c>
      <c r="H57">
        <v>69</v>
      </c>
      <c r="I57">
        <v>1</v>
      </c>
      <c r="J57">
        <f t="shared" si="1"/>
        <v>0.1</v>
      </c>
      <c r="K57" s="1">
        <f t="shared" si="2"/>
        <v>34500</v>
      </c>
      <c r="L57" s="1">
        <f t="shared" si="9"/>
        <v>199999999.99999997</v>
      </c>
      <c r="M57" s="2">
        <f t="shared" si="3"/>
        <v>1.7250000000000002E-4</v>
      </c>
    </row>
    <row r="58" spans="1:13">
      <c r="A58">
        <v>1</v>
      </c>
      <c r="B58">
        <f t="shared" si="10"/>
        <v>9</v>
      </c>
      <c r="C58" t="str">
        <f t="shared" si="10"/>
        <v>hipa</v>
      </c>
      <c r="D58">
        <f t="shared" si="5"/>
        <v>3</v>
      </c>
      <c r="E58" t="str">
        <f t="shared" si="0"/>
        <v>hipa</v>
      </c>
      <c r="F58">
        <f t="shared" si="11"/>
        <v>3</v>
      </c>
      <c r="G58">
        <v>2</v>
      </c>
      <c r="H58">
        <v>64</v>
      </c>
      <c r="I58">
        <v>1</v>
      </c>
      <c r="J58">
        <f t="shared" si="1"/>
        <v>0.1</v>
      </c>
      <c r="K58" s="1">
        <f t="shared" si="2"/>
        <v>32000</v>
      </c>
      <c r="L58" s="1">
        <f t="shared" si="9"/>
        <v>214999999.99999997</v>
      </c>
      <c r="M58" s="2">
        <f t="shared" si="3"/>
        <v>1.488372093023256E-4</v>
      </c>
    </row>
    <row r="59" spans="1:13">
      <c r="A59">
        <v>1</v>
      </c>
      <c r="B59">
        <f t="shared" si="10"/>
        <v>10</v>
      </c>
      <c r="C59" t="str">
        <f t="shared" si="10"/>
        <v>selb</v>
      </c>
      <c r="D59">
        <f t="shared" si="5"/>
        <v>1</v>
      </c>
      <c r="E59" t="str">
        <f t="shared" si="0"/>
        <v>selb</v>
      </c>
      <c r="F59">
        <f t="shared" si="11"/>
        <v>1</v>
      </c>
      <c r="G59">
        <v>2</v>
      </c>
      <c r="H59">
        <v>77</v>
      </c>
      <c r="I59">
        <v>0</v>
      </c>
      <c r="J59">
        <f t="shared" si="1"/>
        <v>1</v>
      </c>
      <c r="K59" s="1">
        <f t="shared" si="2"/>
        <v>3850</v>
      </c>
      <c r="L59" s="1">
        <f t="shared" si="9"/>
        <v>209999999.99999997</v>
      </c>
      <c r="M59" s="2">
        <f t="shared" si="3"/>
        <v>1.8333333333333336E-5</v>
      </c>
    </row>
    <row r="60" spans="1:13">
      <c r="A60">
        <v>1</v>
      </c>
      <c r="B60">
        <f t="shared" si="10"/>
        <v>11</v>
      </c>
      <c r="C60" t="str">
        <f t="shared" si="10"/>
        <v>selb</v>
      </c>
      <c r="D60">
        <f t="shared" si="5"/>
        <v>2</v>
      </c>
      <c r="E60" t="str">
        <f t="shared" si="0"/>
        <v>selb</v>
      </c>
      <c r="F60">
        <f t="shared" si="11"/>
        <v>2</v>
      </c>
      <c r="G60">
        <v>2</v>
      </c>
      <c r="H60">
        <v>76</v>
      </c>
      <c r="I60">
        <v>0</v>
      </c>
      <c r="J60">
        <f t="shared" si="1"/>
        <v>1</v>
      </c>
      <c r="K60" s="1">
        <f t="shared" si="2"/>
        <v>3800</v>
      </c>
      <c r="L60" s="1">
        <f t="shared" si="9"/>
        <v>194999999.99999997</v>
      </c>
      <c r="M60" s="2">
        <f t="shared" si="3"/>
        <v>1.9487179487179492E-5</v>
      </c>
    </row>
    <row r="61" spans="1:13">
      <c r="A61">
        <v>1</v>
      </c>
      <c r="B61">
        <f t="shared" si="10"/>
        <v>12</v>
      </c>
      <c r="C61" t="str">
        <f t="shared" si="10"/>
        <v>selb</v>
      </c>
      <c r="D61">
        <f t="shared" si="5"/>
        <v>3</v>
      </c>
      <c r="E61" t="str">
        <f t="shared" si="0"/>
        <v>selb</v>
      </c>
      <c r="F61">
        <f t="shared" si="11"/>
        <v>3</v>
      </c>
      <c r="G61">
        <v>2</v>
      </c>
      <c r="H61">
        <v>74</v>
      </c>
      <c r="I61">
        <v>0</v>
      </c>
      <c r="J61">
        <f t="shared" si="1"/>
        <v>1</v>
      </c>
      <c r="K61" s="1">
        <f t="shared" si="2"/>
        <v>3700</v>
      </c>
      <c r="L61" s="1">
        <f t="shared" si="9"/>
        <v>209999999.99999997</v>
      </c>
      <c r="M61" s="2">
        <f t="shared" si="3"/>
        <v>1.7619047619047623E-5</v>
      </c>
    </row>
    <row r="62" spans="1:13">
      <c r="A62">
        <v>1</v>
      </c>
      <c r="B62">
        <f t="shared" si="10"/>
        <v>13</v>
      </c>
      <c r="C62" t="str">
        <f t="shared" si="10"/>
        <v>rpoz</v>
      </c>
      <c r="D62">
        <f t="shared" si="5"/>
        <v>1</v>
      </c>
      <c r="E62" t="str">
        <f t="shared" si="0"/>
        <v>rpoz</v>
      </c>
      <c r="F62">
        <f t="shared" si="11"/>
        <v>1</v>
      </c>
      <c r="G62">
        <v>2</v>
      </c>
      <c r="H62">
        <v>40</v>
      </c>
      <c r="I62">
        <v>1</v>
      </c>
      <c r="J62">
        <f t="shared" si="1"/>
        <v>0.1</v>
      </c>
      <c r="K62" s="1">
        <f t="shared" si="2"/>
        <v>20000</v>
      </c>
      <c r="L62" s="1">
        <f t="shared" si="9"/>
        <v>280000000</v>
      </c>
      <c r="M62" s="2">
        <f t="shared" si="3"/>
        <v>7.1428571428571434E-5</v>
      </c>
    </row>
    <row r="63" spans="1:13">
      <c r="A63">
        <v>1</v>
      </c>
      <c r="B63">
        <f t="shared" si="10"/>
        <v>14</v>
      </c>
      <c r="C63" t="str">
        <f t="shared" si="10"/>
        <v>rpoz</v>
      </c>
      <c r="D63">
        <f t="shared" si="5"/>
        <v>2</v>
      </c>
      <c r="E63" t="str">
        <f t="shared" si="0"/>
        <v>rpoz</v>
      </c>
      <c r="F63">
        <f t="shared" si="11"/>
        <v>2</v>
      </c>
      <c r="G63">
        <v>2</v>
      </c>
      <c r="H63">
        <v>30</v>
      </c>
      <c r="I63">
        <v>1</v>
      </c>
      <c r="J63">
        <f t="shared" si="1"/>
        <v>0.1</v>
      </c>
      <c r="K63" s="1">
        <f t="shared" si="2"/>
        <v>15000</v>
      </c>
      <c r="L63" s="1">
        <f t="shared" si="9"/>
        <v>224999999.99999997</v>
      </c>
      <c r="M63" s="2">
        <f t="shared" si="3"/>
        <v>6.666666666666667E-5</v>
      </c>
    </row>
    <row r="64" spans="1:13">
      <c r="A64">
        <v>1</v>
      </c>
      <c r="B64">
        <f t="shared" si="10"/>
        <v>15</v>
      </c>
      <c r="C64" t="str">
        <f t="shared" si="10"/>
        <v>rpoz</v>
      </c>
      <c r="D64">
        <f t="shared" si="5"/>
        <v>3</v>
      </c>
      <c r="E64" t="str">
        <f t="shared" si="0"/>
        <v>rpoz</v>
      </c>
      <c r="F64">
        <f t="shared" si="11"/>
        <v>3</v>
      </c>
      <c r="G64">
        <v>2</v>
      </c>
      <c r="H64">
        <v>25</v>
      </c>
      <c r="I64">
        <v>1</v>
      </c>
      <c r="J64">
        <f t="shared" si="1"/>
        <v>0.1</v>
      </c>
      <c r="K64" s="1">
        <f t="shared" si="2"/>
        <v>12500</v>
      </c>
      <c r="L64" s="1">
        <f t="shared" si="9"/>
        <v>320000000</v>
      </c>
      <c r="M64" s="2">
        <f t="shared" si="3"/>
        <v>3.9062500000000001E-5</v>
      </c>
    </row>
    <row r="65" spans="1:13">
      <c r="A65">
        <v>1</v>
      </c>
      <c r="B65">
        <f t="shared" si="10"/>
        <v>16</v>
      </c>
      <c r="C65" t="str">
        <f t="shared" si="10"/>
        <v>ftsh</v>
      </c>
      <c r="D65">
        <f t="shared" si="5"/>
        <v>1</v>
      </c>
      <c r="E65" t="str">
        <f t="shared" si="0"/>
        <v>ftsh</v>
      </c>
      <c r="F65">
        <f t="shared" ref="F65:F70" si="12">F62</f>
        <v>1</v>
      </c>
      <c r="G65">
        <v>2</v>
      </c>
      <c r="H65">
        <v>79</v>
      </c>
      <c r="I65">
        <v>0</v>
      </c>
      <c r="J65">
        <f t="shared" si="1"/>
        <v>1</v>
      </c>
      <c r="K65" s="1">
        <f t="shared" si="2"/>
        <v>3950</v>
      </c>
      <c r="L65" s="1">
        <f t="shared" si="9"/>
        <v>259999999.99999997</v>
      </c>
      <c r="M65" s="2">
        <f t="shared" si="3"/>
        <v>1.5192307692307695E-5</v>
      </c>
    </row>
    <row r="66" spans="1:13">
      <c r="A66">
        <v>1</v>
      </c>
      <c r="B66">
        <f t="shared" ref="B66:C73" si="13">B42</f>
        <v>17</v>
      </c>
      <c r="C66" t="str">
        <f t="shared" si="13"/>
        <v>ftsh</v>
      </c>
      <c r="D66">
        <f t="shared" si="5"/>
        <v>2</v>
      </c>
      <c r="E66" t="str">
        <f t="shared" si="0"/>
        <v>ftsh</v>
      </c>
      <c r="F66">
        <f t="shared" si="12"/>
        <v>2</v>
      </c>
      <c r="G66">
        <v>2</v>
      </c>
      <c r="H66">
        <v>83</v>
      </c>
      <c r="I66">
        <v>0</v>
      </c>
      <c r="J66">
        <f t="shared" si="1"/>
        <v>1</v>
      </c>
      <c r="K66" s="1">
        <f t="shared" si="2"/>
        <v>4150</v>
      </c>
      <c r="L66" s="1">
        <f t="shared" si="9"/>
        <v>249999999.99999997</v>
      </c>
      <c r="M66" s="2">
        <f t="shared" si="3"/>
        <v>1.66E-5</v>
      </c>
    </row>
    <row r="67" spans="1:13">
      <c r="A67">
        <v>1</v>
      </c>
      <c r="B67">
        <f t="shared" si="13"/>
        <v>18</v>
      </c>
      <c r="C67" t="str">
        <f t="shared" si="13"/>
        <v>ftsh</v>
      </c>
      <c r="D67">
        <f t="shared" si="5"/>
        <v>3</v>
      </c>
      <c r="E67" t="str">
        <f t="shared" ref="E67:E130" si="14">C67</f>
        <v>ftsh</v>
      </c>
      <c r="F67">
        <f t="shared" si="12"/>
        <v>3</v>
      </c>
      <c r="G67">
        <v>2</v>
      </c>
      <c r="H67">
        <v>90</v>
      </c>
      <c r="I67">
        <v>0</v>
      </c>
      <c r="J67">
        <f t="shared" ref="J67:J130" si="15">1/10^I67</f>
        <v>1</v>
      </c>
      <c r="K67" s="1">
        <f t="shared" ref="K67:K130" si="16">H67/(J67*0.02)</f>
        <v>4500</v>
      </c>
      <c r="L67" s="1">
        <f t="shared" si="9"/>
        <v>234999999.99999997</v>
      </c>
      <c r="M67" s="2">
        <f t="shared" ref="M67:M130" si="17">K67/L67</f>
        <v>1.9148936170212769E-5</v>
      </c>
    </row>
    <row r="68" spans="1:13">
      <c r="A68">
        <v>1</v>
      </c>
      <c r="B68">
        <f t="shared" si="13"/>
        <v>19</v>
      </c>
      <c r="C68" t="str">
        <f t="shared" si="13"/>
        <v>fimE</v>
      </c>
      <c r="D68">
        <f t="shared" si="5"/>
        <v>1</v>
      </c>
      <c r="E68" t="str">
        <f t="shared" si="14"/>
        <v>fimE</v>
      </c>
      <c r="F68">
        <f t="shared" si="12"/>
        <v>1</v>
      </c>
      <c r="G68">
        <v>2</v>
      </c>
      <c r="H68">
        <v>86</v>
      </c>
      <c r="I68">
        <v>0</v>
      </c>
      <c r="J68">
        <f t="shared" si="15"/>
        <v>1</v>
      </c>
      <c r="K68" s="1">
        <f t="shared" si="16"/>
        <v>4300</v>
      </c>
      <c r="L68" s="1">
        <f t="shared" si="9"/>
        <v>229999999.99999997</v>
      </c>
      <c r="M68" s="2">
        <f t="shared" si="17"/>
        <v>1.8695652173913045E-5</v>
      </c>
    </row>
    <row r="69" spans="1:13">
      <c r="A69">
        <v>1</v>
      </c>
      <c r="B69">
        <f t="shared" si="13"/>
        <v>20</v>
      </c>
      <c r="C69" t="str">
        <f t="shared" si="13"/>
        <v>fimE</v>
      </c>
      <c r="D69">
        <f t="shared" si="5"/>
        <v>2</v>
      </c>
      <c r="E69" t="str">
        <f t="shared" si="14"/>
        <v>fimE</v>
      </c>
      <c r="F69">
        <f t="shared" si="12"/>
        <v>2</v>
      </c>
      <c r="G69">
        <v>2</v>
      </c>
      <c r="H69">
        <v>102</v>
      </c>
      <c r="I69">
        <v>0</v>
      </c>
      <c r="J69">
        <f t="shared" si="15"/>
        <v>1</v>
      </c>
      <c r="K69" s="1">
        <f t="shared" si="16"/>
        <v>5100</v>
      </c>
      <c r="L69" s="1">
        <f t="shared" si="9"/>
        <v>204999999.99999997</v>
      </c>
      <c r="M69" s="2">
        <f t="shared" si="17"/>
        <v>2.4878048780487809E-5</v>
      </c>
    </row>
    <row r="70" spans="1:13">
      <c r="A70">
        <v>1</v>
      </c>
      <c r="B70">
        <f t="shared" si="13"/>
        <v>21</v>
      </c>
      <c r="C70" t="str">
        <f t="shared" si="13"/>
        <v>fimE</v>
      </c>
      <c r="D70">
        <f t="shared" ref="D70:D133" si="18">D67</f>
        <v>3</v>
      </c>
      <c r="E70" t="str">
        <f t="shared" si="14"/>
        <v>fimE</v>
      </c>
      <c r="F70">
        <f t="shared" si="12"/>
        <v>3</v>
      </c>
      <c r="G70">
        <v>2</v>
      </c>
      <c r="H70">
        <v>90</v>
      </c>
      <c r="I70">
        <v>0</v>
      </c>
      <c r="J70">
        <f t="shared" si="15"/>
        <v>1</v>
      </c>
      <c r="K70" s="1">
        <f t="shared" si="16"/>
        <v>4500</v>
      </c>
      <c r="L70" s="1">
        <f t="shared" si="9"/>
        <v>219999999.99999997</v>
      </c>
      <c r="M70" s="2">
        <f t="shared" si="17"/>
        <v>2.0454545454545457E-5</v>
      </c>
    </row>
    <row r="71" spans="1:13">
      <c r="A71">
        <v>1</v>
      </c>
      <c r="B71">
        <f t="shared" si="13"/>
        <v>22</v>
      </c>
      <c r="C71" t="str">
        <f t="shared" si="13"/>
        <v>wt</v>
      </c>
      <c r="D71">
        <f t="shared" si="18"/>
        <v>1</v>
      </c>
      <c r="E71" t="str">
        <f t="shared" si="14"/>
        <v>wt</v>
      </c>
      <c r="F71">
        <f>F2</f>
        <v>1</v>
      </c>
      <c r="G71">
        <v>2</v>
      </c>
      <c r="H71">
        <v>88</v>
      </c>
      <c r="I71">
        <v>0</v>
      </c>
      <c r="J71">
        <f t="shared" si="15"/>
        <v>1</v>
      </c>
      <c r="K71" s="1">
        <f t="shared" si="16"/>
        <v>4400</v>
      </c>
      <c r="L71" s="1">
        <f t="shared" si="9"/>
        <v>239999999.99999997</v>
      </c>
      <c r="M71" s="2">
        <f t="shared" si="17"/>
        <v>1.8333333333333336E-5</v>
      </c>
    </row>
    <row r="72" spans="1:13">
      <c r="A72">
        <v>1</v>
      </c>
      <c r="B72">
        <f t="shared" si="13"/>
        <v>23</v>
      </c>
      <c r="C72" t="str">
        <f t="shared" si="13"/>
        <v>wt</v>
      </c>
      <c r="D72">
        <f t="shared" si="18"/>
        <v>2</v>
      </c>
      <c r="E72" t="str">
        <f t="shared" si="14"/>
        <v>wt</v>
      </c>
      <c r="F72">
        <f>F3</f>
        <v>2</v>
      </c>
      <c r="G72">
        <v>2</v>
      </c>
      <c r="H72">
        <v>80</v>
      </c>
      <c r="I72">
        <v>0</v>
      </c>
      <c r="J72">
        <f t="shared" si="15"/>
        <v>1</v>
      </c>
      <c r="K72" s="1">
        <f t="shared" si="16"/>
        <v>4000</v>
      </c>
      <c r="L72" s="1">
        <f t="shared" si="9"/>
        <v>249999999.99999997</v>
      </c>
      <c r="M72" s="2">
        <f t="shared" si="17"/>
        <v>1.6000000000000003E-5</v>
      </c>
    </row>
    <row r="73" spans="1:13">
      <c r="A73">
        <v>1</v>
      </c>
      <c r="B73">
        <f t="shared" si="13"/>
        <v>24</v>
      </c>
      <c r="C73" t="str">
        <f t="shared" si="13"/>
        <v>wt</v>
      </c>
      <c r="D73">
        <f t="shared" si="18"/>
        <v>3</v>
      </c>
      <c r="E73" t="str">
        <f t="shared" si="14"/>
        <v>wt</v>
      </c>
      <c r="F73">
        <f>F4</f>
        <v>3</v>
      </c>
      <c r="G73">
        <v>2</v>
      </c>
      <c r="H73">
        <v>71</v>
      </c>
      <c r="I73">
        <v>0</v>
      </c>
      <c r="J73">
        <f t="shared" si="15"/>
        <v>1</v>
      </c>
      <c r="K73" s="1">
        <f t="shared" si="16"/>
        <v>3550</v>
      </c>
      <c r="L73" s="1">
        <f t="shared" si="9"/>
        <v>170000000</v>
      </c>
      <c r="M73" s="2">
        <f t="shared" si="17"/>
        <v>2.0882352941176472E-5</v>
      </c>
    </row>
    <row r="74" spans="1:13">
      <c r="A74">
        <v>1</v>
      </c>
      <c r="B74">
        <v>1</v>
      </c>
      <c r="C74" t="str">
        <f t="shared" ref="C74:C105" si="19">C50</f>
        <v>gata</v>
      </c>
      <c r="D74">
        <f t="shared" si="18"/>
        <v>1</v>
      </c>
      <c r="E74" t="str">
        <f t="shared" si="14"/>
        <v>gata</v>
      </c>
      <c r="F74">
        <v>1</v>
      </c>
      <c r="G74">
        <v>3</v>
      </c>
      <c r="H74">
        <v>49</v>
      </c>
      <c r="I74">
        <v>0</v>
      </c>
      <c r="J74">
        <f t="shared" si="15"/>
        <v>1</v>
      </c>
      <c r="K74" s="1">
        <f t="shared" si="16"/>
        <v>2450</v>
      </c>
      <c r="L74" s="1">
        <f t="shared" si="9"/>
        <v>259999999.99999997</v>
      </c>
      <c r="M74" s="2">
        <f t="shared" si="17"/>
        <v>9.4230769230769249E-6</v>
      </c>
    </row>
    <row r="75" spans="1:13">
      <c r="A75">
        <v>1</v>
      </c>
      <c r="B75">
        <v>2</v>
      </c>
      <c r="C75" t="str">
        <f t="shared" si="19"/>
        <v>gata</v>
      </c>
      <c r="D75">
        <f t="shared" si="18"/>
        <v>2</v>
      </c>
      <c r="E75" t="str">
        <f t="shared" si="14"/>
        <v>gata</v>
      </c>
      <c r="F75">
        <v>2</v>
      </c>
      <c r="G75">
        <v>3</v>
      </c>
      <c r="H75">
        <v>49</v>
      </c>
      <c r="I75">
        <v>0</v>
      </c>
      <c r="J75">
        <f t="shared" si="15"/>
        <v>1</v>
      </c>
      <c r="K75" s="1">
        <f t="shared" si="16"/>
        <v>2450</v>
      </c>
      <c r="L75" s="1">
        <f t="shared" si="9"/>
        <v>209999999.99999997</v>
      </c>
      <c r="M75" s="2">
        <f t="shared" si="17"/>
        <v>1.1666666666666668E-5</v>
      </c>
    </row>
    <row r="76" spans="1:13">
      <c r="A76">
        <v>1</v>
      </c>
      <c r="B76">
        <v>3</v>
      </c>
      <c r="C76" t="str">
        <f t="shared" si="19"/>
        <v>gata</v>
      </c>
      <c r="D76">
        <f t="shared" si="18"/>
        <v>3</v>
      </c>
      <c r="E76" t="str">
        <f t="shared" si="14"/>
        <v>gata</v>
      </c>
      <c r="F76">
        <v>3</v>
      </c>
      <c r="G76">
        <v>3</v>
      </c>
      <c r="H76">
        <v>64</v>
      </c>
      <c r="I76">
        <v>0</v>
      </c>
      <c r="J76">
        <f t="shared" si="15"/>
        <v>1</v>
      </c>
      <c r="K76" s="1">
        <f t="shared" si="16"/>
        <v>3200</v>
      </c>
      <c r="L76" s="1">
        <f t="shared" si="9"/>
        <v>224999999.99999997</v>
      </c>
      <c r="M76" s="2">
        <f t="shared" si="17"/>
        <v>1.4222222222222224E-5</v>
      </c>
    </row>
    <row r="77" spans="1:13">
      <c r="A77">
        <v>1</v>
      </c>
      <c r="B77">
        <v>4</v>
      </c>
      <c r="C77" t="str">
        <f t="shared" si="19"/>
        <v>glvc</v>
      </c>
      <c r="D77">
        <f t="shared" si="18"/>
        <v>1</v>
      </c>
      <c r="E77" t="str">
        <f t="shared" si="14"/>
        <v>glvc</v>
      </c>
      <c r="F77">
        <f t="shared" ref="F77:F97" si="20">F74</f>
        <v>1</v>
      </c>
      <c r="G77">
        <v>3</v>
      </c>
      <c r="H77">
        <v>50</v>
      </c>
      <c r="I77">
        <v>0</v>
      </c>
      <c r="J77">
        <f t="shared" si="15"/>
        <v>1</v>
      </c>
      <c r="K77" s="1">
        <f t="shared" si="16"/>
        <v>2500</v>
      </c>
      <c r="L77" s="1">
        <f t="shared" si="9"/>
        <v>270000000</v>
      </c>
      <c r="M77" s="2">
        <f t="shared" si="17"/>
        <v>9.2592592592592591E-6</v>
      </c>
    </row>
    <row r="78" spans="1:13">
      <c r="A78">
        <v>1</v>
      </c>
      <c r="B78">
        <v>5</v>
      </c>
      <c r="C78" t="str">
        <f t="shared" si="19"/>
        <v>glvc</v>
      </c>
      <c r="D78">
        <f t="shared" si="18"/>
        <v>2</v>
      </c>
      <c r="E78" t="str">
        <f t="shared" si="14"/>
        <v>glvc</v>
      </c>
      <c r="F78">
        <f t="shared" si="20"/>
        <v>2</v>
      </c>
      <c r="G78">
        <v>3</v>
      </c>
      <c r="H78">
        <v>48</v>
      </c>
      <c r="I78">
        <v>0</v>
      </c>
      <c r="J78">
        <f t="shared" si="15"/>
        <v>1</v>
      </c>
      <c r="K78" s="1">
        <f t="shared" si="16"/>
        <v>2400</v>
      </c>
      <c r="L78" s="1">
        <f t="shared" si="9"/>
        <v>285000000</v>
      </c>
      <c r="M78" s="2">
        <f t="shared" si="17"/>
        <v>8.4210526315789465E-6</v>
      </c>
    </row>
    <row r="79" spans="1:13">
      <c r="A79">
        <v>1</v>
      </c>
      <c r="B79">
        <v>6</v>
      </c>
      <c r="C79" t="str">
        <f t="shared" si="19"/>
        <v>glvc</v>
      </c>
      <c r="D79">
        <f t="shared" si="18"/>
        <v>3</v>
      </c>
      <c r="E79" t="str">
        <f t="shared" si="14"/>
        <v>glvc</v>
      </c>
      <c r="F79">
        <f t="shared" si="20"/>
        <v>3</v>
      </c>
      <c r="G79">
        <v>3</v>
      </c>
      <c r="H79">
        <v>45</v>
      </c>
      <c r="I79">
        <v>0</v>
      </c>
      <c r="J79">
        <f t="shared" si="15"/>
        <v>1</v>
      </c>
      <c r="K79" s="1">
        <f t="shared" si="16"/>
        <v>2250</v>
      </c>
      <c r="L79" s="1">
        <f t="shared" si="9"/>
        <v>270000000</v>
      </c>
      <c r="M79" s="2">
        <f t="shared" si="17"/>
        <v>8.3333333333333337E-6</v>
      </c>
    </row>
    <row r="80" spans="1:13">
      <c r="A80">
        <v>1</v>
      </c>
      <c r="B80">
        <v>7</v>
      </c>
      <c r="C80" t="str">
        <f t="shared" si="19"/>
        <v>hipa</v>
      </c>
      <c r="D80">
        <f t="shared" si="18"/>
        <v>1</v>
      </c>
      <c r="E80" t="str">
        <f t="shared" si="14"/>
        <v>hipa</v>
      </c>
      <c r="F80">
        <f t="shared" si="20"/>
        <v>1</v>
      </c>
      <c r="G80">
        <v>3</v>
      </c>
      <c r="H80">
        <v>37</v>
      </c>
      <c r="I80">
        <v>1</v>
      </c>
      <c r="J80">
        <f t="shared" si="15"/>
        <v>0.1</v>
      </c>
      <c r="K80" s="1">
        <f t="shared" si="16"/>
        <v>18500</v>
      </c>
      <c r="L80" s="1">
        <f t="shared" si="9"/>
        <v>150000000</v>
      </c>
      <c r="M80" s="2">
        <f t="shared" si="17"/>
        <v>1.2333333333333334E-4</v>
      </c>
    </row>
    <row r="81" spans="1:13">
      <c r="A81">
        <v>1</v>
      </c>
      <c r="B81">
        <v>8</v>
      </c>
      <c r="C81" t="str">
        <f t="shared" si="19"/>
        <v>hipa</v>
      </c>
      <c r="D81">
        <f t="shared" si="18"/>
        <v>2</v>
      </c>
      <c r="E81" t="str">
        <f t="shared" si="14"/>
        <v>hipa</v>
      </c>
      <c r="F81">
        <f t="shared" si="20"/>
        <v>2</v>
      </c>
      <c r="G81">
        <v>3</v>
      </c>
      <c r="H81">
        <v>32</v>
      </c>
      <c r="I81">
        <v>1</v>
      </c>
      <c r="J81">
        <f t="shared" si="15"/>
        <v>0.1</v>
      </c>
      <c r="K81" s="1">
        <f t="shared" si="16"/>
        <v>16000</v>
      </c>
      <c r="L81" s="1">
        <f t="shared" si="9"/>
        <v>199999999.99999997</v>
      </c>
      <c r="M81" s="2">
        <f t="shared" si="17"/>
        <v>8.0000000000000007E-5</v>
      </c>
    </row>
    <row r="82" spans="1:13">
      <c r="A82">
        <v>1</v>
      </c>
      <c r="B82">
        <v>9</v>
      </c>
      <c r="C82" t="str">
        <f t="shared" si="19"/>
        <v>hipa</v>
      </c>
      <c r="D82">
        <f t="shared" si="18"/>
        <v>3</v>
      </c>
      <c r="E82" t="str">
        <f t="shared" si="14"/>
        <v>hipa</v>
      </c>
      <c r="F82">
        <f t="shared" si="20"/>
        <v>3</v>
      </c>
      <c r="G82">
        <v>3</v>
      </c>
      <c r="H82">
        <v>36</v>
      </c>
      <c r="I82">
        <v>1</v>
      </c>
      <c r="J82">
        <f t="shared" si="15"/>
        <v>0.1</v>
      </c>
      <c r="K82" s="1">
        <f t="shared" si="16"/>
        <v>18000</v>
      </c>
      <c r="L82" s="1">
        <f t="shared" si="9"/>
        <v>214999999.99999997</v>
      </c>
      <c r="M82" s="2">
        <f t="shared" si="17"/>
        <v>8.3720930232558156E-5</v>
      </c>
    </row>
    <row r="83" spans="1:13">
      <c r="A83">
        <v>1</v>
      </c>
      <c r="B83">
        <v>10</v>
      </c>
      <c r="C83" t="str">
        <f t="shared" si="19"/>
        <v>selb</v>
      </c>
      <c r="D83">
        <f t="shared" si="18"/>
        <v>1</v>
      </c>
      <c r="E83" t="str">
        <f t="shared" si="14"/>
        <v>selb</v>
      </c>
      <c r="F83">
        <f t="shared" si="20"/>
        <v>1</v>
      </c>
      <c r="G83">
        <v>3</v>
      </c>
      <c r="H83">
        <v>22</v>
      </c>
      <c r="I83">
        <v>0</v>
      </c>
      <c r="J83">
        <f t="shared" si="15"/>
        <v>1</v>
      </c>
      <c r="K83" s="1">
        <f t="shared" si="16"/>
        <v>1100</v>
      </c>
      <c r="L83" s="1">
        <f t="shared" si="9"/>
        <v>209999999.99999997</v>
      </c>
      <c r="M83" s="2">
        <f t="shared" si="17"/>
        <v>5.2380952380952384E-6</v>
      </c>
    </row>
    <row r="84" spans="1:13">
      <c r="A84">
        <v>1</v>
      </c>
      <c r="B84">
        <v>11</v>
      </c>
      <c r="C84" t="str">
        <f t="shared" si="19"/>
        <v>selb</v>
      </c>
      <c r="D84">
        <f t="shared" si="18"/>
        <v>2</v>
      </c>
      <c r="E84" t="str">
        <f t="shared" si="14"/>
        <v>selb</v>
      </c>
      <c r="F84">
        <f t="shared" si="20"/>
        <v>2</v>
      </c>
      <c r="G84">
        <v>3</v>
      </c>
      <c r="H84">
        <v>31</v>
      </c>
      <c r="I84">
        <v>0</v>
      </c>
      <c r="J84">
        <f t="shared" si="15"/>
        <v>1</v>
      </c>
      <c r="K84" s="1">
        <f t="shared" si="16"/>
        <v>1550</v>
      </c>
      <c r="L84" s="1">
        <f t="shared" si="9"/>
        <v>194999999.99999997</v>
      </c>
      <c r="M84" s="2">
        <f t="shared" si="17"/>
        <v>7.9487179487179503E-6</v>
      </c>
    </row>
    <row r="85" spans="1:13">
      <c r="A85">
        <v>1</v>
      </c>
      <c r="B85">
        <v>12</v>
      </c>
      <c r="C85" t="str">
        <f t="shared" si="19"/>
        <v>selb</v>
      </c>
      <c r="D85">
        <f t="shared" si="18"/>
        <v>3</v>
      </c>
      <c r="E85" t="str">
        <f t="shared" si="14"/>
        <v>selb</v>
      </c>
      <c r="F85">
        <f t="shared" si="20"/>
        <v>3</v>
      </c>
      <c r="G85">
        <v>3</v>
      </c>
      <c r="H85">
        <v>23</v>
      </c>
      <c r="I85">
        <v>0</v>
      </c>
      <c r="J85">
        <f t="shared" si="15"/>
        <v>1</v>
      </c>
      <c r="K85" s="1">
        <f t="shared" si="16"/>
        <v>1150</v>
      </c>
      <c r="L85" s="1">
        <f t="shared" si="9"/>
        <v>209999999.99999997</v>
      </c>
      <c r="M85" s="2">
        <f t="shared" si="17"/>
        <v>5.4761904761904773E-6</v>
      </c>
    </row>
    <row r="86" spans="1:13">
      <c r="A86">
        <v>1</v>
      </c>
      <c r="B86">
        <v>13</v>
      </c>
      <c r="C86" t="str">
        <f t="shared" si="19"/>
        <v>rpoz</v>
      </c>
      <c r="D86">
        <f t="shared" si="18"/>
        <v>1</v>
      </c>
      <c r="E86" t="str">
        <f t="shared" si="14"/>
        <v>rpoz</v>
      </c>
      <c r="F86">
        <f t="shared" si="20"/>
        <v>1</v>
      </c>
      <c r="G86">
        <v>3</v>
      </c>
      <c r="H86">
        <v>82</v>
      </c>
      <c r="I86">
        <v>0</v>
      </c>
      <c r="J86">
        <f t="shared" si="15"/>
        <v>1</v>
      </c>
      <c r="K86" s="1">
        <f t="shared" si="16"/>
        <v>4100</v>
      </c>
      <c r="L86" s="1">
        <f t="shared" si="9"/>
        <v>280000000</v>
      </c>
      <c r="M86" s="2">
        <f t="shared" si="17"/>
        <v>1.4642857142857142E-5</v>
      </c>
    </row>
    <row r="87" spans="1:13">
      <c r="A87">
        <v>1</v>
      </c>
      <c r="B87">
        <v>14</v>
      </c>
      <c r="C87" t="str">
        <f t="shared" si="19"/>
        <v>rpoz</v>
      </c>
      <c r="D87">
        <f t="shared" si="18"/>
        <v>2</v>
      </c>
      <c r="E87" t="str">
        <f t="shared" si="14"/>
        <v>rpoz</v>
      </c>
      <c r="F87">
        <f t="shared" si="20"/>
        <v>2</v>
      </c>
      <c r="G87">
        <v>3</v>
      </c>
      <c r="H87">
        <v>54</v>
      </c>
      <c r="I87">
        <v>0</v>
      </c>
      <c r="J87">
        <f t="shared" si="15"/>
        <v>1</v>
      </c>
      <c r="K87" s="1">
        <f t="shared" si="16"/>
        <v>2700</v>
      </c>
      <c r="L87" s="1">
        <f t="shared" si="9"/>
        <v>224999999.99999997</v>
      </c>
      <c r="M87" s="2">
        <f t="shared" si="17"/>
        <v>1.2000000000000002E-5</v>
      </c>
    </row>
    <row r="88" spans="1:13">
      <c r="A88">
        <v>1</v>
      </c>
      <c r="B88">
        <v>15</v>
      </c>
      <c r="C88" t="str">
        <f t="shared" si="19"/>
        <v>rpoz</v>
      </c>
      <c r="D88">
        <f t="shared" si="18"/>
        <v>3</v>
      </c>
      <c r="E88" t="str">
        <f t="shared" si="14"/>
        <v>rpoz</v>
      </c>
      <c r="F88">
        <f t="shared" si="20"/>
        <v>3</v>
      </c>
      <c r="G88">
        <v>3</v>
      </c>
      <c r="H88">
        <v>63</v>
      </c>
      <c r="I88">
        <v>0</v>
      </c>
      <c r="J88">
        <f t="shared" si="15"/>
        <v>1</v>
      </c>
      <c r="K88" s="1">
        <f t="shared" si="16"/>
        <v>3150</v>
      </c>
      <c r="L88" s="1">
        <f t="shared" si="9"/>
        <v>320000000</v>
      </c>
      <c r="M88" s="2">
        <f t="shared" si="17"/>
        <v>9.8437500000000004E-6</v>
      </c>
    </row>
    <row r="89" spans="1:13">
      <c r="A89">
        <v>1</v>
      </c>
      <c r="B89">
        <v>16</v>
      </c>
      <c r="C89" t="str">
        <f t="shared" si="19"/>
        <v>ftsh</v>
      </c>
      <c r="D89">
        <f t="shared" si="18"/>
        <v>1</v>
      </c>
      <c r="E89" t="str">
        <f t="shared" si="14"/>
        <v>ftsh</v>
      </c>
      <c r="F89">
        <f t="shared" si="20"/>
        <v>1</v>
      </c>
      <c r="G89">
        <v>3</v>
      </c>
      <c r="H89">
        <v>38</v>
      </c>
      <c r="I89">
        <v>0</v>
      </c>
      <c r="J89">
        <f t="shared" si="15"/>
        <v>1</v>
      </c>
      <c r="K89" s="1">
        <f t="shared" si="16"/>
        <v>1900</v>
      </c>
      <c r="L89" s="1">
        <f t="shared" si="9"/>
        <v>259999999.99999997</v>
      </c>
      <c r="M89" s="2">
        <f t="shared" si="17"/>
        <v>7.3076923076923085E-6</v>
      </c>
    </row>
    <row r="90" spans="1:13">
      <c r="A90">
        <v>1</v>
      </c>
      <c r="B90">
        <v>17</v>
      </c>
      <c r="C90" t="str">
        <f t="shared" si="19"/>
        <v>ftsh</v>
      </c>
      <c r="D90">
        <f t="shared" si="18"/>
        <v>2</v>
      </c>
      <c r="E90" t="str">
        <f t="shared" si="14"/>
        <v>ftsh</v>
      </c>
      <c r="F90">
        <f t="shared" si="20"/>
        <v>2</v>
      </c>
      <c r="G90">
        <v>3</v>
      </c>
      <c r="H90">
        <v>28</v>
      </c>
      <c r="I90">
        <v>0</v>
      </c>
      <c r="J90">
        <f t="shared" si="15"/>
        <v>1</v>
      </c>
      <c r="K90" s="1">
        <f t="shared" si="16"/>
        <v>1400</v>
      </c>
      <c r="L90" s="1">
        <f t="shared" si="9"/>
        <v>249999999.99999997</v>
      </c>
      <c r="M90" s="2">
        <f t="shared" si="17"/>
        <v>5.6000000000000006E-6</v>
      </c>
    </row>
    <row r="91" spans="1:13">
      <c r="A91">
        <v>1</v>
      </c>
      <c r="B91">
        <v>18</v>
      </c>
      <c r="C91" t="str">
        <f t="shared" si="19"/>
        <v>ftsh</v>
      </c>
      <c r="D91">
        <f t="shared" si="18"/>
        <v>3</v>
      </c>
      <c r="E91" t="str">
        <f t="shared" si="14"/>
        <v>ftsh</v>
      </c>
      <c r="F91">
        <f t="shared" si="20"/>
        <v>3</v>
      </c>
      <c r="G91">
        <v>3</v>
      </c>
      <c r="H91">
        <v>34</v>
      </c>
      <c r="I91">
        <v>0</v>
      </c>
      <c r="J91">
        <f t="shared" si="15"/>
        <v>1</v>
      </c>
      <c r="K91" s="1">
        <f t="shared" si="16"/>
        <v>1700</v>
      </c>
      <c r="L91" s="1">
        <f t="shared" ref="L91:L145" si="21">L67</f>
        <v>234999999.99999997</v>
      </c>
      <c r="M91" s="2">
        <f t="shared" si="17"/>
        <v>7.2340425531914906E-6</v>
      </c>
    </row>
    <row r="92" spans="1:13">
      <c r="A92">
        <v>1</v>
      </c>
      <c r="B92">
        <v>19</v>
      </c>
      <c r="C92" t="str">
        <f t="shared" si="19"/>
        <v>fimE</v>
      </c>
      <c r="D92">
        <f t="shared" si="18"/>
        <v>1</v>
      </c>
      <c r="E92" t="str">
        <f t="shared" si="14"/>
        <v>fimE</v>
      </c>
      <c r="F92">
        <f t="shared" si="20"/>
        <v>1</v>
      </c>
      <c r="G92">
        <v>3</v>
      </c>
      <c r="H92">
        <v>33</v>
      </c>
      <c r="I92">
        <v>0</v>
      </c>
      <c r="J92">
        <f t="shared" si="15"/>
        <v>1</v>
      </c>
      <c r="K92" s="1">
        <f t="shared" si="16"/>
        <v>1650</v>
      </c>
      <c r="L92" s="1">
        <f t="shared" si="21"/>
        <v>229999999.99999997</v>
      </c>
      <c r="M92" s="2">
        <f t="shared" si="17"/>
        <v>7.1739130434782619E-6</v>
      </c>
    </row>
    <row r="93" spans="1:13">
      <c r="A93">
        <v>1</v>
      </c>
      <c r="B93">
        <v>20</v>
      </c>
      <c r="C93" t="str">
        <f t="shared" si="19"/>
        <v>fimE</v>
      </c>
      <c r="D93">
        <f t="shared" si="18"/>
        <v>2</v>
      </c>
      <c r="E93" t="str">
        <f t="shared" si="14"/>
        <v>fimE</v>
      </c>
      <c r="F93">
        <f t="shared" si="20"/>
        <v>2</v>
      </c>
      <c r="G93">
        <v>3</v>
      </c>
      <c r="H93">
        <v>34</v>
      </c>
      <c r="I93">
        <v>0</v>
      </c>
      <c r="J93">
        <f t="shared" si="15"/>
        <v>1</v>
      </c>
      <c r="K93" s="1">
        <f t="shared" si="16"/>
        <v>1700</v>
      </c>
      <c r="L93" s="1">
        <f t="shared" si="21"/>
        <v>204999999.99999997</v>
      </c>
      <c r="M93" s="2">
        <f t="shared" si="17"/>
        <v>8.2926829268292702E-6</v>
      </c>
    </row>
    <row r="94" spans="1:13">
      <c r="A94">
        <v>1</v>
      </c>
      <c r="B94">
        <v>21</v>
      </c>
      <c r="C94" t="str">
        <f t="shared" si="19"/>
        <v>fimE</v>
      </c>
      <c r="D94">
        <f t="shared" si="18"/>
        <v>3</v>
      </c>
      <c r="E94" t="str">
        <f t="shared" si="14"/>
        <v>fimE</v>
      </c>
      <c r="F94">
        <f t="shared" si="20"/>
        <v>3</v>
      </c>
      <c r="G94">
        <v>3</v>
      </c>
      <c r="H94">
        <v>28</v>
      </c>
      <c r="I94">
        <v>0</v>
      </c>
      <c r="J94">
        <f t="shared" si="15"/>
        <v>1</v>
      </c>
      <c r="K94" s="1">
        <f t="shared" si="16"/>
        <v>1400</v>
      </c>
      <c r="L94" s="1">
        <f t="shared" si="21"/>
        <v>219999999.99999997</v>
      </c>
      <c r="M94" s="2">
        <f t="shared" si="17"/>
        <v>6.3636363636363642E-6</v>
      </c>
    </row>
    <row r="95" spans="1:13">
      <c r="A95">
        <v>1</v>
      </c>
      <c r="B95">
        <v>22</v>
      </c>
      <c r="C95" t="str">
        <f t="shared" si="19"/>
        <v>wt</v>
      </c>
      <c r="D95">
        <f t="shared" si="18"/>
        <v>1</v>
      </c>
      <c r="E95" t="str">
        <f t="shared" si="14"/>
        <v>wt</v>
      </c>
      <c r="F95">
        <f t="shared" si="20"/>
        <v>1</v>
      </c>
      <c r="G95">
        <v>3</v>
      </c>
      <c r="H95">
        <v>31</v>
      </c>
      <c r="I95">
        <v>0</v>
      </c>
      <c r="J95">
        <f t="shared" si="15"/>
        <v>1</v>
      </c>
      <c r="K95" s="1">
        <f t="shared" si="16"/>
        <v>1550</v>
      </c>
      <c r="L95" s="1">
        <f t="shared" si="21"/>
        <v>239999999.99999997</v>
      </c>
      <c r="M95" s="2">
        <f t="shared" si="17"/>
        <v>6.4583333333333339E-6</v>
      </c>
    </row>
    <row r="96" spans="1:13">
      <c r="A96">
        <v>1</v>
      </c>
      <c r="B96">
        <v>23</v>
      </c>
      <c r="C96" t="str">
        <f t="shared" si="19"/>
        <v>wt</v>
      </c>
      <c r="D96">
        <f t="shared" si="18"/>
        <v>2</v>
      </c>
      <c r="E96" t="str">
        <f t="shared" si="14"/>
        <v>wt</v>
      </c>
      <c r="F96">
        <f t="shared" si="20"/>
        <v>2</v>
      </c>
      <c r="G96">
        <v>3</v>
      </c>
      <c r="H96">
        <v>28</v>
      </c>
      <c r="I96">
        <v>0</v>
      </c>
      <c r="J96">
        <f t="shared" si="15"/>
        <v>1</v>
      </c>
      <c r="K96" s="1">
        <f t="shared" si="16"/>
        <v>1400</v>
      </c>
      <c r="L96" s="1">
        <f t="shared" si="21"/>
        <v>249999999.99999997</v>
      </c>
      <c r="M96" s="2">
        <f t="shared" si="17"/>
        <v>5.6000000000000006E-6</v>
      </c>
    </row>
    <row r="97" spans="1:13">
      <c r="A97">
        <v>1</v>
      </c>
      <c r="B97">
        <v>24</v>
      </c>
      <c r="C97" t="str">
        <f t="shared" si="19"/>
        <v>wt</v>
      </c>
      <c r="D97">
        <f t="shared" si="18"/>
        <v>3</v>
      </c>
      <c r="E97" t="str">
        <f t="shared" si="14"/>
        <v>wt</v>
      </c>
      <c r="F97">
        <f t="shared" si="20"/>
        <v>3</v>
      </c>
      <c r="G97">
        <v>3</v>
      </c>
      <c r="H97">
        <v>32</v>
      </c>
      <c r="I97">
        <v>0</v>
      </c>
      <c r="J97">
        <f t="shared" si="15"/>
        <v>1</v>
      </c>
      <c r="K97" s="1">
        <f t="shared" si="16"/>
        <v>1600</v>
      </c>
      <c r="L97" s="1">
        <f t="shared" si="21"/>
        <v>170000000</v>
      </c>
      <c r="M97" s="2">
        <f t="shared" si="17"/>
        <v>9.4117647058823521E-6</v>
      </c>
    </row>
    <row r="98" spans="1:13">
      <c r="A98">
        <v>1</v>
      </c>
      <c r="B98">
        <f t="shared" ref="B98:B145" si="22">B74</f>
        <v>1</v>
      </c>
      <c r="C98" t="str">
        <f t="shared" si="19"/>
        <v>gata</v>
      </c>
      <c r="D98">
        <f t="shared" si="18"/>
        <v>1</v>
      </c>
      <c r="E98" t="str">
        <f t="shared" si="14"/>
        <v>gata</v>
      </c>
      <c r="F98">
        <f t="shared" ref="F98:F145" si="23">F74</f>
        <v>1</v>
      </c>
      <c r="G98">
        <v>5</v>
      </c>
      <c r="H98">
        <v>68</v>
      </c>
      <c r="I98">
        <v>-1</v>
      </c>
      <c r="J98">
        <f t="shared" si="15"/>
        <v>10</v>
      </c>
      <c r="K98" s="1">
        <f t="shared" si="16"/>
        <v>340</v>
      </c>
      <c r="L98" s="1">
        <f t="shared" si="21"/>
        <v>259999999.99999997</v>
      </c>
      <c r="M98" s="2">
        <f t="shared" si="17"/>
        <v>1.3076923076923079E-6</v>
      </c>
    </row>
    <row r="99" spans="1:13">
      <c r="A99">
        <v>1</v>
      </c>
      <c r="B99">
        <f t="shared" si="22"/>
        <v>2</v>
      </c>
      <c r="C99" t="str">
        <f t="shared" si="19"/>
        <v>gata</v>
      </c>
      <c r="D99">
        <f t="shared" si="18"/>
        <v>2</v>
      </c>
      <c r="E99" t="str">
        <f t="shared" si="14"/>
        <v>gata</v>
      </c>
      <c r="F99">
        <f t="shared" si="23"/>
        <v>2</v>
      </c>
      <c r="G99">
        <v>5</v>
      </c>
      <c r="H99">
        <v>45</v>
      </c>
      <c r="I99">
        <v>-1</v>
      </c>
      <c r="J99">
        <f t="shared" si="15"/>
        <v>10</v>
      </c>
      <c r="K99" s="1">
        <f t="shared" si="16"/>
        <v>225</v>
      </c>
      <c r="L99" s="1">
        <f t="shared" si="21"/>
        <v>209999999.99999997</v>
      </c>
      <c r="M99" s="2">
        <f t="shared" si="17"/>
        <v>1.0714285714285716E-6</v>
      </c>
    </row>
    <row r="100" spans="1:13">
      <c r="A100">
        <v>1</v>
      </c>
      <c r="B100">
        <f t="shared" si="22"/>
        <v>3</v>
      </c>
      <c r="C100" t="str">
        <f t="shared" si="19"/>
        <v>gata</v>
      </c>
      <c r="D100">
        <f t="shared" si="18"/>
        <v>3</v>
      </c>
      <c r="E100" t="str">
        <f t="shared" si="14"/>
        <v>gata</v>
      </c>
      <c r="F100">
        <f t="shared" si="23"/>
        <v>3</v>
      </c>
      <c r="G100">
        <v>5</v>
      </c>
      <c r="H100">
        <v>40</v>
      </c>
      <c r="I100">
        <v>-1</v>
      </c>
      <c r="J100">
        <f t="shared" si="15"/>
        <v>10</v>
      </c>
      <c r="K100" s="1">
        <f t="shared" si="16"/>
        <v>200</v>
      </c>
      <c r="L100" s="1">
        <f t="shared" si="21"/>
        <v>224999999.99999997</v>
      </c>
      <c r="M100" s="2">
        <f t="shared" si="17"/>
        <v>8.8888888888888898E-7</v>
      </c>
    </row>
    <row r="101" spans="1:13">
      <c r="A101">
        <v>1</v>
      </c>
      <c r="B101">
        <f t="shared" si="22"/>
        <v>4</v>
      </c>
      <c r="C101" t="str">
        <f t="shared" si="19"/>
        <v>glvc</v>
      </c>
      <c r="D101">
        <f t="shared" si="18"/>
        <v>1</v>
      </c>
      <c r="E101" t="str">
        <f t="shared" si="14"/>
        <v>glvc</v>
      </c>
      <c r="F101">
        <f t="shared" si="23"/>
        <v>1</v>
      </c>
      <c r="G101">
        <v>5</v>
      </c>
      <c r="H101">
        <v>80</v>
      </c>
      <c r="I101">
        <v>-1</v>
      </c>
      <c r="J101">
        <f t="shared" si="15"/>
        <v>10</v>
      </c>
      <c r="K101" s="1">
        <f t="shared" si="16"/>
        <v>400</v>
      </c>
      <c r="L101" s="1">
        <f t="shared" si="21"/>
        <v>270000000</v>
      </c>
      <c r="M101" s="2">
        <f t="shared" si="17"/>
        <v>1.4814814814814815E-6</v>
      </c>
    </row>
    <row r="102" spans="1:13">
      <c r="A102">
        <v>1</v>
      </c>
      <c r="B102">
        <f t="shared" si="22"/>
        <v>5</v>
      </c>
      <c r="C102" t="str">
        <f t="shared" si="19"/>
        <v>glvc</v>
      </c>
      <c r="D102">
        <f t="shared" si="18"/>
        <v>2</v>
      </c>
      <c r="E102" t="str">
        <f t="shared" si="14"/>
        <v>glvc</v>
      </c>
      <c r="F102">
        <f t="shared" si="23"/>
        <v>2</v>
      </c>
      <c r="G102">
        <v>5</v>
      </c>
      <c r="H102">
        <v>78</v>
      </c>
      <c r="I102">
        <v>-1</v>
      </c>
      <c r="J102">
        <f t="shared" si="15"/>
        <v>10</v>
      </c>
      <c r="K102" s="1">
        <f t="shared" si="16"/>
        <v>390</v>
      </c>
      <c r="L102" s="1">
        <f t="shared" si="21"/>
        <v>285000000</v>
      </c>
      <c r="M102" s="2">
        <f t="shared" si="17"/>
        <v>1.3684210526315789E-6</v>
      </c>
    </row>
    <row r="103" spans="1:13">
      <c r="A103">
        <v>1</v>
      </c>
      <c r="B103">
        <f t="shared" si="22"/>
        <v>6</v>
      </c>
      <c r="C103" t="str">
        <f t="shared" si="19"/>
        <v>glvc</v>
      </c>
      <c r="D103">
        <f t="shared" si="18"/>
        <v>3</v>
      </c>
      <c r="E103" t="str">
        <f t="shared" si="14"/>
        <v>glvc</v>
      </c>
      <c r="F103">
        <f t="shared" si="23"/>
        <v>3</v>
      </c>
      <c r="G103">
        <v>5</v>
      </c>
      <c r="H103">
        <v>69</v>
      </c>
      <c r="I103">
        <v>-1</v>
      </c>
      <c r="J103">
        <f t="shared" si="15"/>
        <v>10</v>
      </c>
      <c r="K103" s="1">
        <f t="shared" si="16"/>
        <v>345</v>
      </c>
      <c r="L103" s="1">
        <f t="shared" si="21"/>
        <v>270000000</v>
      </c>
      <c r="M103" s="2">
        <f t="shared" si="17"/>
        <v>1.2777777777777779E-6</v>
      </c>
    </row>
    <row r="104" spans="1:13">
      <c r="A104">
        <v>1</v>
      </c>
      <c r="B104">
        <f t="shared" si="22"/>
        <v>7</v>
      </c>
      <c r="C104" t="str">
        <f t="shared" si="19"/>
        <v>hipa</v>
      </c>
      <c r="D104">
        <f t="shared" si="18"/>
        <v>1</v>
      </c>
      <c r="E104" t="str">
        <f t="shared" si="14"/>
        <v>hipa</v>
      </c>
      <c r="F104">
        <f t="shared" si="23"/>
        <v>1</v>
      </c>
      <c r="G104">
        <v>5</v>
      </c>
      <c r="H104">
        <v>73</v>
      </c>
      <c r="I104">
        <v>0</v>
      </c>
      <c r="J104">
        <f t="shared" si="15"/>
        <v>1</v>
      </c>
      <c r="K104" s="1">
        <f t="shared" si="16"/>
        <v>3650</v>
      </c>
      <c r="L104" s="1">
        <f t="shared" si="21"/>
        <v>150000000</v>
      </c>
      <c r="M104" s="2">
        <f t="shared" si="17"/>
        <v>2.4333333333333333E-5</v>
      </c>
    </row>
    <row r="105" spans="1:13">
      <c r="A105">
        <v>1</v>
      </c>
      <c r="B105">
        <f t="shared" si="22"/>
        <v>8</v>
      </c>
      <c r="C105" t="str">
        <f t="shared" si="19"/>
        <v>hipa</v>
      </c>
      <c r="D105">
        <f t="shared" si="18"/>
        <v>2</v>
      </c>
      <c r="E105" t="str">
        <f t="shared" si="14"/>
        <v>hipa</v>
      </c>
      <c r="F105">
        <f t="shared" si="23"/>
        <v>2</v>
      </c>
      <c r="G105">
        <v>5</v>
      </c>
      <c r="H105">
        <v>65</v>
      </c>
      <c r="I105">
        <v>0</v>
      </c>
      <c r="J105">
        <f t="shared" si="15"/>
        <v>1</v>
      </c>
      <c r="K105" s="1">
        <f t="shared" si="16"/>
        <v>3250</v>
      </c>
      <c r="L105" s="1">
        <f t="shared" si="21"/>
        <v>199999999.99999997</v>
      </c>
      <c r="M105" s="2">
        <f t="shared" si="17"/>
        <v>1.6250000000000002E-5</v>
      </c>
    </row>
    <row r="106" spans="1:13">
      <c r="A106">
        <v>1</v>
      </c>
      <c r="B106">
        <f t="shared" si="22"/>
        <v>9</v>
      </c>
      <c r="C106" t="str">
        <f t="shared" ref="C106:C137" si="24">C82</f>
        <v>hipa</v>
      </c>
      <c r="D106">
        <f t="shared" si="18"/>
        <v>3</v>
      </c>
      <c r="E106" t="str">
        <f t="shared" si="14"/>
        <v>hipa</v>
      </c>
      <c r="F106">
        <f t="shared" si="23"/>
        <v>3</v>
      </c>
      <c r="G106">
        <v>5</v>
      </c>
      <c r="H106">
        <v>70</v>
      </c>
      <c r="I106">
        <v>0</v>
      </c>
      <c r="J106">
        <f t="shared" si="15"/>
        <v>1</v>
      </c>
      <c r="K106" s="1">
        <f t="shared" si="16"/>
        <v>3500</v>
      </c>
      <c r="L106" s="1">
        <f t="shared" si="21"/>
        <v>214999999.99999997</v>
      </c>
      <c r="M106" s="2">
        <f t="shared" si="17"/>
        <v>1.6279069767441862E-5</v>
      </c>
    </row>
    <row r="107" spans="1:13">
      <c r="A107">
        <v>1</v>
      </c>
      <c r="B107">
        <f t="shared" si="22"/>
        <v>10</v>
      </c>
      <c r="C107" t="str">
        <f t="shared" si="24"/>
        <v>selb</v>
      </c>
      <c r="D107">
        <f t="shared" si="18"/>
        <v>1</v>
      </c>
      <c r="E107" t="str">
        <f t="shared" si="14"/>
        <v>selb</v>
      </c>
      <c r="F107">
        <f t="shared" si="23"/>
        <v>1</v>
      </c>
      <c r="G107">
        <v>5</v>
      </c>
      <c r="H107">
        <v>65</v>
      </c>
      <c r="I107">
        <v>-1</v>
      </c>
      <c r="J107">
        <f t="shared" si="15"/>
        <v>10</v>
      </c>
      <c r="K107" s="1">
        <f t="shared" si="16"/>
        <v>325</v>
      </c>
      <c r="L107" s="1">
        <f t="shared" si="21"/>
        <v>209999999.99999997</v>
      </c>
      <c r="M107" s="2">
        <f t="shared" si="17"/>
        <v>1.5476190476190479E-6</v>
      </c>
    </row>
    <row r="108" spans="1:13">
      <c r="A108">
        <v>1</v>
      </c>
      <c r="B108">
        <f t="shared" si="22"/>
        <v>11</v>
      </c>
      <c r="C108" t="str">
        <f t="shared" si="24"/>
        <v>selb</v>
      </c>
      <c r="D108">
        <f t="shared" si="18"/>
        <v>2</v>
      </c>
      <c r="E108" t="str">
        <f t="shared" si="14"/>
        <v>selb</v>
      </c>
      <c r="F108">
        <f t="shared" si="23"/>
        <v>2</v>
      </c>
      <c r="G108">
        <v>5</v>
      </c>
      <c r="H108">
        <v>62</v>
      </c>
      <c r="I108">
        <v>-1</v>
      </c>
      <c r="J108">
        <f t="shared" si="15"/>
        <v>10</v>
      </c>
      <c r="K108" s="1">
        <f t="shared" si="16"/>
        <v>310</v>
      </c>
      <c r="L108" s="1">
        <f t="shared" si="21"/>
        <v>194999999.99999997</v>
      </c>
      <c r="M108" s="2">
        <f t="shared" si="17"/>
        <v>1.5897435897435899E-6</v>
      </c>
    </row>
    <row r="109" spans="1:13">
      <c r="A109">
        <v>1</v>
      </c>
      <c r="B109">
        <f t="shared" si="22"/>
        <v>12</v>
      </c>
      <c r="C109" t="str">
        <f t="shared" si="24"/>
        <v>selb</v>
      </c>
      <c r="D109">
        <f t="shared" si="18"/>
        <v>3</v>
      </c>
      <c r="E109" t="str">
        <f t="shared" si="14"/>
        <v>selb</v>
      </c>
      <c r="F109">
        <f t="shared" si="23"/>
        <v>3</v>
      </c>
      <c r="G109">
        <v>5</v>
      </c>
      <c r="H109">
        <v>68</v>
      </c>
      <c r="I109">
        <v>-1</v>
      </c>
      <c r="J109">
        <f t="shared" si="15"/>
        <v>10</v>
      </c>
      <c r="K109" s="1">
        <f t="shared" si="16"/>
        <v>340</v>
      </c>
      <c r="L109" s="1">
        <f t="shared" si="21"/>
        <v>209999999.99999997</v>
      </c>
      <c r="M109" s="2">
        <f t="shared" si="17"/>
        <v>1.6190476190476193E-6</v>
      </c>
    </row>
    <row r="110" spans="1:13">
      <c r="A110">
        <v>1</v>
      </c>
      <c r="B110">
        <f t="shared" si="22"/>
        <v>13</v>
      </c>
      <c r="C110" t="str">
        <f t="shared" si="24"/>
        <v>rpoz</v>
      </c>
      <c r="D110">
        <f t="shared" si="18"/>
        <v>1</v>
      </c>
      <c r="E110" t="str">
        <f t="shared" si="14"/>
        <v>rpoz</v>
      </c>
      <c r="F110">
        <f t="shared" si="23"/>
        <v>1</v>
      </c>
      <c r="G110">
        <v>5</v>
      </c>
      <c r="H110">
        <v>118</v>
      </c>
      <c r="I110">
        <v>-1</v>
      </c>
      <c r="J110">
        <f t="shared" si="15"/>
        <v>10</v>
      </c>
      <c r="K110" s="1">
        <f t="shared" si="16"/>
        <v>590</v>
      </c>
      <c r="L110" s="1">
        <f t="shared" si="21"/>
        <v>280000000</v>
      </c>
      <c r="M110" s="2">
        <f t="shared" si="17"/>
        <v>2.1071428571428572E-6</v>
      </c>
    </row>
    <row r="111" spans="1:13">
      <c r="A111">
        <v>1</v>
      </c>
      <c r="B111">
        <f t="shared" si="22"/>
        <v>14</v>
      </c>
      <c r="C111" t="str">
        <f t="shared" si="24"/>
        <v>rpoz</v>
      </c>
      <c r="D111">
        <f t="shared" si="18"/>
        <v>2</v>
      </c>
      <c r="E111" t="str">
        <f t="shared" si="14"/>
        <v>rpoz</v>
      </c>
      <c r="F111">
        <f t="shared" si="23"/>
        <v>2</v>
      </c>
      <c r="G111">
        <v>5</v>
      </c>
      <c r="H111">
        <v>95</v>
      </c>
      <c r="I111">
        <v>-1</v>
      </c>
      <c r="J111">
        <f t="shared" si="15"/>
        <v>10</v>
      </c>
      <c r="K111" s="1">
        <f t="shared" si="16"/>
        <v>475</v>
      </c>
      <c r="L111" s="1">
        <f t="shared" si="21"/>
        <v>224999999.99999997</v>
      </c>
      <c r="M111" s="2">
        <f t="shared" si="17"/>
        <v>2.1111111111111114E-6</v>
      </c>
    </row>
    <row r="112" spans="1:13">
      <c r="A112">
        <v>1</v>
      </c>
      <c r="B112">
        <f t="shared" si="22"/>
        <v>15</v>
      </c>
      <c r="C112" t="str">
        <f t="shared" si="24"/>
        <v>rpoz</v>
      </c>
      <c r="D112">
        <f t="shared" si="18"/>
        <v>3</v>
      </c>
      <c r="E112" t="str">
        <f t="shared" si="14"/>
        <v>rpoz</v>
      </c>
      <c r="F112">
        <f t="shared" si="23"/>
        <v>3</v>
      </c>
      <c r="G112">
        <v>5</v>
      </c>
      <c r="H112">
        <v>117</v>
      </c>
      <c r="I112">
        <v>-1</v>
      </c>
      <c r="J112">
        <f t="shared" si="15"/>
        <v>10</v>
      </c>
      <c r="K112" s="1">
        <f t="shared" si="16"/>
        <v>585</v>
      </c>
      <c r="L112" s="1">
        <f t="shared" si="21"/>
        <v>320000000</v>
      </c>
      <c r="M112" s="2">
        <f t="shared" si="17"/>
        <v>1.828125E-6</v>
      </c>
    </row>
    <row r="113" spans="1:13">
      <c r="A113">
        <v>1</v>
      </c>
      <c r="B113">
        <f t="shared" si="22"/>
        <v>16</v>
      </c>
      <c r="C113" t="str">
        <f t="shared" si="24"/>
        <v>ftsh</v>
      </c>
      <c r="D113">
        <f t="shared" si="18"/>
        <v>1</v>
      </c>
      <c r="E113" t="str">
        <f t="shared" si="14"/>
        <v>ftsh</v>
      </c>
      <c r="F113">
        <f t="shared" si="23"/>
        <v>1</v>
      </c>
      <c r="G113">
        <v>5</v>
      </c>
      <c r="H113">
        <v>44</v>
      </c>
      <c r="I113">
        <v>-1</v>
      </c>
      <c r="J113">
        <f t="shared" si="15"/>
        <v>10</v>
      </c>
      <c r="K113" s="1">
        <f t="shared" si="16"/>
        <v>220</v>
      </c>
      <c r="L113" s="1">
        <f t="shared" si="21"/>
        <v>259999999.99999997</v>
      </c>
      <c r="M113" s="2">
        <f t="shared" si="17"/>
        <v>8.4615384615384629E-7</v>
      </c>
    </row>
    <row r="114" spans="1:13">
      <c r="A114">
        <v>1</v>
      </c>
      <c r="B114">
        <f t="shared" si="22"/>
        <v>17</v>
      </c>
      <c r="C114" t="str">
        <f t="shared" si="24"/>
        <v>ftsh</v>
      </c>
      <c r="D114">
        <f t="shared" si="18"/>
        <v>2</v>
      </c>
      <c r="E114" t="str">
        <f t="shared" si="14"/>
        <v>ftsh</v>
      </c>
      <c r="F114">
        <f t="shared" si="23"/>
        <v>2</v>
      </c>
      <c r="G114">
        <v>5</v>
      </c>
      <c r="H114">
        <v>40</v>
      </c>
      <c r="I114">
        <v>-1</v>
      </c>
      <c r="J114">
        <f t="shared" si="15"/>
        <v>10</v>
      </c>
      <c r="K114" s="1">
        <f t="shared" si="16"/>
        <v>200</v>
      </c>
      <c r="L114" s="1">
        <f t="shared" si="21"/>
        <v>249999999.99999997</v>
      </c>
      <c r="M114" s="2">
        <f t="shared" si="17"/>
        <v>8.0000000000000007E-7</v>
      </c>
    </row>
    <row r="115" spans="1:13">
      <c r="A115">
        <v>1</v>
      </c>
      <c r="B115">
        <f t="shared" si="22"/>
        <v>18</v>
      </c>
      <c r="C115" t="str">
        <f t="shared" si="24"/>
        <v>ftsh</v>
      </c>
      <c r="D115">
        <f t="shared" si="18"/>
        <v>3</v>
      </c>
      <c r="E115" t="str">
        <f t="shared" si="14"/>
        <v>ftsh</v>
      </c>
      <c r="F115">
        <f t="shared" si="23"/>
        <v>3</v>
      </c>
      <c r="G115">
        <v>5</v>
      </c>
      <c r="H115">
        <v>36</v>
      </c>
      <c r="I115">
        <v>-1</v>
      </c>
      <c r="J115">
        <f t="shared" si="15"/>
        <v>10</v>
      </c>
      <c r="K115" s="1">
        <f t="shared" si="16"/>
        <v>180</v>
      </c>
      <c r="L115" s="1">
        <f t="shared" si="21"/>
        <v>234999999.99999997</v>
      </c>
      <c r="M115" s="2">
        <f t="shared" si="17"/>
        <v>7.6595744680851069E-7</v>
      </c>
    </row>
    <row r="116" spans="1:13">
      <c r="A116">
        <v>1</v>
      </c>
      <c r="B116">
        <f t="shared" si="22"/>
        <v>19</v>
      </c>
      <c r="C116" t="str">
        <f t="shared" si="24"/>
        <v>fimE</v>
      </c>
      <c r="D116">
        <f t="shared" si="18"/>
        <v>1</v>
      </c>
      <c r="E116" t="str">
        <f t="shared" si="14"/>
        <v>fimE</v>
      </c>
      <c r="F116">
        <f t="shared" si="23"/>
        <v>1</v>
      </c>
      <c r="G116">
        <v>5</v>
      </c>
      <c r="H116">
        <v>62</v>
      </c>
      <c r="I116">
        <v>-1</v>
      </c>
      <c r="J116">
        <f t="shared" si="15"/>
        <v>10</v>
      </c>
      <c r="K116" s="1">
        <f t="shared" si="16"/>
        <v>310</v>
      </c>
      <c r="L116" s="1">
        <f t="shared" si="21"/>
        <v>229999999.99999997</v>
      </c>
      <c r="M116" s="2">
        <f t="shared" si="17"/>
        <v>1.3478260869565219E-6</v>
      </c>
    </row>
    <row r="117" spans="1:13">
      <c r="A117">
        <v>1</v>
      </c>
      <c r="B117">
        <f t="shared" si="22"/>
        <v>20</v>
      </c>
      <c r="C117" t="str">
        <f t="shared" si="24"/>
        <v>fimE</v>
      </c>
      <c r="D117">
        <f t="shared" si="18"/>
        <v>2</v>
      </c>
      <c r="E117" t="str">
        <f t="shared" si="14"/>
        <v>fimE</v>
      </c>
      <c r="F117">
        <f t="shared" si="23"/>
        <v>2</v>
      </c>
      <c r="G117">
        <v>5</v>
      </c>
      <c r="H117">
        <v>78</v>
      </c>
      <c r="I117">
        <v>-1</v>
      </c>
      <c r="J117">
        <f t="shared" si="15"/>
        <v>10</v>
      </c>
      <c r="K117" s="1">
        <f t="shared" si="16"/>
        <v>390</v>
      </c>
      <c r="L117" s="1">
        <f t="shared" si="21"/>
        <v>204999999.99999997</v>
      </c>
      <c r="M117" s="2">
        <f t="shared" si="17"/>
        <v>1.9024390243902443E-6</v>
      </c>
    </row>
    <row r="118" spans="1:13">
      <c r="A118">
        <v>1</v>
      </c>
      <c r="B118">
        <f t="shared" si="22"/>
        <v>21</v>
      </c>
      <c r="C118" t="str">
        <f t="shared" si="24"/>
        <v>fimE</v>
      </c>
      <c r="D118">
        <f t="shared" si="18"/>
        <v>3</v>
      </c>
      <c r="E118" t="str">
        <f t="shared" si="14"/>
        <v>fimE</v>
      </c>
      <c r="F118">
        <f t="shared" si="23"/>
        <v>3</v>
      </c>
      <c r="G118">
        <v>5</v>
      </c>
      <c r="H118">
        <v>62</v>
      </c>
      <c r="I118">
        <v>-1</v>
      </c>
      <c r="J118">
        <f t="shared" si="15"/>
        <v>10</v>
      </c>
      <c r="K118" s="1">
        <f t="shared" si="16"/>
        <v>310</v>
      </c>
      <c r="L118" s="1">
        <f t="shared" si="21"/>
        <v>219999999.99999997</v>
      </c>
      <c r="M118" s="2">
        <f t="shared" si="17"/>
        <v>1.4090909090909092E-6</v>
      </c>
    </row>
    <row r="119" spans="1:13">
      <c r="A119">
        <v>1</v>
      </c>
      <c r="B119">
        <f t="shared" si="22"/>
        <v>22</v>
      </c>
      <c r="C119" t="str">
        <f t="shared" si="24"/>
        <v>wt</v>
      </c>
      <c r="D119">
        <f t="shared" si="18"/>
        <v>1</v>
      </c>
      <c r="E119" t="str">
        <f t="shared" si="14"/>
        <v>wt</v>
      </c>
      <c r="F119">
        <f t="shared" si="23"/>
        <v>1</v>
      </c>
      <c r="G119">
        <v>5</v>
      </c>
      <c r="H119">
        <v>69</v>
      </c>
      <c r="I119">
        <v>-1</v>
      </c>
      <c r="J119">
        <f t="shared" si="15"/>
        <v>10</v>
      </c>
      <c r="K119" s="1">
        <f t="shared" si="16"/>
        <v>345</v>
      </c>
      <c r="L119" s="1">
        <f t="shared" si="21"/>
        <v>239999999.99999997</v>
      </c>
      <c r="M119" s="2">
        <f t="shared" si="17"/>
        <v>1.4375000000000002E-6</v>
      </c>
    </row>
    <row r="120" spans="1:13">
      <c r="A120">
        <v>1</v>
      </c>
      <c r="B120">
        <f t="shared" si="22"/>
        <v>23</v>
      </c>
      <c r="C120" t="str">
        <f t="shared" si="24"/>
        <v>wt</v>
      </c>
      <c r="D120">
        <f t="shared" si="18"/>
        <v>2</v>
      </c>
      <c r="E120" t="str">
        <f t="shared" si="14"/>
        <v>wt</v>
      </c>
      <c r="F120">
        <f t="shared" si="23"/>
        <v>2</v>
      </c>
      <c r="G120">
        <v>5</v>
      </c>
      <c r="H120">
        <v>69</v>
      </c>
      <c r="I120">
        <v>-1</v>
      </c>
      <c r="J120">
        <f t="shared" si="15"/>
        <v>10</v>
      </c>
      <c r="K120" s="1">
        <f t="shared" si="16"/>
        <v>345</v>
      </c>
      <c r="L120" s="1">
        <f t="shared" si="21"/>
        <v>249999999.99999997</v>
      </c>
      <c r="M120" s="2">
        <f t="shared" si="17"/>
        <v>1.3800000000000001E-6</v>
      </c>
    </row>
    <row r="121" spans="1:13">
      <c r="A121">
        <v>1</v>
      </c>
      <c r="B121">
        <f t="shared" si="22"/>
        <v>24</v>
      </c>
      <c r="C121" t="str">
        <f t="shared" si="24"/>
        <v>wt</v>
      </c>
      <c r="D121">
        <f t="shared" si="18"/>
        <v>3</v>
      </c>
      <c r="E121" t="str">
        <f t="shared" si="14"/>
        <v>wt</v>
      </c>
      <c r="F121">
        <f t="shared" si="23"/>
        <v>3</v>
      </c>
      <c r="G121">
        <v>5</v>
      </c>
      <c r="H121">
        <v>68</v>
      </c>
      <c r="I121">
        <v>-1</v>
      </c>
      <c r="J121">
        <f t="shared" si="15"/>
        <v>10</v>
      </c>
      <c r="K121" s="1">
        <f t="shared" si="16"/>
        <v>340</v>
      </c>
      <c r="L121" s="1">
        <f t="shared" si="21"/>
        <v>170000000</v>
      </c>
      <c r="M121" s="2">
        <f t="shared" si="17"/>
        <v>1.9999999999999999E-6</v>
      </c>
    </row>
    <row r="122" spans="1:13">
      <c r="A122">
        <v>1</v>
      </c>
      <c r="B122">
        <f t="shared" si="22"/>
        <v>1</v>
      </c>
      <c r="C122" t="str">
        <f t="shared" si="24"/>
        <v>gata</v>
      </c>
      <c r="D122">
        <f t="shared" si="18"/>
        <v>1</v>
      </c>
      <c r="E122" t="str">
        <f t="shared" si="14"/>
        <v>gata</v>
      </c>
      <c r="F122">
        <f t="shared" si="23"/>
        <v>1</v>
      </c>
      <c r="G122">
        <v>7</v>
      </c>
      <c r="H122">
        <v>27</v>
      </c>
      <c r="I122">
        <v>-1</v>
      </c>
      <c r="J122">
        <f t="shared" si="15"/>
        <v>10</v>
      </c>
      <c r="K122" s="1">
        <f t="shared" si="16"/>
        <v>135</v>
      </c>
      <c r="L122" s="1">
        <f t="shared" si="21"/>
        <v>259999999.99999997</v>
      </c>
      <c r="M122" s="2">
        <f t="shared" si="17"/>
        <v>5.1923076923076932E-7</v>
      </c>
    </row>
    <row r="123" spans="1:13">
      <c r="A123">
        <v>1</v>
      </c>
      <c r="B123">
        <f t="shared" si="22"/>
        <v>2</v>
      </c>
      <c r="C123" t="str">
        <f t="shared" si="24"/>
        <v>gata</v>
      </c>
      <c r="D123">
        <f t="shared" si="18"/>
        <v>2</v>
      </c>
      <c r="E123" t="str">
        <f t="shared" si="14"/>
        <v>gata</v>
      </c>
      <c r="F123">
        <f t="shared" si="23"/>
        <v>2</v>
      </c>
      <c r="G123">
        <v>7</v>
      </c>
      <c r="H123">
        <v>32</v>
      </c>
      <c r="I123">
        <v>-1</v>
      </c>
      <c r="J123">
        <f t="shared" si="15"/>
        <v>10</v>
      </c>
      <c r="K123" s="1">
        <f t="shared" si="16"/>
        <v>160</v>
      </c>
      <c r="L123" s="1">
        <f t="shared" si="21"/>
        <v>209999999.99999997</v>
      </c>
      <c r="M123" s="2">
        <f t="shared" si="17"/>
        <v>7.6190476190476203E-7</v>
      </c>
    </row>
    <row r="124" spans="1:13">
      <c r="A124">
        <v>1</v>
      </c>
      <c r="B124">
        <f t="shared" si="22"/>
        <v>3</v>
      </c>
      <c r="C124" t="str">
        <f t="shared" si="24"/>
        <v>gata</v>
      </c>
      <c r="D124">
        <f t="shared" si="18"/>
        <v>3</v>
      </c>
      <c r="E124" t="str">
        <f t="shared" si="14"/>
        <v>gata</v>
      </c>
      <c r="F124">
        <f t="shared" si="23"/>
        <v>3</v>
      </c>
      <c r="G124">
        <v>7</v>
      </c>
      <c r="H124">
        <v>20</v>
      </c>
      <c r="I124">
        <v>-1</v>
      </c>
      <c r="J124">
        <f t="shared" si="15"/>
        <v>10</v>
      </c>
      <c r="K124" s="1">
        <f t="shared" si="16"/>
        <v>100</v>
      </c>
      <c r="L124" s="1">
        <f t="shared" si="21"/>
        <v>224999999.99999997</v>
      </c>
      <c r="M124" s="2">
        <f t="shared" si="17"/>
        <v>4.4444444444444449E-7</v>
      </c>
    </row>
    <row r="125" spans="1:13">
      <c r="A125">
        <v>1</v>
      </c>
      <c r="B125">
        <f t="shared" si="22"/>
        <v>4</v>
      </c>
      <c r="C125" t="str">
        <f t="shared" si="24"/>
        <v>glvc</v>
      </c>
      <c r="D125">
        <f t="shared" si="18"/>
        <v>1</v>
      </c>
      <c r="E125" t="str">
        <f t="shared" si="14"/>
        <v>glvc</v>
      </c>
      <c r="F125">
        <f t="shared" si="23"/>
        <v>1</v>
      </c>
      <c r="G125">
        <v>7</v>
      </c>
      <c r="H125">
        <v>57</v>
      </c>
      <c r="I125">
        <v>-1</v>
      </c>
      <c r="J125">
        <f t="shared" si="15"/>
        <v>10</v>
      </c>
      <c r="K125" s="1">
        <f t="shared" si="16"/>
        <v>285</v>
      </c>
      <c r="L125" s="1">
        <f t="shared" si="21"/>
        <v>270000000</v>
      </c>
      <c r="M125" s="2">
        <f t="shared" si="17"/>
        <v>1.0555555555555555E-6</v>
      </c>
    </row>
    <row r="126" spans="1:13">
      <c r="A126">
        <v>1</v>
      </c>
      <c r="B126">
        <f t="shared" si="22"/>
        <v>5</v>
      </c>
      <c r="C126" t="str">
        <f t="shared" si="24"/>
        <v>glvc</v>
      </c>
      <c r="D126">
        <f t="shared" si="18"/>
        <v>2</v>
      </c>
      <c r="E126" t="str">
        <f t="shared" si="14"/>
        <v>glvc</v>
      </c>
      <c r="F126">
        <f t="shared" si="23"/>
        <v>2</v>
      </c>
      <c r="G126">
        <v>7</v>
      </c>
      <c r="H126">
        <v>38</v>
      </c>
      <c r="I126">
        <v>-1</v>
      </c>
      <c r="J126">
        <f t="shared" si="15"/>
        <v>10</v>
      </c>
      <c r="K126" s="1">
        <f t="shared" si="16"/>
        <v>190</v>
      </c>
      <c r="L126" s="1">
        <f t="shared" si="21"/>
        <v>285000000</v>
      </c>
      <c r="M126" s="2">
        <f t="shared" si="17"/>
        <v>6.6666666666666671E-7</v>
      </c>
    </row>
    <row r="127" spans="1:13">
      <c r="A127">
        <v>1</v>
      </c>
      <c r="B127">
        <f t="shared" si="22"/>
        <v>6</v>
      </c>
      <c r="C127" t="str">
        <f t="shared" si="24"/>
        <v>glvc</v>
      </c>
      <c r="D127">
        <f t="shared" si="18"/>
        <v>3</v>
      </c>
      <c r="E127" t="str">
        <f t="shared" si="14"/>
        <v>glvc</v>
      </c>
      <c r="F127">
        <f t="shared" si="23"/>
        <v>3</v>
      </c>
      <c r="G127">
        <v>7</v>
      </c>
      <c r="H127">
        <v>49</v>
      </c>
      <c r="I127">
        <v>-1</v>
      </c>
      <c r="J127">
        <f t="shared" si="15"/>
        <v>10</v>
      </c>
      <c r="K127" s="1">
        <f t="shared" si="16"/>
        <v>245</v>
      </c>
      <c r="L127" s="1">
        <f t="shared" si="21"/>
        <v>270000000</v>
      </c>
      <c r="M127" s="2">
        <f t="shared" si="17"/>
        <v>9.0740740740740746E-7</v>
      </c>
    </row>
    <row r="128" spans="1:13">
      <c r="A128">
        <v>1</v>
      </c>
      <c r="B128">
        <f t="shared" si="22"/>
        <v>7</v>
      </c>
      <c r="C128" t="str">
        <f t="shared" si="24"/>
        <v>hipa</v>
      </c>
      <c r="D128">
        <f t="shared" si="18"/>
        <v>1</v>
      </c>
      <c r="E128" t="str">
        <f t="shared" si="14"/>
        <v>hipa</v>
      </c>
      <c r="F128">
        <f t="shared" si="23"/>
        <v>1</v>
      </c>
      <c r="G128">
        <v>7</v>
      </c>
      <c r="H128">
        <v>56</v>
      </c>
      <c r="I128">
        <v>0</v>
      </c>
      <c r="J128">
        <f t="shared" si="15"/>
        <v>1</v>
      </c>
      <c r="K128" s="1">
        <f t="shared" si="16"/>
        <v>2800</v>
      </c>
      <c r="L128" s="1">
        <f t="shared" si="21"/>
        <v>150000000</v>
      </c>
      <c r="M128" s="2">
        <f t="shared" si="17"/>
        <v>1.8666666666666665E-5</v>
      </c>
    </row>
    <row r="129" spans="1:13">
      <c r="A129">
        <v>1</v>
      </c>
      <c r="B129">
        <f t="shared" si="22"/>
        <v>8</v>
      </c>
      <c r="C129" t="str">
        <f t="shared" si="24"/>
        <v>hipa</v>
      </c>
      <c r="D129">
        <f t="shared" si="18"/>
        <v>2</v>
      </c>
      <c r="E129" t="str">
        <f t="shared" si="14"/>
        <v>hipa</v>
      </c>
      <c r="F129">
        <f t="shared" si="23"/>
        <v>2</v>
      </c>
      <c r="G129">
        <v>7</v>
      </c>
      <c r="H129">
        <v>38</v>
      </c>
      <c r="I129">
        <v>0</v>
      </c>
      <c r="J129">
        <f t="shared" si="15"/>
        <v>1</v>
      </c>
      <c r="K129" s="1">
        <f t="shared" si="16"/>
        <v>1900</v>
      </c>
      <c r="L129" s="1">
        <f t="shared" si="21"/>
        <v>199999999.99999997</v>
      </c>
      <c r="M129" s="2">
        <f t="shared" si="17"/>
        <v>9.5000000000000022E-6</v>
      </c>
    </row>
    <row r="130" spans="1:13">
      <c r="A130">
        <v>1</v>
      </c>
      <c r="B130">
        <f t="shared" si="22"/>
        <v>9</v>
      </c>
      <c r="C130" t="str">
        <f t="shared" si="24"/>
        <v>hipa</v>
      </c>
      <c r="D130">
        <f t="shared" si="18"/>
        <v>3</v>
      </c>
      <c r="E130" t="str">
        <f t="shared" si="14"/>
        <v>hipa</v>
      </c>
      <c r="F130">
        <f t="shared" si="23"/>
        <v>3</v>
      </c>
      <c r="G130">
        <v>7</v>
      </c>
      <c r="H130">
        <v>59</v>
      </c>
      <c r="I130">
        <v>0</v>
      </c>
      <c r="J130">
        <f t="shared" si="15"/>
        <v>1</v>
      </c>
      <c r="K130" s="1">
        <f t="shared" si="16"/>
        <v>2950</v>
      </c>
      <c r="L130" s="1">
        <f t="shared" si="21"/>
        <v>214999999.99999997</v>
      </c>
      <c r="M130" s="2">
        <f t="shared" si="17"/>
        <v>1.3720930232558142E-5</v>
      </c>
    </row>
    <row r="131" spans="1:13">
      <c r="A131">
        <v>1</v>
      </c>
      <c r="B131">
        <f t="shared" si="22"/>
        <v>10</v>
      </c>
      <c r="C131" t="str">
        <f t="shared" si="24"/>
        <v>selb</v>
      </c>
      <c r="D131">
        <f t="shared" si="18"/>
        <v>1</v>
      </c>
      <c r="E131" t="str">
        <f t="shared" ref="E131:E145" si="25">C131</f>
        <v>selb</v>
      </c>
      <c r="F131">
        <f t="shared" si="23"/>
        <v>1</v>
      </c>
      <c r="G131">
        <v>7</v>
      </c>
      <c r="H131">
        <v>28</v>
      </c>
      <c r="I131">
        <v>-1</v>
      </c>
      <c r="J131">
        <f t="shared" ref="J131:J145" si="26">1/10^I131</f>
        <v>10</v>
      </c>
      <c r="K131" s="1">
        <f t="shared" ref="K131:K145" si="27">H131/(J131*0.02)</f>
        <v>140</v>
      </c>
      <c r="L131" s="1">
        <f t="shared" si="21"/>
        <v>209999999.99999997</v>
      </c>
      <c r="M131" s="2">
        <f t="shared" ref="M131:M145" si="28">K131/L131</f>
        <v>6.6666666666666681E-7</v>
      </c>
    </row>
    <row r="132" spans="1:13">
      <c r="A132">
        <v>1</v>
      </c>
      <c r="B132">
        <f t="shared" si="22"/>
        <v>11</v>
      </c>
      <c r="C132" t="str">
        <f t="shared" si="24"/>
        <v>selb</v>
      </c>
      <c r="D132">
        <f t="shared" si="18"/>
        <v>2</v>
      </c>
      <c r="E132" t="str">
        <f t="shared" si="25"/>
        <v>selb</v>
      </c>
      <c r="F132">
        <f t="shared" si="23"/>
        <v>2</v>
      </c>
      <c r="G132">
        <v>7</v>
      </c>
      <c r="H132">
        <v>30</v>
      </c>
      <c r="I132">
        <v>-1</v>
      </c>
      <c r="J132">
        <f t="shared" si="26"/>
        <v>10</v>
      </c>
      <c r="K132" s="1">
        <f t="shared" si="27"/>
        <v>150</v>
      </c>
      <c r="L132" s="1">
        <f t="shared" si="21"/>
        <v>194999999.99999997</v>
      </c>
      <c r="M132" s="2">
        <f t="shared" si="28"/>
        <v>7.6923076923076936E-7</v>
      </c>
    </row>
    <row r="133" spans="1:13">
      <c r="A133">
        <v>1</v>
      </c>
      <c r="B133">
        <f t="shared" si="22"/>
        <v>12</v>
      </c>
      <c r="C133" t="str">
        <f t="shared" si="24"/>
        <v>selb</v>
      </c>
      <c r="D133">
        <f t="shared" si="18"/>
        <v>3</v>
      </c>
      <c r="E133" t="str">
        <f t="shared" si="25"/>
        <v>selb</v>
      </c>
      <c r="F133">
        <f t="shared" si="23"/>
        <v>3</v>
      </c>
      <c r="G133">
        <v>7</v>
      </c>
      <c r="H133">
        <v>18</v>
      </c>
      <c r="I133">
        <v>-1</v>
      </c>
      <c r="J133">
        <f t="shared" si="26"/>
        <v>10</v>
      </c>
      <c r="K133" s="1">
        <f t="shared" si="27"/>
        <v>90</v>
      </c>
      <c r="L133" s="1">
        <f t="shared" si="21"/>
        <v>209999999.99999997</v>
      </c>
      <c r="M133" s="2">
        <f t="shared" si="28"/>
        <v>4.2857142857142862E-7</v>
      </c>
    </row>
    <row r="134" spans="1:13">
      <c r="A134">
        <v>1</v>
      </c>
      <c r="B134">
        <f t="shared" si="22"/>
        <v>13</v>
      </c>
      <c r="C134" t="str">
        <f t="shared" si="24"/>
        <v>rpoz</v>
      </c>
      <c r="D134">
        <f t="shared" ref="D134:D145" si="29">D131</f>
        <v>1</v>
      </c>
      <c r="E134" t="str">
        <f t="shared" si="25"/>
        <v>rpoz</v>
      </c>
      <c r="F134">
        <f t="shared" si="23"/>
        <v>1</v>
      </c>
      <c r="G134">
        <v>7</v>
      </c>
      <c r="H134">
        <v>57</v>
      </c>
      <c r="I134">
        <v>-1</v>
      </c>
      <c r="J134">
        <f t="shared" si="26"/>
        <v>10</v>
      </c>
      <c r="K134" s="1">
        <f t="shared" si="27"/>
        <v>285</v>
      </c>
      <c r="L134" s="1">
        <f t="shared" si="21"/>
        <v>280000000</v>
      </c>
      <c r="M134" s="2">
        <f t="shared" si="28"/>
        <v>1.0178571428571429E-6</v>
      </c>
    </row>
    <row r="135" spans="1:13">
      <c r="A135">
        <v>1</v>
      </c>
      <c r="B135">
        <f t="shared" si="22"/>
        <v>14</v>
      </c>
      <c r="C135" t="str">
        <f t="shared" si="24"/>
        <v>rpoz</v>
      </c>
      <c r="D135">
        <f t="shared" si="29"/>
        <v>2</v>
      </c>
      <c r="E135" t="str">
        <f t="shared" si="25"/>
        <v>rpoz</v>
      </c>
      <c r="F135">
        <f t="shared" si="23"/>
        <v>2</v>
      </c>
      <c r="G135">
        <v>7</v>
      </c>
      <c r="H135">
        <v>46</v>
      </c>
      <c r="I135">
        <v>-1</v>
      </c>
      <c r="J135">
        <f t="shared" si="26"/>
        <v>10</v>
      </c>
      <c r="K135" s="1">
        <f t="shared" si="27"/>
        <v>230</v>
      </c>
      <c r="L135" s="1">
        <f t="shared" si="21"/>
        <v>224999999.99999997</v>
      </c>
      <c r="M135" s="2">
        <f t="shared" si="28"/>
        <v>1.0222222222222223E-6</v>
      </c>
    </row>
    <row r="136" spans="1:13">
      <c r="A136">
        <v>1</v>
      </c>
      <c r="B136">
        <f t="shared" si="22"/>
        <v>15</v>
      </c>
      <c r="C136" t="str">
        <f t="shared" si="24"/>
        <v>rpoz</v>
      </c>
      <c r="D136">
        <f t="shared" si="29"/>
        <v>3</v>
      </c>
      <c r="E136" t="str">
        <f t="shared" si="25"/>
        <v>rpoz</v>
      </c>
      <c r="F136">
        <f t="shared" si="23"/>
        <v>3</v>
      </c>
      <c r="G136">
        <v>7</v>
      </c>
      <c r="H136">
        <v>67</v>
      </c>
      <c r="I136">
        <v>-1</v>
      </c>
      <c r="J136">
        <f t="shared" si="26"/>
        <v>10</v>
      </c>
      <c r="K136" s="1">
        <f t="shared" si="27"/>
        <v>335</v>
      </c>
      <c r="L136" s="1">
        <f t="shared" si="21"/>
        <v>320000000</v>
      </c>
      <c r="M136" s="2">
        <f t="shared" si="28"/>
        <v>1.046875E-6</v>
      </c>
    </row>
    <row r="137" spans="1:13">
      <c r="A137">
        <v>1</v>
      </c>
      <c r="B137">
        <f t="shared" si="22"/>
        <v>16</v>
      </c>
      <c r="C137" t="str">
        <f t="shared" si="24"/>
        <v>ftsh</v>
      </c>
      <c r="D137">
        <f t="shared" si="29"/>
        <v>1</v>
      </c>
      <c r="E137" t="str">
        <f t="shared" si="25"/>
        <v>ftsh</v>
      </c>
      <c r="F137">
        <f t="shared" si="23"/>
        <v>1</v>
      </c>
      <c r="G137">
        <v>7</v>
      </c>
      <c r="H137">
        <v>12</v>
      </c>
      <c r="I137">
        <v>-1</v>
      </c>
      <c r="J137">
        <f t="shared" si="26"/>
        <v>10</v>
      </c>
      <c r="K137" s="1">
        <f t="shared" si="27"/>
        <v>60</v>
      </c>
      <c r="L137" s="1">
        <f t="shared" si="21"/>
        <v>259999999.99999997</v>
      </c>
      <c r="M137" s="2">
        <f t="shared" si="28"/>
        <v>2.3076923076923081E-7</v>
      </c>
    </row>
    <row r="138" spans="1:13">
      <c r="A138">
        <v>1</v>
      </c>
      <c r="B138">
        <f t="shared" si="22"/>
        <v>17</v>
      </c>
      <c r="C138" t="str">
        <f t="shared" ref="C138:C145" si="30">C114</f>
        <v>ftsh</v>
      </c>
      <c r="D138">
        <f t="shared" si="29"/>
        <v>2</v>
      </c>
      <c r="E138" t="str">
        <f t="shared" si="25"/>
        <v>ftsh</v>
      </c>
      <c r="F138">
        <f t="shared" si="23"/>
        <v>2</v>
      </c>
      <c r="G138">
        <v>7</v>
      </c>
      <c r="H138">
        <v>21</v>
      </c>
      <c r="I138">
        <v>-1</v>
      </c>
      <c r="J138">
        <f t="shared" si="26"/>
        <v>10</v>
      </c>
      <c r="K138" s="1">
        <f t="shared" si="27"/>
        <v>105</v>
      </c>
      <c r="L138" s="1">
        <f t="shared" si="21"/>
        <v>249999999.99999997</v>
      </c>
      <c r="M138" s="2">
        <f t="shared" si="28"/>
        <v>4.2000000000000006E-7</v>
      </c>
    </row>
    <row r="139" spans="1:13">
      <c r="A139">
        <v>1</v>
      </c>
      <c r="B139">
        <f t="shared" si="22"/>
        <v>18</v>
      </c>
      <c r="C139" t="str">
        <f t="shared" si="30"/>
        <v>ftsh</v>
      </c>
      <c r="D139">
        <f t="shared" si="29"/>
        <v>3</v>
      </c>
      <c r="E139" t="str">
        <f t="shared" si="25"/>
        <v>ftsh</v>
      </c>
      <c r="F139">
        <f t="shared" si="23"/>
        <v>3</v>
      </c>
      <c r="G139">
        <v>7</v>
      </c>
      <c r="H139">
        <v>5</v>
      </c>
      <c r="I139">
        <v>-1</v>
      </c>
      <c r="J139">
        <f t="shared" si="26"/>
        <v>10</v>
      </c>
      <c r="K139" s="1">
        <f t="shared" si="27"/>
        <v>25</v>
      </c>
      <c r="L139" s="1">
        <f t="shared" si="21"/>
        <v>234999999.99999997</v>
      </c>
      <c r="M139" s="2">
        <f t="shared" si="28"/>
        <v>1.0638297872340427E-7</v>
      </c>
    </row>
    <row r="140" spans="1:13">
      <c r="A140">
        <v>1</v>
      </c>
      <c r="B140">
        <f t="shared" si="22"/>
        <v>19</v>
      </c>
      <c r="C140" t="str">
        <f t="shared" si="30"/>
        <v>fimE</v>
      </c>
      <c r="D140">
        <f t="shared" si="29"/>
        <v>1</v>
      </c>
      <c r="E140" t="str">
        <f t="shared" si="25"/>
        <v>fimE</v>
      </c>
      <c r="F140">
        <f t="shared" si="23"/>
        <v>1</v>
      </c>
      <c r="G140">
        <v>7</v>
      </c>
      <c r="H140">
        <v>25</v>
      </c>
      <c r="I140">
        <v>-1</v>
      </c>
      <c r="J140">
        <f t="shared" si="26"/>
        <v>10</v>
      </c>
      <c r="K140" s="1">
        <f t="shared" si="27"/>
        <v>125</v>
      </c>
      <c r="L140" s="1">
        <f t="shared" si="21"/>
        <v>229999999.99999997</v>
      </c>
      <c r="M140" s="2">
        <f t="shared" si="28"/>
        <v>5.4347826086956528E-7</v>
      </c>
    </row>
    <row r="141" spans="1:13">
      <c r="A141">
        <v>1</v>
      </c>
      <c r="B141">
        <f t="shared" si="22"/>
        <v>20</v>
      </c>
      <c r="C141" t="str">
        <f t="shared" si="30"/>
        <v>fimE</v>
      </c>
      <c r="D141">
        <f t="shared" si="29"/>
        <v>2</v>
      </c>
      <c r="E141" t="str">
        <f t="shared" si="25"/>
        <v>fimE</v>
      </c>
      <c r="F141">
        <f t="shared" si="23"/>
        <v>2</v>
      </c>
      <c r="G141">
        <v>7</v>
      </c>
      <c r="H141">
        <v>19</v>
      </c>
      <c r="I141">
        <v>-1</v>
      </c>
      <c r="J141">
        <f t="shared" si="26"/>
        <v>10</v>
      </c>
      <c r="K141" s="1">
        <f t="shared" si="27"/>
        <v>95</v>
      </c>
      <c r="L141" s="1">
        <f t="shared" si="21"/>
        <v>204999999.99999997</v>
      </c>
      <c r="M141" s="2">
        <f t="shared" si="28"/>
        <v>4.6341463414634153E-7</v>
      </c>
    </row>
    <row r="142" spans="1:13">
      <c r="A142">
        <v>1</v>
      </c>
      <c r="B142">
        <f t="shared" si="22"/>
        <v>21</v>
      </c>
      <c r="C142" t="str">
        <f t="shared" si="30"/>
        <v>fimE</v>
      </c>
      <c r="D142">
        <f t="shared" si="29"/>
        <v>3</v>
      </c>
      <c r="E142" t="str">
        <f t="shared" si="25"/>
        <v>fimE</v>
      </c>
      <c r="F142">
        <f t="shared" si="23"/>
        <v>3</v>
      </c>
      <c r="G142">
        <v>7</v>
      </c>
      <c r="H142">
        <v>22</v>
      </c>
      <c r="I142">
        <v>-1</v>
      </c>
      <c r="J142">
        <f t="shared" si="26"/>
        <v>10</v>
      </c>
      <c r="K142" s="1">
        <f t="shared" si="27"/>
        <v>110</v>
      </c>
      <c r="L142" s="1">
        <f t="shared" si="21"/>
        <v>219999999.99999997</v>
      </c>
      <c r="M142" s="2">
        <f t="shared" si="28"/>
        <v>5.0000000000000008E-7</v>
      </c>
    </row>
    <row r="143" spans="1:13">
      <c r="A143">
        <v>1</v>
      </c>
      <c r="B143">
        <f t="shared" si="22"/>
        <v>22</v>
      </c>
      <c r="C143" t="str">
        <f t="shared" si="30"/>
        <v>wt</v>
      </c>
      <c r="D143">
        <f t="shared" si="29"/>
        <v>1</v>
      </c>
      <c r="E143" t="str">
        <f t="shared" si="25"/>
        <v>wt</v>
      </c>
      <c r="F143">
        <f t="shared" si="23"/>
        <v>1</v>
      </c>
      <c r="G143">
        <v>7</v>
      </c>
      <c r="H143">
        <v>18</v>
      </c>
      <c r="I143">
        <v>-1</v>
      </c>
      <c r="J143">
        <f t="shared" si="26"/>
        <v>10</v>
      </c>
      <c r="K143" s="1">
        <f t="shared" si="27"/>
        <v>90</v>
      </c>
      <c r="L143" s="1">
        <f t="shared" si="21"/>
        <v>239999999.99999997</v>
      </c>
      <c r="M143" s="2">
        <f t="shared" si="28"/>
        <v>3.7500000000000006E-7</v>
      </c>
    </row>
    <row r="144" spans="1:13">
      <c r="A144">
        <v>1</v>
      </c>
      <c r="B144">
        <f t="shared" si="22"/>
        <v>23</v>
      </c>
      <c r="C144" t="str">
        <f t="shared" si="30"/>
        <v>wt</v>
      </c>
      <c r="D144">
        <f t="shared" si="29"/>
        <v>2</v>
      </c>
      <c r="E144" t="str">
        <f t="shared" si="25"/>
        <v>wt</v>
      </c>
      <c r="F144">
        <f t="shared" si="23"/>
        <v>2</v>
      </c>
      <c r="G144">
        <v>7</v>
      </c>
      <c r="H144">
        <v>21</v>
      </c>
      <c r="I144">
        <v>-1</v>
      </c>
      <c r="J144">
        <f t="shared" si="26"/>
        <v>10</v>
      </c>
      <c r="K144" s="1">
        <f t="shared" si="27"/>
        <v>105</v>
      </c>
      <c r="L144" s="1">
        <f t="shared" si="21"/>
        <v>249999999.99999997</v>
      </c>
      <c r="M144" s="2">
        <f t="shared" si="28"/>
        <v>4.2000000000000006E-7</v>
      </c>
    </row>
    <row r="145" spans="1:13">
      <c r="A145">
        <v>1</v>
      </c>
      <c r="B145">
        <f t="shared" si="22"/>
        <v>24</v>
      </c>
      <c r="C145" t="str">
        <f t="shared" si="30"/>
        <v>wt</v>
      </c>
      <c r="D145">
        <f t="shared" si="29"/>
        <v>3</v>
      </c>
      <c r="E145" t="str">
        <f t="shared" si="25"/>
        <v>wt</v>
      </c>
      <c r="F145">
        <f t="shared" si="23"/>
        <v>3</v>
      </c>
      <c r="G145">
        <v>7</v>
      </c>
      <c r="H145">
        <v>32</v>
      </c>
      <c r="I145">
        <v>-1</v>
      </c>
      <c r="J145">
        <f t="shared" si="26"/>
        <v>10</v>
      </c>
      <c r="K145" s="1">
        <f t="shared" si="27"/>
        <v>160</v>
      </c>
      <c r="L145" s="1">
        <f t="shared" si="21"/>
        <v>170000000</v>
      </c>
      <c r="M145" s="2">
        <f t="shared" si="28"/>
        <v>9.4117647058823534E-7</v>
      </c>
    </row>
    <row r="146" spans="1:13">
      <c r="K146" s="1"/>
      <c r="M146" s="2"/>
    </row>
    <row r="147" spans="1:13">
      <c r="K147" s="1"/>
      <c r="M147" s="2"/>
    </row>
    <row r="148" spans="1:13">
      <c r="K148" s="1"/>
      <c r="M148" s="2"/>
    </row>
    <row r="149" spans="1:13">
      <c r="K149" s="1"/>
      <c r="M149" s="2"/>
    </row>
    <row r="150" spans="1:13">
      <c r="K150" s="1"/>
      <c r="M150" s="2"/>
    </row>
    <row r="151" spans="1:13">
      <c r="K151" s="1"/>
      <c r="M151" s="2"/>
    </row>
    <row r="152" spans="1:13">
      <c r="K152" s="1"/>
      <c r="M152" s="2"/>
    </row>
    <row r="153" spans="1:13">
      <c r="K153" s="1"/>
      <c r="M153" s="2"/>
    </row>
    <row r="154" spans="1:13">
      <c r="K154" s="1"/>
      <c r="M154" s="2"/>
    </row>
    <row r="155" spans="1:13">
      <c r="K155" s="1"/>
      <c r="M155" s="2"/>
    </row>
    <row r="156" spans="1:13">
      <c r="K156" s="1"/>
      <c r="M156" s="2"/>
    </row>
    <row r="157" spans="1:13">
      <c r="K157" s="1"/>
      <c r="M157" s="2"/>
    </row>
    <row r="158" spans="1:13">
      <c r="K158" s="1"/>
      <c r="M158" s="2"/>
    </row>
    <row r="159" spans="1:13">
      <c r="K159" s="1"/>
      <c r="M159" s="2"/>
    </row>
    <row r="160" spans="1:13">
      <c r="K160" s="1"/>
      <c r="M160" s="2"/>
    </row>
    <row r="161" spans="11:13">
      <c r="K161" s="1"/>
      <c r="M161" s="2"/>
    </row>
    <row r="162" spans="11:13">
      <c r="K162" s="1"/>
      <c r="M162" s="2"/>
    </row>
    <row r="163" spans="11:13">
      <c r="K163" s="1"/>
      <c r="M163" s="2"/>
    </row>
    <row r="164" spans="11:13">
      <c r="K164" s="1"/>
      <c r="M164" s="2"/>
    </row>
    <row r="165" spans="11:13">
      <c r="K165" s="1"/>
      <c r="M165" s="2"/>
    </row>
    <row r="166" spans="11:13">
      <c r="K166" s="1"/>
      <c r="M166" s="2"/>
    </row>
    <row r="167" spans="11:13">
      <c r="K167" s="1"/>
      <c r="M167" s="2"/>
    </row>
    <row r="168" spans="11:13">
      <c r="K168" s="1"/>
      <c r="M168" s="2"/>
    </row>
    <row r="169" spans="11:13">
      <c r="K169" s="1"/>
      <c r="M169" s="2"/>
    </row>
    <row r="170" spans="11:13">
      <c r="K170" s="1"/>
      <c r="M170" s="2"/>
    </row>
    <row r="171" spans="11:13">
      <c r="K171" s="1"/>
      <c r="M171" s="2"/>
    </row>
    <row r="172" spans="11:13">
      <c r="K172" s="1"/>
      <c r="M172" s="2"/>
    </row>
    <row r="173" spans="11:13">
      <c r="K173" s="1"/>
      <c r="M173" s="2"/>
    </row>
    <row r="174" spans="11:13">
      <c r="K174" s="1"/>
      <c r="M174" s="2"/>
    </row>
    <row r="175" spans="11:13">
      <c r="K175" s="1"/>
      <c r="M175" s="2"/>
    </row>
    <row r="176" spans="11:13">
      <c r="K176" s="1"/>
      <c r="M176" s="2"/>
    </row>
    <row r="177" spans="11:13">
      <c r="K177" s="1"/>
      <c r="M177" s="2"/>
    </row>
    <row r="178" spans="11:13">
      <c r="K178" s="1"/>
      <c r="M178" s="2"/>
    </row>
    <row r="179" spans="11:13">
      <c r="K179" s="1"/>
      <c r="M179" s="2"/>
    </row>
    <row r="180" spans="11:13">
      <c r="K180" s="1"/>
      <c r="M180" s="2"/>
    </row>
    <row r="181" spans="11:13">
      <c r="K181" s="1"/>
      <c r="M181" s="2"/>
    </row>
    <row r="182" spans="11:13">
      <c r="K182" s="1"/>
      <c r="M182" s="2"/>
    </row>
    <row r="183" spans="11:13">
      <c r="K183" s="1"/>
      <c r="M183" s="2"/>
    </row>
    <row r="184" spans="11:13">
      <c r="K184" s="1"/>
      <c r="M184" s="2"/>
    </row>
    <row r="185" spans="11:13">
      <c r="K185" s="1"/>
      <c r="M185" s="2"/>
    </row>
    <row r="186" spans="11:13">
      <c r="K186" s="1"/>
      <c r="M186" s="2"/>
    </row>
    <row r="187" spans="11:13">
      <c r="K187" s="1"/>
      <c r="M187" s="2"/>
    </row>
    <row r="188" spans="11:13">
      <c r="K188" s="1"/>
      <c r="M188" s="2"/>
    </row>
    <row r="189" spans="11:13">
      <c r="K189" s="1"/>
      <c r="M189" s="2"/>
    </row>
    <row r="190" spans="11:13">
      <c r="K190" s="1"/>
      <c r="M190" s="2"/>
    </row>
    <row r="191" spans="11:13">
      <c r="K191" s="1"/>
      <c r="M191" s="2"/>
    </row>
    <row r="192" spans="11:13">
      <c r="K192" s="1"/>
      <c r="M192" s="2"/>
    </row>
    <row r="193" spans="11:13">
      <c r="K193" s="1"/>
      <c r="M193" s="2"/>
    </row>
    <row r="194" spans="11:13">
      <c r="K194" s="1"/>
      <c r="M194" s="2"/>
    </row>
    <row r="195" spans="11:13">
      <c r="K195" s="1"/>
      <c r="M195" s="2"/>
    </row>
    <row r="196" spans="11:13">
      <c r="K196" s="1"/>
      <c r="M196" s="2"/>
    </row>
    <row r="197" spans="11:13">
      <c r="K197" s="1"/>
      <c r="M197" s="2"/>
    </row>
    <row r="198" spans="11:13">
      <c r="K198" s="1"/>
      <c r="M198" s="2"/>
    </row>
    <row r="199" spans="11:13">
      <c r="K199" s="1"/>
      <c r="M199" s="2"/>
    </row>
    <row r="200" spans="11:13">
      <c r="K200" s="1"/>
      <c r="M200" s="2"/>
    </row>
    <row r="201" spans="11:13">
      <c r="K201" s="1"/>
      <c r="M201" s="2"/>
    </row>
    <row r="202" spans="11:13">
      <c r="K202" s="1"/>
      <c r="M202" s="2"/>
    </row>
    <row r="203" spans="11:13">
      <c r="K203" s="1"/>
      <c r="M203" s="2"/>
    </row>
    <row r="204" spans="11:13">
      <c r="K204" s="1"/>
      <c r="M204" s="2"/>
    </row>
    <row r="205" spans="11:13">
      <c r="K205" s="1"/>
      <c r="M205" s="2"/>
    </row>
    <row r="206" spans="11:13">
      <c r="K206" s="1"/>
      <c r="M206" s="2"/>
    </row>
    <row r="207" spans="11:13">
      <c r="K207" s="1"/>
      <c r="M207" s="2"/>
    </row>
    <row r="208" spans="11:13">
      <c r="K208" s="1"/>
      <c r="M208" s="2"/>
    </row>
    <row r="209" spans="8:13">
      <c r="K209" s="1"/>
      <c r="M209" s="2"/>
    </row>
    <row r="210" spans="8:13">
      <c r="K210" s="1"/>
      <c r="M210" s="2"/>
    </row>
    <row r="211" spans="8:13">
      <c r="K211" s="1"/>
      <c r="M211" s="2"/>
    </row>
    <row r="212" spans="8:13">
      <c r="K212" s="1"/>
      <c r="M212" s="2"/>
    </row>
    <row r="213" spans="8:13">
      <c r="K213" s="1"/>
      <c r="M213" s="2"/>
    </row>
    <row r="214" spans="8:13">
      <c r="K214" s="1"/>
      <c r="M214" s="2"/>
    </row>
    <row r="215" spans="8:13">
      <c r="K215" s="1"/>
      <c r="M215" s="2"/>
    </row>
    <row r="216" spans="8:13">
      <c r="K216" s="1"/>
      <c r="M216" s="2"/>
    </row>
    <row r="217" spans="8:13">
      <c r="K217" s="1"/>
      <c r="M217" s="2"/>
    </row>
    <row r="218" spans="8:13">
      <c r="K218" s="1"/>
      <c r="M218" s="2"/>
    </row>
    <row r="219" spans="8:13">
      <c r="K219" s="1"/>
      <c r="M219" s="2"/>
    </row>
    <row r="220" spans="8:13">
      <c r="H220" s="3"/>
      <c r="I220" s="3"/>
      <c r="K220" s="1"/>
      <c r="M220" s="2"/>
    </row>
    <row r="221" spans="8:13">
      <c r="K221" s="1"/>
      <c r="M221" s="2"/>
    </row>
    <row r="222" spans="8:13">
      <c r="K222" s="1"/>
      <c r="M222" s="2"/>
    </row>
    <row r="223" spans="8:13">
      <c r="H223" s="3"/>
      <c r="I223" s="3"/>
      <c r="K223" s="1"/>
      <c r="M223" s="2"/>
    </row>
    <row r="224" spans="8:13">
      <c r="K224" s="1"/>
      <c r="M224" s="2"/>
    </row>
    <row r="225" spans="8:13">
      <c r="K225" s="1"/>
      <c r="M225" s="2"/>
    </row>
    <row r="226" spans="8:13">
      <c r="H226" s="3"/>
      <c r="I226" s="3"/>
      <c r="K226" s="1"/>
      <c r="M226" s="2"/>
    </row>
    <row r="227" spans="8:13">
      <c r="K227" s="1"/>
      <c r="M227" s="2"/>
    </row>
    <row r="228" spans="8:13">
      <c r="K228" s="1"/>
      <c r="M228" s="2"/>
    </row>
    <row r="229" spans="8:13">
      <c r="H229" s="3"/>
      <c r="I229" s="3"/>
      <c r="K229" s="1"/>
      <c r="M229" s="2"/>
    </row>
    <row r="230" spans="8:13">
      <c r="K230" s="1"/>
      <c r="M230" s="2"/>
    </row>
    <row r="231" spans="8:13">
      <c r="K231" s="1"/>
      <c r="M231" s="2"/>
    </row>
    <row r="232" spans="8:13">
      <c r="H232" s="3"/>
      <c r="I232" s="3"/>
      <c r="K232" s="1"/>
      <c r="M232" s="2"/>
    </row>
  </sheetData>
  <phoneticPr fontId="2" type="noConversion"/>
  <conditionalFormatting sqref="K1:K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56A7-3893-474F-BA5F-7AD12D1AADBD}">
  <dimension ref="B5:K19"/>
  <sheetViews>
    <sheetView workbookViewId="0">
      <selection activeCell="B18" sqref="B18"/>
    </sheetView>
  </sheetViews>
  <sheetFormatPr defaultColWidth="11" defaultRowHeight="15.95"/>
  <cols>
    <col min="8" max="8" width="17.5" bestFit="1" customWidth="1"/>
  </cols>
  <sheetData>
    <row r="5" spans="2:11">
      <c r="H5" t="s">
        <v>21</v>
      </c>
      <c r="J5">
        <v>10</v>
      </c>
      <c r="K5" t="s">
        <v>22</v>
      </c>
    </row>
    <row r="10" spans="2:11">
      <c r="B10" t="s">
        <v>23</v>
      </c>
      <c r="C10" t="s">
        <v>24</v>
      </c>
      <c r="E10" t="s">
        <v>25</v>
      </c>
      <c r="F10" t="s">
        <v>26</v>
      </c>
    </row>
    <row r="11" spans="2:11">
      <c r="B11">
        <v>10</v>
      </c>
      <c r="E11">
        <v>6</v>
      </c>
      <c r="F11">
        <v>129</v>
      </c>
    </row>
    <row r="12" spans="2:11">
      <c r="C12">
        <f>(E11*F11)/B11</f>
        <v>77.400000000000006</v>
      </c>
    </row>
    <row r="14" spans="2:11">
      <c r="H14">
        <v>77.400000000000006</v>
      </c>
      <c r="I14">
        <v>24</v>
      </c>
    </row>
    <row r="15" spans="2:11">
      <c r="H15">
        <f>H14*I14</f>
        <v>1857.6000000000001</v>
      </c>
    </row>
    <row r="17" spans="2:9">
      <c r="B17" t="s">
        <v>27</v>
      </c>
    </row>
    <row r="19" spans="2:9">
      <c r="H19">
        <v>4</v>
      </c>
      <c r="I1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Lyon</dc:creator>
  <cp:keywords/>
  <dc:description/>
  <cp:lastModifiedBy>adammlyon@gmail.com</cp:lastModifiedBy>
  <cp:revision/>
  <dcterms:created xsi:type="dcterms:W3CDTF">2024-02-22T01:56:38Z</dcterms:created>
  <dcterms:modified xsi:type="dcterms:W3CDTF">2026-01-25T03:00:31Z</dcterms:modified>
  <cp:category/>
  <cp:contentStatus/>
</cp:coreProperties>
</file>