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/Users/adamlyon/Desktop/ThesisWork/3.MDK/MDK.071524.cultures/MDK.072624.PCcultures/"/>
    </mc:Choice>
  </mc:AlternateContent>
  <xr:revisionPtr revIDLastSave="0" documentId="13_ncr:1_{ACFB4D82-DCE7-7146-BD2E-0CECB69312F2}" xr6:coauthVersionLast="47" xr6:coauthVersionMax="47" xr10:uidLastSave="{00000000-0000-0000-0000-000000000000}"/>
  <bookViews>
    <workbookView xWindow="-20" yWindow="500" windowWidth="28800" windowHeight="16100" xr2:uid="{177CD699-1056-2B46-834D-83BE0E876923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170" i="1"/>
  <c r="L87" i="1"/>
  <c r="L88" i="1"/>
  <c r="L89" i="1"/>
  <c r="L90" i="1"/>
  <c r="L91" i="1"/>
  <c r="L92" i="1"/>
  <c r="L93" i="1"/>
  <c r="L94" i="1"/>
  <c r="L106" i="1" s="1"/>
  <c r="L118" i="1" s="1"/>
  <c r="L130" i="1" s="1"/>
  <c r="L142" i="1" s="1"/>
  <c r="L95" i="1"/>
  <c r="L96" i="1"/>
  <c r="L97" i="1"/>
  <c r="L98" i="1"/>
  <c r="L110" i="1" s="1"/>
  <c r="L122" i="1" s="1"/>
  <c r="L134" i="1" s="1"/>
  <c r="L99" i="1"/>
  <c r="L100" i="1"/>
  <c r="L101" i="1"/>
  <c r="L102" i="1"/>
  <c r="L114" i="1" s="1"/>
  <c r="L103" i="1"/>
  <c r="L104" i="1"/>
  <c r="L105" i="1"/>
  <c r="L107" i="1"/>
  <c r="L108" i="1"/>
  <c r="L109" i="1"/>
  <c r="L111" i="1"/>
  <c r="L112" i="1"/>
  <c r="L113" i="1"/>
  <c r="L115" i="1"/>
  <c r="L116" i="1"/>
  <c r="L117" i="1"/>
  <c r="L119" i="1"/>
  <c r="L120" i="1"/>
  <c r="L121" i="1"/>
  <c r="L123" i="1"/>
  <c r="L124" i="1"/>
  <c r="L125" i="1"/>
  <c r="L127" i="1"/>
  <c r="L128" i="1"/>
  <c r="L129" i="1"/>
  <c r="L131" i="1"/>
  <c r="L132" i="1"/>
  <c r="L133" i="1"/>
  <c r="L135" i="1"/>
  <c r="L136" i="1"/>
  <c r="L137" i="1"/>
  <c r="L139" i="1"/>
  <c r="L140" i="1"/>
  <c r="L141" i="1"/>
  <c r="L143" i="1"/>
  <c r="L144" i="1"/>
  <c r="L145" i="1"/>
  <c r="L86" i="1"/>
  <c r="K7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21" i="1"/>
  <c r="L22" i="1"/>
  <c r="L23" i="1"/>
  <c r="L24" i="1"/>
  <c r="L15" i="1"/>
  <c r="L16" i="1"/>
  <c r="L17" i="1"/>
  <c r="L18" i="1"/>
  <c r="L19" i="1"/>
  <c r="L20" i="1"/>
  <c r="L14" i="1"/>
  <c r="K267" i="1"/>
  <c r="K268" i="1"/>
  <c r="K266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K134" i="1" s="1"/>
  <c r="M134" i="1" s="1"/>
  <c r="J135" i="1"/>
  <c r="K135" i="1" s="1"/>
  <c r="M135" i="1" s="1"/>
  <c r="J136" i="1"/>
  <c r="K136" i="1" s="1"/>
  <c r="M136" i="1" s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170" i="1"/>
  <c r="E87" i="1"/>
  <c r="E88" i="1"/>
  <c r="E89" i="1"/>
  <c r="E90" i="1"/>
  <c r="E91" i="1"/>
  <c r="E92" i="1"/>
  <c r="E93" i="1"/>
  <c r="E94" i="1"/>
  <c r="E95" i="1"/>
  <c r="E96" i="1"/>
  <c r="E97" i="1"/>
  <c r="E98" i="1"/>
  <c r="E110" i="1" s="1"/>
  <c r="E122" i="1" s="1"/>
  <c r="E134" i="1" s="1"/>
  <c r="E146" i="1" s="1"/>
  <c r="E99" i="1"/>
  <c r="E100" i="1"/>
  <c r="E101" i="1"/>
  <c r="E102" i="1"/>
  <c r="E103" i="1"/>
  <c r="E104" i="1"/>
  <c r="E105" i="1"/>
  <c r="E106" i="1"/>
  <c r="E107" i="1"/>
  <c r="E108" i="1"/>
  <c r="E109" i="1"/>
  <c r="E111" i="1"/>
  <c r="E112" i="1"/>
  <c r="E113" i="1"/>
  <c r="E114" i="1"/>
  <c r="E115" i="1"/>
  <c r="E116" i="1"/>
  <c r="E117" i="1"/>
  <c r="E118" i="1"/>
  <c r="E119" i="1"/>
  <c r="E120" i="1"/>
  <c r="E121" i="1"/>
  <c r="E123" i="1"/>
  <c r="E124" i="1"/>
  <c r="E125" i="1"/>
  <c r="E126" i="1"/>
  <c r="E127" i="1"/>
  <c r="E128" i="1"/>
  <c r="E129" i="1"/>
  <c r="E130" i="1"/>
  <c r="E131" i="1"/>
  <c r="E132" i="1"/>
  <c r="E133" i="1"/>
  <c r="E135" i="1"/>
  <c r="E136" i="1"/>
  <c r="E137" i="1"/>
  <c r="E138" i="1"/>
  <c r="E139" i="1"/>
  <c r="E140" i="1"/>
  <c r="E141" i="1"/>
  <c r="E142" i="1"/>
  <c r="E143" i="1"/>
  <c r="E144" i="1"/>
  <c r="E145" i="1"/>
  <c r="E147" i="1"/>
  <c r="E148" i="1"/>
  <c r="E86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42" i="1" s="1"/>
  <c r="E54" i="1" s="1"/>
  <c r="E66" i="1" s="1"/>
  <c r="E31" i="1"/>
  <c r="E32" i="1"/>
  <c r="E33" i="1"/>
  <c r="E34" i="1"/>
  <c r="E35" i="1"/>
  <c r="E36" i="1"/>
  <c r="E37" i="1"/>
  <c r="E38" i="1"/>
  <c r="E39" i="1"/>
  <c r="E40" i="1"/>
  <c r="E41" i="1"/>
  <c r="E43" i="1"/>
  <c r="E44" i="1"/>
  <c r="E45" i="1"/>
  <c r="E46" i="1"/>
  <c r="E47" i="1"/>
  <c r="E48" i="1"/>
  <c r="E49" i="1"/>
  <c r="E50" i="1"/>
  <c r="E51" i="1"/>
  <c r="E52" i="1"/>
  <c r="E53" i="1"/>
  <c r="E55" i="1"/>
  <c r="E56" i="1"/>
  <c r="E57" i="1"/>
  <c r="E58" i="1"/>
  <c r="E59" i="1"/>
  <c r="E60" i="1"/>
  <c r="E61" i="1"/>
  <c r="E62" i="1"/>
  <c r="E63" i="1"/>
  <c r="E64" i="1"/>
  <c r="E65" i="1"/>
  <c r="E67" i="1"/>
  <c r="E68" i="1"/>
  <c r="E69" i="1"/>
  <c r="E70" i="1"/>
  <c r="E71" i="1"/>
  <c r="E72" i="1"/>
  <c r="E73" i="1"/>
  <c r="E74" i="1"/>
  <c r="E75" i="1"/>
  <c r="E76" i="1"/>
  <c r="E14" i="1"/>
  <c r="G171" i="1"/>
  <c r="G195" i="1" s="1"/>
  <c r="G219" i="1" s="1"/>
  <c r="G172" i="1"/>
  <c r="G196" i="1" s="1"/>
  <c r="G220" i="1" s="1"/>
  <c r="G173" i="1"/>
  <c r="G174" i="1"/>
  <c r="G175" i="1"/>
  <c r="G199" i="1" s="1"/>
  <c r="G223" i="1" s="1"/>
  <c r="G176" i="1"/>
  <c r="G177" i="1"/>
  <c r="G178" i="1"/>
  <c r="G179" i="1"/>
  <c r="G203" i="1" s="1"/>
  <c r="G227" i="1" s="1"/>
  <c r="G180" i="1"/>
  <c r="G204" i="1" s="1"/>
  <c r="G181" i="1"/>
  <c r="G182" i="1"/>
  <c r="G206" i="1" s="1"/>
  <c r="G230" i="1" s="1"/>
  <c r="G183" i="1"/>
  <c r="G207" i="1" s="1"/>
  <c r="G231" i="1" s="1"/>
  <c r="G184" i="1"/>
  <c r="G208" i="1" s="1"/>
  <c r="G232" i="1" s="1"/>
  <c r="G185" i="1"/>
  <c r="G186" i="1"/>
  <c r="G187" i="1"/>
  <c r="G211" i="1" s="1"/>
  <c r="G235" i="1" s="1"/>
  <c r="G188" i="1"/>
  <c r="G212" i="1" s="1"/>
  <c r="G236" i="1" s="1"/>
  <c r="G189" i="1"/>
  <c r="G190" i="1"/>
  <c r="G191" i="1"/>
  <c r="G215" i="1" s="1"/>
  <c r="G239" i="1" s="1"/>
  <c r="G192" i="1"/>
  <c r="G193" i="1"/>
  <c r="G197" i="1"/>
  <c r="G198" i="1"/>
  <c r="G222" i="1" s="1"/>
  <c r="G200" i="1"/>
  <c r="G224" i="1" s="1"/>
  <c r="G201" i="1"/>
  <c r="G202" i="1"/>
  <c r="G226" i="1" s="1"/>
  <c r="G205" i="1"/>
  <c r="G229" i="1" s="1"/>
  <c r="G209" i="1"/>
  <c r="G233" i="1" s="1"/>
  <c r="G210" i="1"/>
  <c r="G234" i="1" s="1"/>
  <c r="G213" i="1"/>
  <c r="G214" i="1"/>
  <c r="G238" i="1" s="1"/>
  <c r="G216" i="1"/>
  <c r="G240" i="1" s="1"/>
  <c r="G217" i="1"/>
  <c r="G221" i="1"/>
  <c r="G225" i="1"/>
  <c r="G228" i="1"/>
  <c r="G237" i="1"/>
  <c r="G241" i="1"/>
  <c r="G170" i="1"/>
  <c r="G194" i="1" s="1"/>
  <c r="G218" i="1" s="1"/>
  <c r="B177" i="1"/>
  <c r="C177" i="1"/>
  <c r="D177" i="1"/>
  <c r="B178" i="1"/>
  <c r="C178" i="1"/>
  <c r="D178" i="1"/>
  <c r="B179" i="1"/>
  <c r="C179" i="1"/>
  <c r="D179" i="1"/>
  <c r="B180" i="1"/>
  <c r="C180" i="1"/>
  <c r="D180" i="1"/>
  <c r="B181" i="1"/>
  <c r="C181" i="1"/>
  <c r="D181" i="1"/>
  <c r="B182" i="1"/>
  <c r="C182" i="1"/>
  <c r="D182" i="1"/>
  <c r="B183" i="1"/>
  <c r="C183" i="1"/>
  <c r="D183" i="1"/>
  <c r="B184" i="1"/>
  <c r="C184" i="1"/>
  <c r="D184" i="1"/>
  <c r="B185" i="1"/>
  <c r="C185" i="1"/>
  <c r="D185" i="1"/>
  <c r="B186" i="1"/>
  <c r="C186" i="1"/>
  <c r="D186" i="1"/>
  <c r="B187" i="1"/>
  <c r="C187" i="1"/>
  <c r="D187" i="1"/>
  <c r="B188" i="1"/>
  <c r="D188" i="1"/>
  <c r="B189" i="1"/>
  <c r="D189" i="1"/>
  <c r="B190" i="1"/>
  <c r="D190" i="1"/>
  <c r="B191" i="1"/>
  <c r="D191" i="1"/>
  <c r="B192" i="1"/>
  <c r="D192" i="1"/>
  <c r="B193" i="1"/>
  <c r="D193" i="1"/>
  <c r="B194" i="1"/>
  <c r="C195" i="1"/>
  <c r="B198" i="1"/>
  <c r="C199" i="1"/>
  <c r="D200" i="1"/>
  <c r="B201" i="1"/>
  <c r="C201" i="1"/>
  <c r="D201" i="1"/>
  <c r="B202" i="1"/>
  <c r="C202" i="1"/>
  <c r="D202" i="1"/>
  <c r="B203" i="1"/>
  <c r="C203" i="1"/>
  <c r="D203" i="1"/>
  <c r="B204" i="1"/>
  <c r="C204" i="1"/>
  <c r="D204" i="1"/>
  <c r="B205" i="1"/>
  <c r="C205" i="1"/>
  <c r="D205" i="1"/>
  <c r="B206" i="1"/>
  <c r="C206" i="1"/>
  <c r="D206" i="1"/>
  <c r="B207" i="1"/>
  <c r="C207" i="1"/>
  <c r="D207" i="1"/>
  <c r="B208" i="1"/>
  <c r="C208" i="1"/>
  <c r="D208" i="1"/>
  <c r="B209" i="1"/>
  <c r="C209" i="1"/>
  <c r="D209" i="1"/>
  <c r="B210" i="1"/>
  <c r="C210" i="1"/>
  <c r="D210" i="1"/>
  <c r="B211" i="1"/>
  <c r="C211" i="1"/>
  <c r="D211" i="1"/>
  <c r="B212" i="1"/>
  <c r="D212" i="1"/>
  <c r="B213" i="1"/>
  <c r="D213" i="1"/>
  <c r="B214" i="1"/>
  <c r="D214" i="1"/>
  <c r="B215" i="1"/>
  <c r="D215" i="1"/>
  <c r="B216" i="1"/>
  <c r="D216" i="1"/>
  <c r="B217" i="1"/>
  <c r="D217" i="1"/>
  <c r="B218" i="1"/>
  <c r="C219" i="1"/>
  <c r="B222" i="1"/>
  <c r="C223" i="1"/>
  <c r="D224" i="1"/>
  <c r="B225" i="1"/>
  <c r="C225" i="1"/>
  <c r="D225" i="1"/>
  <c r="B226" i="1"/>
  <c r="C226" i="1"/>
  <c r="D226" i="1"/>
  <c r="B227" i="1"/>
  <c r="C227" i="1"/>
  <c r="D227" i="1"/>
  <c r="B228" i="1"/>
  <c r="C228" i="1"/>
  <c r="D228" i="1"/>
  <c r="B229" i="1"/>
  <c r="C229" i="1"/>
  <c r="D229" i="1"/>
  <c r="B230" i="1"/>
  <c r="C230" i="1"/>
  <c r="D230" i="1"/>
  <c r="B231" i="1"/>
  <c r="C231" i="1"/>
  <c r="D231" i="1"/>
  <c r="B232" i="1"/>
  <c r="C232" i="1"/>
  <c r="D232" i="1"/>
  <c r="B233" i="1"/>
  <c r="C233" i="1"/>
  <c r="D233" i="1"/>
  <c r="B234" i="1"/>
  <c r="C234" i="1"/>
  <c r="D234" i="1"/>
  <c r="B235" i="1"/>
  <c r="C235" i="1"/>
  <c r="D235" i="1"/>
  <c r="B236" i="1"/>
  <c r="D236" i="1"/>
  <c r="B237" i="1"/>
  <c r="D237" i="1"/>
  <c r="B238" i="1"/>
  <c r="D238" i="1"/>
  <c r="B239" i="1"/>
  <c r="D239" i="1"/>
  <c r="B240" i="1"/>
  <c r="D240" i="1"/>
  <c r="B241" i="1"/>
  <c r="D241" i="1"/>
  <c r="B242" i="1"/>
  <c r="C243" i="1"/>
  <c r="B246" i="1"/>
  <c r="C247" i="1"/>
  <c r="D248" i="1"/>
  <c r="B249" i="1"/>
  <c r="C249" i="1"/>
  <c r="D249" i="1"/>
  <c r="B250" i="1"/>
  <c r="C250" i="1"/>
  <c r="D250" i="1"/>
  <c r="B251" i="1"/>
  <c r="C251" i="1"/>
  <c r="D251" i="1"/>
  <c r="B252" i="1"/>
  <c r="C252" i="1"/>
  <c r="D252" i="1"/>
  <c r="B253" i="1"/>
  <c r="C253" i="1"/>
  <c r="D253" i="1"/>
  <c r="B254" i="1"/>
  <c r="C254" i="1"/>
  <c r="D254" i="1"/>
  <c r="B255" i="1"/>
  <c r="C255" i="1"/>
  <c r="D255" i="1"/>
  <c r="B256" i="1"/>
  <c r="C256" i="1"/>
  <c r="D256" i="1"/>
  <c r="B257" i="1"/>
  <c r="C257" i="1"/>
  <c r="D257" i="1"/>
  <c r="B258" i="1"/>
  <c r="C258" i="1"/>
  <c r="D258" i="1"/>
  <c r="B259" i="1"/>
  <c r="C259" i="1"/>
  <c r="D259" i="1"/>
  <c r="B260" i="1"/>
  <c r="B284" i="1" s="1"/>
  <c r="D260" i="1"/>
  <c r="D284" i="1" s="1"/>
  <c r="B261" i="1"/>
  <c r="B285" i="1" s="1"/>
  <c r="D261" i="1"/>
  <c r="D285" i="1" s="1"/>
  <c r="B262" i="1"/>
  <c r="B286" i="1" s="1"/>
  <c r="D262" i="1"/>
  <c r="D286" i="1" s="1"/>
  <c r="B263" i="1"/>
  <c r="B287" i="1" s="1"/>
  <c r="D263" i="1"/>
  <c r="D287" i="1" s="1"/>
  <c r="B264" i="1"/>
  <c r="B288" i="1" s="1"/>
  <c r="D264" i="1"/>
  <c r="D288" i="1" s="1"/>
  <c r="B265" i="1"/>
  <c r="B289" i="1" s="1"/>
  <c r="D265" i="1"/>
  <c r="D289" i="1" s="1"/>
  <c r="B266" i="1"/>
  <c r="C267" i="1"/>
  <c r="B270" i="1"/>
  <c r="C271" i="1"/>
  <c r="D272" i="1"/>
  <c r="B273" i="1"/>
  <c r="C273" i="1"/>
  <c r="D273" i="1"/>
  <c r="B274" i="1"/>
  <c r="C274" i="1"/>
  <c r="D274" i="1"/>
  <c r="B275" i="1"/>
  <c r="C275" i="1"/>
  <c r="D275" i="1"/>
  <c r="B276" i="1"/>
  <c r="C276" i="1"/>
  <c r="D276" i="1"/>
  <c r="B277" i="1"/>
  <c r="C277" i="1"/>
  <c r="D277" i="1"/>
  <c r="B278" i="1"/>
  <c r="C278" i="1"/>
  <c r="D278" i="1"/>
  <c r="B279" i="1"/>
  <c r="C279" i="1"/>
  <c r="D279" i="1"/>
  <c r="B280" i="1"/>
  <c r="C280" i="1"/>
  <c r="D280" i="1"/>
  <c r="B281" i="1"/>
  <c r="C281" i="1"/>
  <c r="D281" i="1"/>
  <c r="B282" i="1"/>
  <c r="C282" i="1"/>
  <c r="D282" i="1"/>
  <c r="B283" i="1"/>
  <c r="C283" i="1"/>
  <c r="D283" i="1"/>
  <c r="B171" i="1"/>
  <c r="B195" i="1" s="1"/>
  <c r="B219" i="1" s="1"/>
  <c r="B243" i="1" s="1"/>
  <c r="B267" i="1" s="1"/>
  <c r="C171" i="1"/>
  <c r="B172" i="1"/>
  <c r="B196" i="1" s="1"/>
  <c r="B220" i="1" s="1"/>
  <c r="B244" i="1" s="1"/>
  <c r="B268" i="1" s="1"/>
  <c r="C172" i="1"/>
  <c r="C196" i="1" s="1"/>
  <c r="C220" i="1" s="1"/>
  <c r="C244" i="1" s="1"/>
  <c r="C268" i="1" s="1"/>
  <c r="B173" i="1"/>
  <c r="B197" i="1" s="1"/>
  <c r="B221" i="1" s="1"/>
  <c r="B245" i="1" s="1"/>
  <c r="B269" i="1" s="1"/>
  <c r="C173" i="1"/>
  <c r="C197" i="1" s="1"/>
  <c r="C221" i="1" s="1"/>
  <c r="C245" i="1" s="1"/>
  <c r="C269" i="1" s="1"/>
  <c r="D173" i="1"/>
  <c r="D197" i="1" s="1"/>
  <c r="D221" i="1" s="1"/>
  <c r="D245" i="1" s="1"/>
  <c r="D269" i="1" s="1"/>
  <c r="B174" i="1"/>
  <c r="C174" i="1"/>
  <c r="C198" i="1" s="1"/>
  <c r="C222" i="1" s="1"/>
  <c r="C246" i="1" s="1"/>
  <c r="C270" i="1" s="1"/>
  <c r="D174" i="1"/>
  <c r="D198" i="1" s="1"/>
  <c r="D222" i="1" s="1"/>
  <c r="D246" i="1" s="1"/>
  <c r="D270" i="1" s="1"/>
  <c r="B175" i="1"/>
  <c r="B199" i="1" s="1"/>
  <c r="B223" i="1" s="1"/>
  <c r="B247" i="1" s="1"/>
  <c r="B271" i="1" s="1"/>
  <c r="C175" i="1"/>
  <c r="D175" i="1"/>
  <c r="D199" i="1" s="1"/>
  <c r="D223" i="1" s="1"/>
  <c r="D247" i="1" s="1"/>
  <c r="D271" i="1" s="1"/>
  <c r="B176" i="1"/>
  <c r="B200" i="1" s="1"/>
  <c r="B224" i="1" s="1"/>
  <c r="B248" i="1" s="1"/>
  <c r="B272" i="1" s="1"/>
  <c r="C176" i="1"/>
  <c r="C200" i="1" s="1"/>
  <c r="C224" i="1" s="1"/>
  <c r="C248" i="1" s="1"/>
  <c r="C272" i="1" s="1"/>
  <c r="D176" i="1"/>
  <c r="C170" i="1"/>
  <c r="C194" i="1" s="1"/>
  <c r="C218" i="1" s="1"/>
  <c r="C242" i="1" s="1"/>
  <c r="C266" i="1" s="1"/>
  <c r="D170" i="1"/>
  <c r="D194" i="1" s="1"/>
  <c r="D218" i="1" s="1"/>
  <c r="D242" i="1" s="1"/>
  <c r="D266" i="1" s="1"/>
  <c r="B170" i="1"/>
  <c r="G87" i="1"/>
  <c r="G88" i="1"/>
  <c r="G100" i="1" s="1"/>
  <c r="G112" i="1" s="1"/>
  <c r="G89" i="1"/>
  <c r="G90" i="1"/>
  <c r="G91" i="1"/>
  <c r="G92" i="1"/>
  <c r="G104" i="1" s="1"/>
  <c r="G116" i="1" s="1"/>
  <c r="G93" i="1"/>
  <c r="G94" i="1"/>
  <c r="G95" i="1"/>
  <c r="G96" i="1"/>
  <c r="G108" i="1" s="1"/>
  <c r="G120" i="1" s="1"/>
  <c r="G97" i="1"/>
  <c r="G99" i="1"/>
  <c r="G101" i="1"/>
  <c r="G102" i="1"/>
  <c r="G103" i="1"/>
  <c r="G105" i="1"/>
  <c r="G106" i="1"/>
  <c r="G107" i="1"/>
  <c r="G109" i="1"/>
  <c r="G111" i="1"/>
  <c r="G113" i="1"/>
  <c r="G114" i="1"/>
  <c r="G115" i="1"/>
  <c r="G117" i="1"/>
  <c r="G118" i="1"/>
  <c r="G119" i="1"/>
  <c r="G121" i="1"/>
  <c r="G86" i="1"/>
  <c r="G98" i="1" s="1"/>
  <c r="G110" i="1" s="1"/>
  <c r="A140" i="1"/>
  <c r="A141" i="1"/>
  <c r="A142" i="1"/>
  <c r="D141" i="1"/>
  <c r="B143" i="1"/>
  <c r="C144" i="1"/>
  <c r="D145" i="1"/>
  <c r="B87" i="1"/>
  <c r="C87" i="1"/>
  <c r="B88" i="1"/>
  <c r="C88" i="1"/>
  <c r="B89" i="1"/>
  <c r="D89" i="1"/>
  <c r="B90" i="1"/>
  <c r="D90" i="1"/>
  <c r="B91" i="1"/>
  <c r="D91" i="1"/>
  <c r="B92" i="1"/>
  <c r="D92" i="1"/>
  <c r="B93" i="1"/>
  <c r="D93" i="1"/>
  <c r="B94" i="1"/>
  <c r="D94" i="1"/>
  <c r="B95" i="1"/>
  <c r="C95" i="1"/>
  <c r="D95" i="1"/>
  <c r="B96" i="1"/>
  <c r="C96" i="1"/>
  <c r="D96" i="1"/>
  <c r="B97" i="1"/>
  <c r="C97" i="1"/>
  <c r="D97" i="1"/>
  <c r="B99" i="1"/>
  <c r="C99" i="1"/>
  <c r="B100" i="1"/>
  <c r="C100" i="1"/>
  <c r="B101" i="1"/>
  <c r="D101" i="1"/>
  <c r="B102" i="1"/>
  <c r="D102" i="1"/>
  <c r="B103" i="1"/>
  <c r="D103" i="1"/>
  <c r="B104" i="1"/>
  <c r="D104" i="1"/>
  <c r="B105" i="1"/>
  <c r="D105" i="1"/>
  <c r="B106" i="1"/>
  <c r="D106" i="1"/>
  <c r="B107" i="1"/>
  <c r="C107" i="1"/>
  <c r="D107" i="1"/>
  <c r="B108" i="1"/>
  <c r="C108" i="1"/>
  <c r="D108" i="1"/>
  <c r="B109" i="1"/>
  <c r="C109" i="1"/>
  <c r="D109" i="1"/>
  <c r="B111" i="1"/>
  <c r="C111" i="1"/>
  <c r="B112" i="1"/>
  <c r="C112" i="1"/>
  <c r="B113" i="1"/>
  <c r="D113" i="1"/>
  <c r="B114" i="1"/>
  <c r="D114" i="1"/>
  <c r="B115" i="1"/>
  <c r="D115" i="1"/>
  <c r="B116" i="1"/>
  <c r="D116" i="1"/>
  <c r="B117" i="1"/>
  <c r="D117" i="1"/>
  <c r="B118" i="1"/>
  <c r="D118" i="1"/>
  <c r="B119" i="1"/>
  <c r="C119" i="1"/>
  <c r="D119" i="1"/>
  <c r="B120" i="1"/>
  <c r="C120" i="1"/>
  <c r="D120" i="1"/>
  <c r="B121" i="1"/>
  <c r="C121" i="1"/>
  <c r="D121" i="1"/>
  <c r="B123" i="1"/>
  <c r="C123" i="1"/>
  <c r="B124" i="1"/>
  <c r="C124" i="1"/>
  <c r="B125" i="1"/>
  <c r="D125" i="1"/>
  <c r="B126" i="1"/>
  <c r="D126" i="1"/>
  <c r="B127" i="1"/>
  <c r="D127" i="1"/>
  <c r="B128" i="1"/>
  <c r="D128" i="1"/>
  <c r="B129" i="1"/>
  <c r="B141" i="1" s="1"/>
  <c r="D129" i="1"/>
  <c r="B130" i="1"/>
  <c r="B142" i="1" s="1"/>
  <c r="D130" i="1"/>
  <c r="D142" i="1" s="1"/>
  <c r="B131" i="1"/>
  <c r="C131" i="1"/>
  <c r="C143" i="1" s="1"/>
  <c r="D131" i="1"/>
  <c r="D143" i="1" s="1"/>
  <c r="B132" i="1"/>
  <c r="B144" i="1" s="1"/>
  <c r="C132" i="1"/>
  <c r="D132" i="1"/>
  <c r="D144" i="1" s="1"/>
  <c r="B133" i="1"/>
  <c r="B145" i="1" s="1"/>
  <c r="C133" i="1"/>
  <c r="C145" i="1" s="1"/>
  <c r="D133" i="1"/>
  <c r="B135" i="1"/>
  <c r="C135" i="1"/>
  <c r="B136" i="1"/>
  <c r="C136" i="1"/>
  <c r="B137" i="1"/>
  <c r="D137" i="1"/>
  <c r="B138" i="1"/>
  <c r="D138" i="1"/>
  <c r="B139" i="1"/>
  <c r="D139" i="1"/>
  <c r="B140" i="1"/>
  <c r="D140" i="1"/>
  <c r="C86" i="1"/>
  <c r="C98" i="1" s="1"/>
  <c r="C110" i="1" s="1"/>
  <c r="C122" i="1" s="1"/>
  <c r="C134" i="1" s="1"/>
  <c r="B86" i="1"/>
  <c r="B98" i="1" s="1"/>
  <c r="B110" i="1" s="1"/>
  <c r="B122" i="1" s="1"/>
  <c r="B134" i="1" s="1"/>
  <c r="C15" i="1"/>
  <c r="C16" i="1"/>
  <c r="C17" i="1"/>
  <c r="C18" i="1"/>
  <c r="C19" i="1"/>
  <c r="C20" i="1"/>
  <c r="C21" i="1"/>
  <c r="C22" i="1"/>
  <c r="C23" i="1"/>
  <c r="C24" i="1"/>
  <c r="C25" i="1"/>
  <c r="C27" i="1"/>
  <c r="C28" i="1"/>
  <c r="C29" i="1"/>
  <c r="C41" i="1" s="1"/>
  <c r="C53" i="1" s="1"/>
  <c r="C65" i="1" s="1"/>
  <c r="C30" i="1"/>
  <c r="C31" i="1"/>
  <c r="C32" i="1"/>
  <c r="C33" i="1"/>
  <c r="C45" i="1" s="1"/>
  <c r="C57" i="1" s="1"/>
  <c r="C69" i="1" s="1"/>
  <c r="C34" i="1"/>
  <c r="C35" i="1"/>
  <c r="C36" i="1"/>
  <c r="C37" i="1"/>
  <c r="C49" i="1" s="1"/>
  <c r="C61" i="1" s="1"/>
  <c r="C73" i="1" s="1"/>
  <c r="C39" i="1"/>
  <c r="C40" i="1"/>
  <c r="C42" i="1"/>
  <c r="C43" i="1"/>
  <c r="C44" i="1"/>
  <c r="C46" i="1"/>
  <c r="C47" i="1"/>
  <c r="C48" i="1"/>
  <c r="C51" i="1"/>
  <c r="C52" i="1"/>
  <c r="C54" i="1"/>
  <c r="C55" i="1"/>
  <c r="C56" i="1"/>
  <c r="C58" i="1"/>
  <c r="C59" i="1"/>
  <c r="C60" i="1"/>
  <c r="C63" i="1"/>
  <c r="C64" i="1"/>
  <c r="C66" i="1"/>
  <c r="C67" i="1"/>
  <c r="C68" i="1"/>
  <c r="C70" i="1"/>
  <c r="C71" i="1"/>
  <c r="C72" i="1"/>
  <c r="C14" i="1"/>
  <c r="C26" i="1" s="1"/>
  <c r="C38" i="1" s="1"/>
  <c r="C50" i="1" s="1"/>
  <c r="C62" i="1" s="1"/>
  <c r="D15" i="1"/>
  <c r="D16" i="1"/>
  <c r="D17" i="1"/>
  <c r="D18" i="1"/>
  <c r="D30" i="1" s="1"/>
  <c r="D42" i="1" s="1"/>
  <c r="D54" i="1" s="1"/>
  <c r="D66" i="1" s="1"/>
  <c r="D19" i="1"/>
  <c r="D26" i="1"/>
  <c r="D38" i="1" s="1"/>
  <c r="D27" i="1"/>
  <c r="D28" i="1"/>
  <c r="D40" i="1" s="1"/>
  <c r="D52" i="1" s="1"/>
  <c r="D64" i="1" s="1"/>
  <c r="D29" i="1"/>
  <c r="D31" i="1"/>
  <c r="D39" i="1"/>
  <c r="D51" i="1" s="1"/>
  <c r="D63" i="1" s="1"/>
  <c r="D41" i="1"/>
  <c r="D53" i="1" s="1"/>
  <c r="D43" i="1"/>
  <c r="D55" i="1" s="1"/>
  <c r="D67" i="1" s="1"/>
  <c r="D65" i="1"/>
  <c r="D14" i="1"/>
  <c r="B15" i="1"/>
  <c r="B16" i="1"/>
  <c r="B28" i="1" s="1"/>
  <c r="B40" i="1" s="1"/>
  <c r="B52" i="1" s="1"/>
  <c r="B64" i="1" s="1"/>
  <c r="B17" i="1"/>
  <c r="B18" i="1"/>
  <c r="B19" i="1"/>
  <c r="B20" i="1"/>
  <c r="B32" i="1" s="1"/>
  <c r="B44" i="1" s="1"/>
  <c r="B56" i="1" s="1"/>
  <c r="B68" i="1" s="1"/>
  <c r="B21" i="1"/>
  <c r="B22" i="1"/>
  <c r="B23" i="1"/>
  <c r="B24" i="1"/>
  <c r="B36" i="1" s="1"/>
  <c r="B48" i="1" s="1"/>
  <c r="B60" i="1" s="1"/>
  <c r="B72" i="1" s="1"/>
  <c r="B25" i="1"/>
  <c r="B27" i="1"/>
  <c r="B29" i="1"/>
  <c r="B30" i="1"/>
  <c r="B42" i="1" s="1"/>
  <c r="B54" i="1" s="1"/>
  <c r="B66" i="1" s="1"/>
  <c r="B31" i="1"/>
  <c r="B33" i="1"/>
  <c r="B35" i="1"/>
  <c r="B47" i="1" s="1"/>
  <c r="B37" i="1"/>
  <c r="B49" i="1" s="1"/>
  <c r="B39" i="1"/>
  <c r="B51" i="1" s="1"/>
  <c r="B41" i="1"/>
  <c r="B53" i="1" s="1"/>
  <c r="B65" i="1" s="1"/>
  <c r="B43" i="1"/>
  <c r="B55" i="1" s="1"/>
  <c r="B45" i="1"/>
  <c r="B57" i="1"/>
  <c r="B59" i="1"/>
  <c r="B61" i="1"/>
  <c r="B73" i="1" s="1"/>
  <c r="B63" i="1"/>
  <c r="B67" i="1"/>
  <c r="B69" i="1"/>
  <c r="B71" i="1"/>
  <c r="C167" i="1"/>
  <c r="C191" i="1" s="1"/>
  <c r="C215" i="1" s="1"/>
  <c r="C239" i="1" s="1"/>
  <c r="C263" i="1" s="1"/>
  <c r="C287" i="1" s="1"/>
  <c r="C168" i="1"/>
  <c r="C192" i="1" s="1"/>
  <c r="C216" i="1" s="1"/>
  <c r="C240" i="1" s="1"/>
  <c r="C264" i="1" s="1"/>
  <c r="C288" i="1" s="1"/>
  <c r="C169" i="1"/>
  <c r="C193" i="1" s="1"/>
  <c r="C217" i="1" s="1"/>
  <c r="C241" i="1" s="1"/>
  <c r="C265" i="1" s="1"/>
  <c r="C289" i="1" s="1"/>
  <c r="F142" i="1"/>
  <c r="F166" i="1" s="1"/>
  <c r="F190" i="1" s="1"/>
  <c r="F214" i="1" s="1"/>
  <c r="F238" i="1" s="1"/>
  <c r="F262" i="1" s="1"/>
  <c r="F286" i="1" s="1"/>
  <c r="F72" i="1"/>
  <c r="F141" i="1" s="1"/>
  <c r="F165" i="1" s="1"/>
  <c r="F189" i="1" s="1"/>
  <c r="F213" i="1" s="1"/>
  <c r="F237" i="1" s="1"/>
  <c r="F261" i="1" s="1"/>
  <c r="F285" i="1" s="1"/>
  <c r="F73" i="1"/>
  <c r="A74" i="1"/>
  <c r="D74" i="1"/>
  <c r="D86" i="1" s="1"/>
  <c r="D98" i="1" s="1"/>
  <c r="D110" i="1" s="1"/>
  <c r="D122" i="1" s="1"/>
  <c r="D134" i="1" s="1"/>
  <c r="A75" i="1"/>
  <c r="D75" i="1"/>
  <c r="D87" i="1" s="1"/>
  <c r="D99" i="1" s="1"/>
  <c r="D111" i="1" s="1"/>
  <c r="D123" i="1" s="1"/>
  <c r="D135" i="1" s="1"/>
  <c r="A76" i="1"/>
  <c r="D76" i="1"/>
  <c r="D88" i="1" s="1"/>
  <c r="D100" i="1" s="1"/>
  <c r="D112" i="1" s="1"/>
  <c r="D124" i="1" s="1"/>
  <c r="D136" i="1" s="1"/>
  <c r="A77" i="1"/>
  <c r="C77" i="1"/>
  <c r="C89" i="1" s="1"/>
  <c r="C101" i="1" s="1"/>
  <c r="C113" i="1" s="1"/>
  <c r="C125" i="1" s="1"/>
  <c r="C137" i="1" s="1"/>
  <c r="A78" i="1"/>
  <c r="C78" i="1"/>
  <c r="C90" i="1" s="1"/>
  <c r="C102" i="1" s="1"/>
  <c r="C114" i="1" s="1"/>
  <c r="C126" i="1" s="1"/>
  <c r="C138" i="1" s="1"/>
  <c r="A79" i="1"/>
  <c r="C79" i="1"/>
  <c r="C91" i="1" s="1"/>
  <c r="C103" i="1" s="1"/>
  <c r="C115" i="1" s="1"/>
  <c r="C127" i="1" s="1"/>
  <c r="C139" i="1" s="1"/>
  <c r="A80" i="1"/>
  <c r="C80" i="1"/>
  <c r="C92" i="1" s="1"/>
  <c r="C104" i="1" s="1"/>
  <c r="C116" i="1" s="1"/>
  <c r="C128" i="1" s="1"/>
  <c r="C140" i="1" s="1"/>
  <c r="C164" i="1" s="1"/>
  <c r="C188" i="1" s="1"/>
  <c r="C212" i="1" s="1"/>
  <c r="C236" i="1" s="1"/>
  <c r="C260" i="1" s="1"/>
  <c r="C284" i="1" s="1"/>
  <c r="A81" i="1"/>
  <c r="C81" i="1"/>
  <c r="C93" i="1" s="1"/>
  <c r="C105" i="1" s="1"/>
  <c r="C117" i="1" s="1"/>
  <c r="C129" i="1" s="1"/>
  <c r="C141" i="1" s="1"/>
  <c r="C165" i="1" s="1"/>
  <c r="C189" i="1" s="1"/>
  <c r="C213" i="1" s="1"/>
  <c r="C237" i="1" s="1"/>
  <c r="C261" i="1" s="1"/>
  <c r="C285" i="1" s="1"/>
  <c r="A82" i="1"/>
  <c r="C82" i="1"/>
  <c r="C94" i="1" s="1"/>
  <c r="C106" i="1" s="1"/>
  <c r="C118" i="1" s="1"/>
  <c r="C130" i="1" s="1"/>
  <c r="C142" i="1" s="1"/>
  <c r="C166" i="1" s="1"/>
  <c r="C190" i="1" s="1"/>
  <c r="C214" i="1" s="1"/>
  <c r="C238" i="1" s="1"/>
  <c r="C262" i="1" s="1"/>
  <c r="C286" i="1" s="1"/>
  <c r="F84" i="1"/>
  <c r="A87" i="1"/>
  <c r="F108" i="1"/>
  <c r="F120" i="1"/>
  <c r="F71" i="1"/>
  <c r="F140" i="1" s="1"/>
  <c r="F164" i="1" s="1"/>
  <c r="F188" i="1" s="1"/>
  <c r="F212" i="1" s="1"/>
  <c r="F236" i="1" s="1"/>
  <c r="F260" i="1" s="1"/>
  <c r="F284" i="1" s="1"/>
  <c r="A24" i="1"/>
  <c r="A93" i="1" s="1"/>
  <c r="G24" i="1"/>
  <c r="A25" i="1"/>
  <c r="A94" i="1" s="1"/>
  <c r="G25" i="1"/>
  <c r="G26" i="1"/>
  <c r="F27" i="1"/>
  <c r="F96" i="1" s="1"/>
  <c r="G27" i="1"/>
  <c r="A28" i="1"/>
  <c r="A97" i="1" s="1"/>
  <c r="G31" i="1"/>
  <c r="A32" i="1"/>
  <c r="A101" i="1" s="1"/>
  <c r="G35" i="1"/>
  <c r="A36" i="1"/>
  <c r="A105" i="1" s="1"/>
  <c r="G36" i="1"/>
  <c r="A37" i="1"/>
  <c r="A106" i="1" s="1"/>
  <c r="G37" i="1"/>
  <c r="G38" i="1"/>
  <c r="F39" i="1"/>
  <c r="F51" i="1" s="1"/>
  <c r="F63" i="1" s="1"/>
  <c r="F132" i="1" s="1"/>
  <c r="G39" i="1"/>
  <c r="A40" i="1"/>
  <c r="G43" i="1"/>
  <c r="A44" i="1"/>
  <c r="G47" i="1"/>
  <c r="A48" i="1"/>
  <c r="G48" i="1"/>
  <c r="A49" i="1"/>
  <c r="A118" i="1" s="1"/>
  <c r="G49" i="1"/>
  <c r="A61" i="1"/>
  <c r="A130" i="1" s="1"/>
  <c r="A15" i="1"/>
  <c r="F15" i="1"/>
  <c r="A16" i="1"/>
  <c r="A85" i="1" s="1"/>
  <c r="F16" i="1"/>
  <c r="F28" i="1" s="1"/>
  <c r="A17" i="1"/>
  <c r="A18" i="1"/>
  <c r="A30" i="1" s="1"/>
  <c r="A19" i="1"/>
  <c r="A20" i="1"/>
  <c r="A89" i="1" s="1"/>
  <c r="A21" i="1"/>
  <c r="A22" i="1"/>
  <c r="A34" i="1" s="1"/>
  <c r="A23" i="1"/>
  <c r="B14" i="1"/>
  <c r="B26" i="1" s="1"/>
  <c r="B38" i="1" s="1"/>
  <c r="B50" i="1" s="1"/>
  <c r="B62" i="1" s="1"/>
  <c r="F14" i="1"/>
  <c r="F83" i="1" s="1"/>
  <c r="A14" i="1"/>
  <c r="G15" i="1"/>
  <c r="G16" i="1"/>
  <c r="G28" i="1" s="1"/>
  <c r="G40" i="1" s="1"/>
  <c r="G17" i="1"/>
  <c r="G29" i="1" s="1"/>
  <c r="G41" i="1" s="1"/>
  <c r="G18" i="1"/>
  <c r="G30" i="1" s="1"/>
  <c r="G42" i="1" s="1"/>
  <c r="G19" i="1"/>
  <c r="G20" i="1"/>
  <c r="G32" i="1" s="1"/>
  <c r="G44" i="1" s="1"/>
  <c r="G21" i="1"/>
  <c r="G33" i="1" s="1"/>
  <c r="G45" i="1" s="1"/>
  <c r="G22" i="1"/>
  <c r="G34" i="1" s="1"/>
  <c r="G46" i="1" s="1"/>
  <c r="G23" i="1"/>
  <c r="G14" i="1"/>
  <c r="J2" i="1"/>
  <c r="K2" i="1" s="1"/>
  <c r="F6" i="1"/>
  <c r="F18" i="1" s="1"/>
  <c r="F7" i="1"/>
  <c r="F76" i="1" s="1"/>
  <c r="F10" i="1"/>
  <c r="F5" i="1"/>
  <c r="F17" i="1" s="1"/>
  <c r="F86" i="1" s="1"/>
  <c r="D9" i="1"/>
  <c r="D10" i="1"/>
  <c r="D8" i="1"/>
  <c r="D20" i="1" s="1"/>
  <c r="D32" i="1" s="1"/>
  <c r="D44" i="1" s="1"/>
  <c r="D56" i="1" s="1"/>
  <c r="D68" i="1" s="1"/>
  <c r="L126" i="1" l="1"/>
  <c r="F74" i="1"/>
  <c r="F143" i="1" s="1"/>
  <c r="F167" i="1" s="1"/>
  <c r="F191" i="1" s="1"/>
  <c r="F215" i="1" s="1"/>
  <c r="F239" i="1" s="1"/>
  <c r="F263" i="1" s="1"/>
  <c r="F287" i="1" s="1"/>
  <c r="F87" i="1"/>
  <c r="F30" i="1"/>
  <c r="A92" i="1"/>
  <c r="A35" i="1"/>
  <c r="A88" i="1"/>
  <c r="A31" i="1"/>
  <c r="A83" i="1"/>
  <c r="A26" i="1"/>
  <c r="A103" i="1"/>
  <c r="A46" i="1"/>
  <c r="A99" i="1"/>
  <c r="A42" i="1"/>
  <c r="F29" i="1"/>
  <c r="A90" i="1"/>
  <c r="A33" i="1"/>
  <c r="A86" i="1"/>
  <c r="A29" i="1"/>
  <c r="A84" i="1"/>
  <c r="A27" i="1"/>
  <c r="A117" i="1"/>
  <c r="A60" i="1"/>
  <c r="A129" i="1" s="1"/>
  <c r="A113" i="1"/>
  <c r="A56" i="1"/>
  <c r="A109" i="1"/>
  <c r="A52" i="1"/>
  <c r="F79" i="1"/>
  <c r="F13" i="1"/>
  <c r="F22" i="1"/>
  <c r="D22" i="1"/>
  <c r="D34" i="1" s="1"/>
  <c r="D46" i="1" s="1"/>
  <c r="D58" i="1" s="1"/>
  <c r="D70" i="1" s="1"/>
  <c r="D13" i="1"/>
  <c r="D25" i="1" s="1"/>
  <c r="D37" i="1" s="1"/>
  <c r="D49" i="1" s="1"/>
  <c r="D61" i="1" s="1"/>
  <c r="D73" i="1" s="1"/>
  <c r="F40" i="1"/>
  <c r="F97" i="1"/>
  <c r="D12" i="1"/>
  <c r="D24" i="1" s="1"/>
  <c r="D36" i="1" s="1"/>
  <c r="D48" i="1" s="1"/>
  <c r="D60" i="1" s="1"/>
  <c r="D72" i="1" s="1"/>
  <c r="D21" i="1"/>
  <c r="D33" i="1" s="1"/>
  <c r="D45" i="1" s="1"/>
  <c r="D57" i="1" s="1"/>
  <c r="D69" i="1" s="1"/>
  <c r="F8" i="1"/>
  <c r="F26" i="1"/>
  <c r="A91" i="1"/>
  <c r="F85" i="1"/>
  <c r="F9" i="1"/>
  <c r="F75" i="1"/>
  <c r="F19" i="1"/>
  <c r="D50" i="1"/>
  <c r="B34" i="1"/>
  <c r="D11" i="1"/>
  <c r="D23" i="1" s="1"/>
  <c r="D35" i="1" s="1"/>
  <c r="D47" i="1" s="1"/>
  <c r="D59" i="1" s="1"/>
  <c r="D71" i="1" s="1"/>
  <c r="D147" i="1"/>
  <c r="D171" i="1" s="1"/>
  <c r="D195" i="1" s="1"/>
  <c r="D219" i="1" s="1"/>
  <c r="D243" i="1" s="1"/>
  <c r="D267" i="1" s="1"/>
  <c r="D148" i="1"/>
  <c r="D172" i="1" s="1"/>
  <c r="D196" i="1" s="1"/>
  <c r="D220" i="1" s="1"/>
  <c r="D244" i="1" s="1"/>
  <c r="D268" i="1" s="1"/>
  <c r="L138" i="1" l="1"/>
  <c r="F91" i="1"/>
  <c r="F34" i="1"/>
  <c r="A111" i="1"/>
  <c r="A54" i="1"/>
  <c r="A38" i="1"/>
  <c r="A95" i="1"/>
  <c r="A47" i="1"/>
  <c r="A104" i="1"/>
  <c r="F95" i="1"/>
  <c r="F38" i="1"/>
  <c r="A125" i="1"/>
  <c r="A68" i="1"/>
  <c r="A137" i="1" s="1"/>
  <c r="F11" i="1"/>
  <c r="F77" i="1"/>
  <c r="F20" i="1"/>
  <c r="F109" i="1"/>
  <c r="F52" i="1"/>
  <c r="A96" i="1"/>
  <c r="A39" i="1"/>
  <c r="A115" i="1"/>
  <c r="A58" i="1"/>
  <c r="A100" i="1"/>
  <c r="A43" i="1"/>
  <c r="F99" i="1"/>
  <c r="F42" i="1"/>
  <c r="F82" i="1"/>
  <c r="F25" i="1"/>
  <c r="A102" i="1"/>
  <c r="A45" i="1"/>
  <c r="F88" i="1"/>
  <c r="F31" i="1"/>
  <c r="F12" i="1"/>
  <c r="F21" i="1"/>
  <c r="F78" i="1"/>
  <c r="A121" i="1"/>
  <c r="A64" i="1"/>
  <c r="A133" i="1" s="1"/>
  <c r="A98" i="1"/>
  <c r="A41" i="1"/>
  <c r="F98" i="1"/>
  <c r="F41" i="1"/>
  <c r="D62" i="1"/>
  <c r="B46" i="1"/>
  <c r="A112" i="1" l="1"/>
  <c r="A55" i="1"/>
  <c r="F121" i="1"/>
  <c r="F64" i="1"/>
  <c r="A123" i="1"/>
  <c r="A66" i="1"/>
  <c r="A135" i="1" s="1"/>
  <c r="F43" i="1"/>
  <c r="F100" i="1"/>
  <c r="A114" i="1"/>
  <c r="A57" i="1"/>
  <c r="F111" i="1"/>
  <c r="F54" i="1"/>
  <c r="F123" i="1" s="1"/>
  <c r="A127" i="1"/>
  <c r="A70" i="1"/>
  <c r="A139" i="1" s="1"/>
  <c r="A108" i="1"/>
  <c r="A51" i="1"/>
  <c r="F32" i="1"/>
  <c r="F89" i="1"/>
  <c r="A116" i="1"/>
  <c r="A59" i="1"/>
  <c r="A128" i="1" s="1"/>
  <c r="F90" i="1"/>
  <c r="F33" i="1"/>
  <c r="F94" i="1"/>
  <c r="F37" i="1"/>
  <c r="F23" i="1"/>
  <c r="F80" i="1"/>
  <c r="A107" i="1"/>
  <c r="A50" i="1"/>
  <c r="F53" i="1"/>
  <c r="F122" i="1" s="1"/>
  <c r="F110" i="1"/>
  <c r="F66" i="1"/>
  <c r="F24" i="1"/>
  <c r="F81" i="1"/>
  <c r="A110" i="1"/>
  <c r="A53" i="1"/>
  <c r="F107" i="1"/>
  <c r="F50" i="1"/>
  <c r="F103" i="1"/>
  <c r="F46" i="1"/>
  <c r="B58" i="1"/>
  <c r="F55" i="1" l="1"/>
  <c r="F124" i="1" s="1"/>
  <c r="F112" i="1"/>
  <c r="F69" i="1"/>
  <c r="F135" i="1"/>
  <c r="A126" i="1"/>
  <c r="A69" i="1"/>
  <c r="A138" i="1" s="1"/>
  <c r="A124" i="1"/>
  <c r="A67" i="1"/>
  <c r="A136" i="1" s="1"/>
  <c r="F44" i="1"/>
  <c r="F101" i="1"/>
  <c r="F36" i="1"/>
  <c r="F93" i="1"/>
  <c r="A119" i="1"/>
  <c r="A62" i="1"/>
  <c r="A131" i="1" s="1"/>
  <c r="F115" i="1"/>
  <c r="F58" i="1"/>
  <c r="F127" i="1" s="1"/>
  <c r="A65" i="1"/>
  <c r="A134" i="1" s="1"/>
  <c r="A122" i="1"/>
  <c r="F102" i="1"/>
  <c r="F45" i="1"/>
  <c r="F119" i="1"/>
  <c r="F62" i="1"/>
  <c r="F35" i="1"/>
  <c r="F92" i="1"/>
  <c r="F49" i="1"/>
  <c r="F106" i="1"/>
  <c r="A120" i="1"/>
  <c r="A63" i="1"/>
  <c r="A132" i="1" s="1"/>
  <c r="F133" i="1"/>
  <c r="F67" i="1"/>
  <c r="B70" i="1"/>
  <c r="F47" i="1" l="1"/>
  <c r="F104" i="1"/>
  <c r="F70" i="1"/>
  <c r="F136" i="1"/>
  <c r="F131" i="1"/>
  <c r="F65" i="1"/>
  <c r="F61" i="1"/>
  <c r="F130" i="1" s="1"/>
  <c r="F118" i="1"/>
  <c r="F113" i="1"/>
  <c r="F56" i="1"/>
  <c r="F125" i="1" s="1"/>
  <c r="F144" i="1"/>
  <c r="F138" i="1"/>
  <c r="F48" i="1"/>
  <c r="F105" i="1"/>
  <c r="F57" i="1"/>
  <c r="F126" i="1" s="1"/>
  <c r="F114" i="1"/>
  <c r="F147" i="1" l="1"/>
  <c r="F168" i="1"/>
  <c r="F192" i="1" s="1"/>
  <c r="F216" i="1" s="1"/>
  <c r="F240" i="1" s="1"/>
  <c r="F264" i="1" s="1"/>
  <c r="F288" i="1" s="1"/>
  <c r="F145" i="1"/>
  <c r="F139" i="1"/>
  <c r="F68" i="1"/>
  <c r="F134" i="1"/>
  <c r="F117" i="1"/>
  <c r="F60" i="1"/>
  <c r="F129" i="1" s="1"/>
  <c r="F59" i="1"/>
  <c r="F128" i="1" s="1"/>
  <c r="F116" i="1"/>
  <c r="F169" i="1" l="1"/>
  <c r="F193" i="1" s="1"/>
  <c r="F217" i="1" s="1"/>
  <c r="F241" i="1" s="1"/>
  <c r="F265" i="1" s="1"/>
  <c r="F289" i="1" s="1"/>
  <c r="F148" i="1"/>
  <c r="F146" i="1"/>
  <c r="F137" i="1"/>
  <c r="F150" i="1"/>
  <c r="F171" i="1"/>
  <c r="F195" i="1" s="1"/>
  <c r="F219" i="1" s="1"/>
  <c r="F243" i="1" s="1"/>
  <c r="F267" i="1" s="1"/>
  <c r="F153" i="1" l="1"/>
  <c r="F174" i="1"/>
  <c r="F198" i="1" s="1"/>
  <c r="F222" i="1" s="1"/>
  <c r="F246" i="1" s="1"/>
  <c r="F270" i="1" s="1"/>
  <c r="F172" i="1"/>
  <c r="F196" i="1" s="1"/>
  <c r="F220" i="1" s="1"/>
  <c r="F244" i="1" s="1"/>
  <c r="F268" i="1" s="1"/>
  <c r="F151" i="1"/>
  <c r="F149" i="1"/>
  <c r="F170" i="1"/>
  <c r="F194" i="1" s="1"/>
  <c r="F218" i="1" s="1"/>
  <c r="F242" i="1" s="1"/>
  <c r="F266" i="1" s="1"/>
  <c r="F175" i="1" l="1"/>
  <c r="F199" i="1" s="1"/>
  <c r="F223" i="1" s="1"/>
  <c r="F247" i="1" s="1"/>
  <c r="F271" i="1" s="1"/>
  <c r="F154" i="1"/>
  <c r="F152" i="1"/>
  <c r="F173" i="1"/>
  <c r="F197" i="1" s="1"/>
  <c r="F221" i="1" s="1"/>
  <c r="F245" i="1" s="1"/>
  <c r="F269" i="1" s="1"/>
  <c r="F156" i="1"/>
  <c r="F177" i="1"/>
  <c r="F201" i="1" s="1"/>
  <c r="F225" i="1" s="1"/>
  <c r="F249" i="1" s="1"/>
  <c r="F273" i="1" s="1"/>
  <c r="F157" i="1" l="1"/>
  <c r="F178" i="1"/>
  <c r="F202" i="1" s="1"/>
  <c r="F226" i="1" s="1"/>
  <c r="F250" i="1" s="1"/>
  <c r="F274" i="1" s="1"/>
  <c r="F159" i="1"/>
  <c r="F180" i="1"/>
  <c r="F204" i="1" s="1"/>
  <c r="F228" i="1" s="1"/>
  <c r="F252" i="1" s="1"/>
  <c r="F276" i="1" s="1"/>
  <c r="F155" i="1"/>
  <c r="F176" i="1"/>
  <c r="F200" i="1" s="1"/>
  <c r="F224" i="1" s="1"/>
  <c r="F248" i="1" s="1"/>
  <c r="F272" i="1" s="1"/>
  <c r="F162" i="1" l="1"/>
  <c r="F186" i="1" s="1"/>
  <c r="F210" i="1" s="1"/>
  <c r="F234" i="1" s="1"/>
  <c r="F258" i="1" s="1"/>
  <c r="F282" i="1" s="1"/>
  <c r="F183" i="1"/>
  <c r="F207" i="1" s="1"/>
  <c r="F231" i="1" s="1"/>
  <c r="F255" i="1" s="1"/>
  <c r="F279" i="1" s="1"/>
  <c r="F158" i="1"/>
  <c r="F179" i="1"/>
  <c r="F203" i="1" s="1"/>
  <c r="F227" i="1" s="1"/>
  <c r="F251" i="1" s="1"/>
  <c r="F275" i="1" s="1"/>
  <c r="F160" i="1"/>
  <c r="F181" i="1"/>
  <c r="F205" i="1" s="1"/>
  <c r="F229" i="1" s="1"/>
  <c r="F253" i="1" s="1"/>
  <c r="F277" i="1" s="1"/>
  <c r="F161" i="1" l="1"/>
  <c r="F185" i="1" s="1"/>
  <c r="F209" i="1" s="1"/>
  <c r="F233" i="1" s="1"/>
  <c r="F257" i="1" s="1"/>
  <c r="F281" i="1" s="1"/>
  <c r="F182" i="1"/>
  <c r="F206" i="1" s="1"/>
  <c r="F230" i="1" s="1"/>
  <c r="F254" i="1" s="1"/>
  <c r="F278" i="1" s="1"/>
  <c r="F163" i="1"/>
  <c r="F187" i="1" s="1"/>
  <c r="F211" i="1" s="1"/>
  <c r="F235" i="1" s="1"/>
  <c r="F259" i="1" s="1"/>
  <c r="F283" i="1" s="1"/>
  <c r="F184" i="1"/>
  <c r="F208" i="1" s="1"/>
  <c r="F232" i="1" s="1"/>
  <c r="F256" i="1" s="1"/>
  <c r="F280" i="1" s="1"/>
</calcChain>
</file>

<file path=xl/sharedStrings.xml><?xml version="1.0" encoding="utf-8"?>
<sst xmlns="http://schemas.openxmlformats.org/spreadsheetml/2006/main" count="91" uniqueCount="26">
  <si>
    <t>Day</t>
  </si>
  <si>
    <t>Tube</t>
  </si>
  <si>
    <t>Strain</t>
  </si>
  <si>
    <t>Culture</t>
  </si>
  <si>
    <t>Name</t>
  </si>
  <si>
    <t>Replicate</t>
  </si>
  <si>
    <t>Time</t>
  </si>
  <si>
    <t>Count</t>
  </si>
  <si>
    <t>Dilution</t>
  </si>
  <si>
    <t>Factor</t>
  </si>
  <si>
    <t>CFU</t>
  </si>
  <si>
    <t>TimeZero</t>
  </si>
  <si>
    <t>Fraction</t>
  </si>
  <si>
    <t>P</t>
  </si>
  <si>
    <t>P1</t>
  </si>
  <si>
    <t>PC</t>
  </si>
  <si>
    <t>PC1</t>
  </si>
  <si>
    <t>PC2</t>
  </si>
  <si>
    <t>PC3</t>
  </si>
  <si>
    <t>PC4</t>
  </si>
  <si>
    <t>PC5</t>
  </si>
  <si>
    <t>PC6</t>
  </si>
  <si>
    <t>PC7</t>
  </si>
  <si>
    <t>PC8</t>
  </si>
  <si>
    <t>PC9</t>
  </si>
  <si>
    <t>PC10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</si>
</sst>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2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0E929-15C7-A94F-89A0-1B970DB2740D}">
  <dimension ref="A1:M304"/>
  <sheetViews>
    <sheetView tabSelected="1" topLeftCell="A127" workbookViewId="0">
      <selection activeCell="H137" sqref="H137"/>
    </sheetView>
  </sheetViews>
  <sheetFormatPr defaultColWidth="11" defaultRowHeight="15.9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1</v>
      </c>
      <c r="C2" t="s">
        <v>13</v>
      </c>
      <c r="D2">
        <v>1</v>
      </c>
      <c r="E2" t="s">
        <v>14</v>
      </c>
      <c r="F2">
        <v>1</v>
      </c>
      <c r="G2">
        <v>0</v>
      </c>
      <c r="H2">
        <v>38</v>
      </c>
      <c r="I2">
        <v>5</v>
      </c>
      <c r="J2">
        <f>1/10^I2</f>
        <v>1.0000000000000001E-5</v>
      </c>
      <c r="K2" s="1">
        <f>H2/(J2*0.02)</f>
        <v>189999999.99999997</v>
      </c>
      <c r="L2">
        <v>189999999.99999997</v>
      </c>
      <c r="M2" s="2">
        <f>K2/L2</f>
        <v>1</v>
      </c>
    </row>
    <row r="3" spans="1:13">
      <c r="A3">
        <v>1</v>
      </c>
      <c r="B3">
        <v>2</v>
      </c>
      <c r="C3" t="s">
        <v>13</v>
      </c>
      <c r="D3">
        <v>1</v>
      </c>
      <c r="E3" t="s">
        <v>14</v>
      </c>
      <c r="F3">
        <v>2</v>
      </c>
      <c r="G3">
        <v>0</v>
      </c>
      <c r="H3">
        <v>26</v>
      </c>
      <c r="I3">
        <v>5</v>
      </c>
      <c r="J3">
        <f t="shared" ref="J3:J66" si="0">1/10^I3</f>
        <v>1.0000000000000001E-5</v>
      </c>
      <c r="K3" s="1">
        <f t="shared" ref="K3:K66" si="1">H3/(J3*0.02)</f>
        <v>129999999.99999999</v>
      </c>
      <c r="L3">
        <v>129999999.99999999</v>
      </c>
      <c r="M3" s="2">
        <f t="shared" ref="M3:M66" si="2">K3/L3</f>
        <v>1</v>
      </c>
    </row>
    <row r="4" spans="1:13">
      <c r="A4">
        <v>1</v>
      </c>
      <c r="B4">
        <v>3</v>
      </c>
      <c r="C4" t="s">
        <v>13</v>
      </c>
      <c r="D4">
        <v>1</v>
      </c>
      <c r="E4" t="s">
        <v>14</v>
      </c>
      <c r="F4">
        <v>3</v>
      </c>
      <c r="G4">
        <v>0</v>
      </c>
      <c r="H4">
        <v>42</v>
      </c>
      <c r="I4">
        <v>5</v>
      </c>
      <c r="J4">
        <f t="shared" si="0"/>
        <v>1.0000000000000001E-5</v>
      </c>
      <c r="K4" s="1">
        <f t="shared" si="1"/>
        <v>209999999.99999997</v>
      </c>
      <c r="L4">
        <v>209999999.99999997</v>
      </c>
      <c r="M4" s="2">
        <f t="shared" si="2"/>
        <v>1</v>
      </c>
    </row>
    <row r="5" spans="1:13">
      <c r="A5">
        <v>1</v>
      </c>
      <c r="B5">
        <v>4</v>
      </c>
      <c r="C5" t="s">
        <v>15</v>
      </c>
      <c r="D5">
        <v>1</v>
      </c>
      <c r="E5" t="s">
        <v>16</v>
      </c>
      <c r="F5">
        <f>F2</f>
        <v>1</v>
      </c>
      <c r="G5">
        <v>0</v>
      </c>
      <c r="H5">
        <v>21</v>
      </c>
      <c r="I5">
        <v>5</v>
      </c>
      <c r="J5">
        <f t="shared" si="0"/>
        <v>1.0000000000000001E-5</v>
      </c>
      <c r="K5" s="1">
        <f t="shared" si="1"/>
        <v>104999999.99999999</v>
      </c>
      <c r="L5">
        <v>104999999.99999999</v>
      </c>
      <c r="M5" s="2">
        <f t="shared" si="2"/>
        <v>1</v>
      </c>
    </row>
    <row r="6" spans="1:13">
      <c r="A6">
        <v>1</v>
      </c>
      <c r="B6">
        <v>5</v>
      </c>
      <c r="C6" t="s">
        <v>15</v>
      </c>
      <c r="D6">
        <v>1</v>
      </c>
      <c r="E6" t="s">
        <v>16</v>
      </c>
      <c r="F6">
        <f t="shared" ref="F6:F69" si="3">F3</f>
        <v>2</v>
      </c>
      <c r="G6">
        <v>0</v>
      </c>
      <c r="H6">
        <v>31</v>
      </c>
      <c r="I6">
        <v>5</v>
      </c>
      <c r="J6">
        <f t="shared" si="0"/>
        <v>1.0000000000000001E-5</v>
      </c>
      <c r="K6" s="1">
        <f t="shared" si="1"/>
        <v>155000000</v>
      </c>
      <c r="L6">
        <v>155000000</v>
      </c>
      <c r="M6" s="2">
        <f t="shared" si="2"/>
        <v>1</v>
      </c>
    </row>
    <row r="7" spans="1:13">
      <c r="A7">
        <v>1</v>
      </c>
      <c r="B7">
        <v>6</v>
      </c>
      <c r="C7" t="s">
        <v>15</v>
      </c>
      <c r="D7">
        <v>1</v>
      </c>
      <c r="E7" t="s">
        <v>16</v>
      </c>
      <c r="F7">
        <f t="shared" si="3"/>
        <v>3</v>
      </c>
      <c r="G7">
        <v>0</v>
      </c>
      <c r="H7">
        <v>36</v>
      </c>
      <c r="I7">
        <v>5</v>
      </c>
      <c r="J7">
        <f t="shared" si="0"/>
        <v>1.0000000000000001E-5</v>
      </c>
      <c r="K7" s="1">
        <f t="shared" si="1"/>
        <v>179999999.99999997</v>
      </c>
      <c r="L7">
        <v>179999999.99999997</v>
      </c>
      <c r="M7" s="2">
        <f t="shared" si="2"/>
        <v>1</v>
      </c>
    </row>
    <row r="8" spans="1:13">
      <c r="A8">
        <v>1</v>
      </c>
      <c r="B8">
        <v>7</v>
      </c>
      <c r="C8" t="s">
        <v>15</v>
      </c>
      <c r="D8">
        <f>D5+1</f>
        <v>2</v>
      </c>
      <c r="E8" t="s">
        <v>17</v>
      </c>
      <c r="F8">
        <f t="shared" si="3"/>
        <v>1</v>
      </c>
      <c r="G8">
        <v>0</v>
      </c>
      <c r="H8">
        <v>23</v>
      </c>
      <c r="I8">
        <v>5</v>
      </c>
      <c r="J8">
        <f t="shared" si="0"/>
        <v>1.0000000000000001E-5</v>
      </c>
      <c r="K8" s="1">
        <f t="shared" si="1"/>
        <v>114999999.99999999</v>
      </c>
      <c r="L8">
        <v>114999999.99999999</v>
      </c>
      <c r="M8" s="2">
        <f t="shared" si="2"/>
        <v>1</v>
      </c>
    </row>
    <row r="9" spans="1:13">
      <c r="A9">
        <v>1</v>
      </c>
      <c r="B9">
        <v>8</v>
      </c>
      <c r="C9" t="s">
        <v>15</v>
      </c>
      <c r="D9">
        <f t="shared" ref="D9:D34" si="4">D6+1</f>
        <v>2</v>
      </c>
      <c r="E9" t="s">
        <v>17</v>
      </c>
      <c r="F9">
        <f t="shared" si="3"/>
        <v>2</v>
      </c>
      <c r="G9">
        <v>0</v>
      </c>
      <c r="H9">
        <v>21</v>
      </c>
      <c r="I9">
        <v>5</v>
      </c>
      <c r="J9">
        <f t="shared" si="0"/>
        <v>1.0000000000000001E-5</v>
      </c>
      <c r="K9" s="1">
        <f t="shared" si="1"/>
        <v>104999999.99999999</v>
      </c>
      <c r="L9">
        <v>104999999.99999999</v>
      </c>
      <c r="M9" s="2">
        <f t="shared" si="2"/>
        <v>1</v>
      </c>
    </row>
    <row r="10" spans="1:13">
      <c r="A10">
        <v>1</v>
      </c>
      <c r="B10">
        <v>9</v>
      </c>
      <c r="C10" t="s">
        <v>15</v>
      </c>
      <c r="D10">
        <f t="shared" si="4"/>
        <v>2</v>
      </c>
      <c r="E10" t="s">
        <v>17</v>
      </c>
      <c r="F10">
        <f t="shared" si="3"/>
        <v>3</v>
      </c>
      <c r="G10">
        <v>0</v>
      </c>
      <c r="H10">
        <v>17</v>
      </c>
      <c r="I10">
        <v>5</v>
      </c>
      <c r="J10">
        <f t="shared" si="0"/>
        <v>1.0000000000000001E-5</v>
      </c>
      <c r="K10" s="1">
        <f t="shared" si="1"/>
        <v>85000000</v>
      </c>
      <c r="L10">
        <v>85000000</v>
      </c>
      <c r="M10" s="2">
        <f t="shared" si="2"/>
        <v>1</v>
      </c>
    </row>
    <row r="11" spans="1:13">
      <c r="A11">
        <v>1</v>
      </c>
      <c r="B11">
        <v>10</v>
      </c>
      <c r="C11" t="s">
        <v>15</v>
      </c>
      <c r="D11">
        <f t="shared" si="4"/>
        <v>3</v>
      </c>
      <c r="E11" t="s">
        <v>18</v>
      </c>
      <c r="F11">
        <f t="shared" si="3"/>
        <v>1</v>
      </c>
      <c r="G11">
        <v>0</v>
      </c>
      <c r="H11">
        <v>31</v>
      </c>
      <c r="I11">
        <v>5</v>
      </c>
      <c r="J11">
        <f t="shared" si="0"/>
        <v>1.0000000000000001E-5</v>
      </c>
      <c r="K11" s="1">
        <f t="shared" si="1"/>
        <v>155000000</v>
      </c>
      <c r="L11">
        <v>155000000</v>
      </c>
      <c r="M11" s="2">
        <f t="shared" si="2"/>
        <v>1</v>
      </c>
    </row>
    <row r="12" spans="1:13">
      <c r="A12">
        <v>1</v>
      </c>
      <c r="B12">
        <v>11</v>
      </c>
      <c r="C12" t="s">
        <v>15</v>
      </c>
      <c r="D12">
        <f t="shared" si="4"/>
        <v>3</v>
      </c>
      <c r="E12" t="s">
        <v>18</v>
      </c>
      <c r="F12">
        <f t="shared" si="3"/>
        <v>2</v>
      </c>
      <c r="G12">
        <v>0</v>
      </c>
      <c r="H12">
        <v>28</v>
      </c>
      <c r="I12">
        <v>5</v>
      </c>
      <c r="J12">
        <f t="shared" si="0"/>
        <v>1.0000000000000001E-5</v>
      </c>
      <c r="K12" s="1">
        <f t="shared" si="1"/>
        <v>140000000</v>
      </c>
      <c r="L12">
        <v>140000000</v>
      </c>
      <c r="M12" s="2">
        <f t="shared" si="2"/>
        <v>1</v>
      </c>
    </row>
    <row r="13" spans="1:13">
      <c r="A13">
        <v>1</v>
      </c>
      <c r="B13">
        <v>12</v>
      </c>
      <c r="C13" t="s">
        <v>15</v>
      </c>
      <c r="D13">
        <f t="shared" si="4"/>
        <v>3</v>
      </c>
      <c r="E13" t="s">
        <v>18</v>
      </c>
      <c r="F13">
        <f t="shared" si="3"/>
        <v>3</v>
      </c>
      <c r="G13">
        <v>0</v>
      </c>
      <c r="H13">
        <v>33</v>
      </c>
      <c r="I13">
        <v>5</v>
      </c>
      <c r="J13">
        <f t="shared" si="0"/>
        <v>1.0000000000000001E-5</v>
      </c>
      <c r="K13" s="1">
        <f t="shared" si="1"/>
        <v>165000000</v>
      </c>
      <c r="L13">
        <v>165000000</v>
      </c>
      <c r="M13" s="2">
        <f t="shared" si="2"/>
        <v>1</v>
      </c>
    </row>
    <row r="14" spans="1:13">
      <c r="A14">
        <f>A2</f>
        <v>1</v>
      </c>
      <c r="B14">
        <f t="shared" ref="B14:F14" si="5">B2</f>
        <v>1</v>
      </c>
      <c r="C14" t="str">
        <f>C2</f>
        <v>P</v>
      </c>
      <c r="D14">
        <f>D2</f>
        <v>1</v>
      </c>
      <c r="E14" t="str">
        <f>E2</f>
        <v>P1</v>
      </c>
      <c r="F14">
        <f t="shared" si="5"/>
        <v>1</v>
      </c>
      <c r="G14">
        <f>G2+1</f>
        <v>1</v>
      </c>
      <c r="H14">
        <v>18</v>
      </c>
      <c r="I14">
        <v>1</v>
      </c>
      <c r="J14">
        <f t="shared" si="0"/>
        <v>0.1</v>
      </c>
      <c r="K14" s="1">
        <f t="shared" si="1"/>
        <v>9000</v>
      </c>
      <c r="L14">
        <f>L2</f>
        <v>189999999.99999997</v>
      </c>
      <c r="M14" s="2">
        <f t="shared" si="2"/>
        <v>4.7368421052631588E-5</v>
      </c>
    </row>
    <row r="15" spans="1:13">
      <c r="A15">
        <f t="shared" ref="A15:F15" si="6">A3</f>
        <v>1</v>
      </c>
      <c r="B15">
        <f t="shared" si="6"/>
        <v>2</v>
      </c>
      <c r="C15" t="str">
        <f t="shared" si="6"/>
        <v>P</v>
      </c>
      <c r="D15">
        <f t="shared" si="6"/>
        <v>1</v>
      </c>
      <c r="E15" t="str">
        <f t="shared" si="6"/>
        <v>P1</v>
      </c>
      <c r="F15">
        <f t="shared" si="6"/>
        <v>2</v>
      </c>
      <c r="G15">
        <f t="shared" ref="G15:G64" si="7">G3+1</f>
        <v>1</v>
      </c>
      <c r="H15">
        <v>18</v>
      </c>
      <c r="I15">
        <v>1</v>
      </c>
      <c r="J15">
        <f t="shared" si="0"/>
        <v>0.1</v>
      </c>
      <c r="K15" s="1">
        <f t="shared" si="1"/>
        <v>9000</v>
      </c>
      <c r="L15">
        <f t="shared" ref="L15:L73" si="8">L3</f>
        <v>129999999.99999999</v>
      </c>
      <c r="M15" s="2">
        <f t="shared" si="2"/>
        <v>6.9230769230769237E-5</v>
      </c>
    </row>
    <row r="16" spans="1:13">
      <c r="A16">
        <f t="shared" ref="A16:F16" si="9">A4</f>
        <v>1</v>
      </c>
      <c r="B16">
        <f t="shared" si="9"/>
        <v>3</v>
      </c>
      <c r="C16" t="str">
        <f t="shared" si="9"/>
        <v>P</v>
      </c>
      <c r="D16">
        <f t="shared" si="9"/>
        <v>1</v>
      </c>
      <c r="E16" t="str">
        <f t="shared" si="9"/>
        <v>P1</v>
      </c>
      <c r="F16">
        <f t="shared" si="9"/>
        <v>3</v>
      </c>
      <c r="G16">
        <f t="shared" si="7"/>
        <v>1</v>
      </c>
      <c r="J16">
        <f t="shared" si="0"/>
        <v>1</v>
      </c>
      <c r="K16" s="1">
        <f t="shared" si="1"/>
        <v>0</v>
      </c>
      <c r="L16">
        <f t="shared" si="8"/>
        <v>209999999.99999997</v>
      </c>
      <c r="M16" s="2">
        <f t="shared" si="2"/>
        <v>0</v>
      </c>
    </row>
    <row r="17" spans="1:13">
      <c r="A17">
        <f t="shared" ref="A17:F17" si="10">A5</f>
        <v>1</v>
      </c>
      <c r="B17">
        <f t="shared" si="10"/>
        <v>4</v>
      </c>
      <c r="C17" t="str">
        <f t="shared" si="10"/>
        <v>PC</v>
      </c>
      <c r="D17">
        <f t="shared" si="10"/>
        <v>1</v>
      </c>
      <c r="E17" t="str">
        <f t="shared" si="10"/>
        <v>PC1</v>
      </c>
      <c r="F17">
        <f t="shared" si="10"/>
        <v>1</v>
      </c>
      <c r="G17">
        <f t="shared" si="7"/>
        <v>1</v>
      </c>
      <c r="H17">
        <v>28</v>
      </c>
      <c r="I17">
        <v>1</v>
      </c>
      <c r="J17">
        <f t="shared" si="0"/>
        <v>0.1</v>
      </c>
      <c r="K17" s="1">
        <f t="shared" si="1"/>
        <v>14000</v>
      </c>
      <c r="L17">
        <f t="shared" si="8"/>
        <v>104999999.99999999</v>
      </c>
      <c r="M17" s="2">
        <f t="shared" si="2"/>
        <v>1.3333333333333334E-4</v>
      </c>
    </row>
    <row r="18" spans="1:13">
      <c r="A18">
        <f t="shared" ref="A18:F18" si="11">A6</f>
        <v>1</v>
      </c>
      <c r="B18">
        <f t="shared" si="11"/>
        <v>5</v>
      </c>
      <c r="C18" t="str">
        <f t="shared" si="11"/>
        <v>PC</v>
      </c>
      <c r="D18">
        <f t="shared" si="11"/>
        <v>1</v>
      </c>
      <c r="E18" t="str">
        <f t="shared" si="11"/>
        <v>PC1</v>
      </c>
      <c r="F18">
        <f t="shared" si="11"/>
        <v>2</v>
      </c>
      <c r="G18">
        <f t="shared" si="7"/>
        <v>1</v>
      </c>
      <c r="H18">
        <v>16</v>
      </c>
      <c r="I18">
        <v>1</v>
      </c>
      <c r="J18">
        <f t="shared" si="0"/>
        <v>0.1</v>
      </c>
      <c r="K18" s="1">
        <f t="shared" si="1"/>
        <v>8000</v>
      </c>
      <c r="L18">
        <f t="shared" si="8"/>
        <v>155000000</v>
      </c>
      <c r="M18" s="2">
        <f t="shared" si="2"/>
        <v>5.1612903225806451E-5</v>
      </c>
    </row>
    <row r="19" spans="1:13">
      <c r="A19">
        <f t="shared" ref="A19:F19" si="12">A7</f>
        <v>1</v>
      </c>
      <c r="B19">
        <f t="shared" si="12"/>
        <v>6</v>
      </c>
      <c r="C19" t="str">
        <f t="shared" si="12"/>
        <v>PC</v>
      </c>
      <c r="D19">
        <f t="shared" si="12"/>
        <v>1</v>
      </c>
      <c r="E19" t="str">
        <f t="shared" si="12"/>
        <v>PC1</v>
      </c>
      <c r="F19">
        <f t="shared" si="12"/>
        <v>3</v>
      </c>
      <c r="G19">
        <f t="shared" si="7"/>
        <v>1</v>
      </c>
      <c r="H19">
        <v>9</v>
      </c>
      <c r="I19">
        <v>1</v>
      </c>
      <c r="J19">
        <f t="shared" si="0"/>
        <v>0.1</v>
      </c>
      <c r="K19" s="1">
        <f t="shared" si="1"/>
        <v>4500</v>
      </c>
      <c r="L19">
        <f t="shared" si="8"/>
        <v>179999999.99999997</v>
      </c>
      <c r="M19" s="2">
        <f t="shared" si="2"/>
        <v>2.5000000000000005E-5</v>
      </c>
    </row>
    <row r="20" spans="1:13">
      <c r="A20">
        <f t="shared" ref="A20:F20" si="13">A8</f>
        <v>1</v>
      </c>
      <c r="B20">
        <f t="shared" si="13"/>
        <v>7</v>
      </c>
      <c r="C20" t="str">
        <f t="shared" si="13"/>
        <v>PC</v>
      </c>
      <c r="D20">
        <f t="shared" si="13"/>
        <v>2</v>
      </c>
      <c r="E20" t="str">
        <f t="shared" si="13"/>
        <v>PC2</v>
      </c>
      <c r="F20">
        <f t="shared" si="13"/>
        <v>1</v>
      </c>
      <c r="G20">
        <f t="shared" si="7"/>
        <v>1</v>
      </c>
      <c r="H20">
        <v>21</v>
      </c>
      <c r="I20">
        <v>4</v>
      </c>
      <c r="J20">
        <f t="shared" si="0"/>
        <v>1E-4</v>
      </c>
      <c r="K20" s="1">
        <f t="shared" si="1"/>
        <v>10499999.999999998</v>
      </c>
      <c r="L20">
        <f t="shared" si="8"/>
        <v>114999999.99999999</v>
      </c>
      <c r="M20" s="2">
        <f t="shared" si="2"/>
        <v>9.1304347826086957E-2</v>
      </c>
    </row>
    <row r="21" spans="1:13">
      <c r="A21">
        <f t="shared" ref="A21:F21" si="14">A9</f>
        <v>1</v>
      </c>
      <c r="B21">
        <f t="shared" si="14"/>
        <v>8</v>
      </c>
      <c r="C21" t="str">
        <f t="shared" si="14"/>
        <v>PC</v>
      </c>
      <c r="D21">
        <f t="shared" si="14"/>
        <v>2</v>
      </c>
      <c r="E21" t="str">
        <f t="shared" si="14"/>
        <v>PC2</v>
      </c>
      <c r="F21">
        <f t="shared" si="14"/>
        <v>2</v>
      </c>
      <c r="G21">
        <f t="shared" si="7"/>
        <v>1</v>
      </c>
      <c r="H21">
        <v>27</v>
      </c>
      <c r="I21">
        <v>4</v>
      </c>
      <c r="J21">
        <f t="shared" si="0"/>
        <v>1E-4</v>
      </c>
      <c r="K21" s="1">
        <f t="shared" si="1"/>
        <v>13499999.999999998</v>
      </c>
      <c r="L21">
        <f>L9</f>
        <v>104999999.99999999</v>
      </c>
      <c r="M21" s="2">
        <f t="shared" si="2"/>
        <v>0.12857142857142856</v>
      </c>
    </row>
    <row r="22" spans="1:13">
      <c r="A22">
        <f t="shared" ref="A22:F22" si="15">A10</f>
        <v>1</v>
      </c>
      <c r="B22">
        <f t="shared" si="15"/>
        <v>9</v>
      </c>
      <c r="C22" t="str">
        <f t="shared" si="15"/>
        <v>PC</v>
      </c>
      <c r="D22">
        <f t="shared" si="15"/>
        <v>2</v>
      </c>
      <c r="E22" t="str">
        <f t="shared" si="15"/>
        <v>PC2</v>
      </c>
      <c r="F22">
        <f t="shared" si="15"/>
        <v>3</v>
      </c>
      <c r="G22">
        <f t="shared" si="7"/>
        <v>1</v>
      </c>
      <c r="H22">
        <v>25</v>
      </c>
      <c r="I22">
        <v>4</v>
      </c>
      <c r="J22">
        <f t="shared" si="0"/>
        <v>1E-4</v>
      </c>
      <c r="K22" s="1">
        <f t="shared" si="1"/>
        <v>12499999.999999998</v>
      </c>
      <c r="L22">
        <f t="shared" si="8"/>
        <v>85000000</v>
      </c>
      <c r="M22" s="2">
        <f t="shared" si="2"/>
        <v>0.14705882352941174</v>
      </c>
    </row>
    <row r="23" spans="1:13">
      <c r="A23">
        <f t="shared" ref="A23:F23" si="16">A11</f>
        <v>1</v>
      </c>
      <c r="B23">
        <f t="shared" si="16"/>
        <v>10</v>
      </c>
      <c r="C23" t="str">
        <f t="shared" si="16"/>
        <v>PC</v>
      </c>
      <c r="D23">
        <f t="shared" si="16"/>
        <v>3</v>
      </c>
      <c r="E23" t="str">
        <f t="shared" si="16"/>
        <v>PC3</v>
      </c>
      <c r="F23">
        <f t="shared" si="16"/>
        <v>1</v>
      </c>
      <c r="G23">
        <f t="shared" si="7"/>
        <v>1</v>
      </c>
      <c r="H23">
        <v>29</v>
      </c>
      <c r="I23">
        <v>2</v>
      </c>
      <c r="J23">
        <f t="shared" si="0"/>
        <v>0.01</v>
      </c>
      <c r="K23" s="1">
        <f t="shared" si="1"/>
        <v>145000</v>
      </c>
      <c r="L23">
        <f t="shared" si="8"/>
        <v>155000000</v>
      </c>
      <c r="M23" s="2">
        <f t="shared" si="2"/>
        <v>9.3548387096774191E-4</v>
      </c>
    </row>
    <row r="24" spans="1:13">
      <c r="A24">
        <f t="shared" ref="A24:F24" si="17">A12</f>
        <v>1</v>
      </c>
      <c r="B24">
        <f t="shared" si="17"/>
        <v>11</v>
      </c>
      <c r="C24" t="str">
        <f t="shared" si="17"/>
        <v>PC</v>
      </c>
      <c r="D24">
        <f t="shared" si="17"/>
        <v>3</v>
      </c>
      <c r="E24" t="str">
        <f t="shared" si="17"/>
        <v>PC3</v>
      </c>
      <c r="F24">
        <f t="shared" si="17"/>
        <v>2</v>
      </c>
      <c r="G24">
        <f t="shared" si="7"/>
        <v>1</v>
      </c>
      <c r="H24">
        <v>28</v>
      </c>
      <c r="I24">
        <v>2</v>
      </c>
      <c r="J24">
        <f t="shared" si="0"/>
        <v>0.01</v>
      </c>
      <c r="K24" s="1">
        <f t="shared" si="1"/>
        <v>140000</v>
      </c>
      <c r="L24">
        <f t="shared" si="8"/>
        <v>140000000</v>
      </c>
      <c r="M24" s="2">
        <f t="shared" si="2"/>
        <v>1E-3</v>
      </c>
    </row>
    <row r="25" spans="1:13">
      <c r="A25">
        <f t="shared" ref="A25:F25" si="18">A13</f>
        <v>1</v>
      </c>
      <c r="B25">
        <f t="shared" si="18"/>
        <v>12</v>
      </c>
      <c r="C25" t="str">
        <f t="shared" si="18"/>
        <v>PC</v>
      </c>
      <c r="D25">
        <f t="shared" si="18"/>
        <v>3</v>
      </c>
      <c r="E25" t="str">
        <f t="shared" si="18"/>
        <v>PC3</v>
      </c>
      <c r="F25">
        <f t="shared" si="18"/>
        <v>3</v>
      </c>
      <c r="G25">
        <f t="shared" si="7"/>
        <v>1</v>
      </c>
      <c r="H25">
        <v>24</v>
      </c>
      <c r="I25">
        <v>2</v>
      </c>
      <c r="J25">
        <f t="shared" si="0"/>
        <v>0.01</v>
      </c>
      <c r="K25" s="1">
        <f t="shared" si="1"/>
        <v>120000</v>
      </c>
      <c r="L25">
        <f t="shared" si="8"/>
        <v>165000000</v>
      </c>
      <c r="M25" s="2">
        <f t="shared" si="2"/>
        <v>7.2727272727272723E-4</v>
      </c>
    </row>
    <row r="26" spans="1:13">
      <c r="A26">
        <f t="shared" ref="A26:F26" si="19">A14</f>
        <v>1</v>
      </c>
      <c r="B26">
        <f t="shared" si="19"/>
        <v>1</v>
      </c>
      <c r="C26" t="str">
        <f t="shared" si="19"/>
        <v>P</v>
      </c>
      <c r="D26">
        <f t="shared" si="19"/>
        <v>1</v>
      </c>
      <c r="E26" t="str">
        <f t="shared" si="19"/>
        <v>P1</v>
      </c>
      <c r="F26">
        <f t="shared" si="19"/>
        <v>1</v>
      </c>
      <c r="G26">
        <f t="shared" si="7"/>
        <v>2</v>
      </c>
      <c r="J26">
        <f t="shared" si="0"/>
        <v>1</v>
      </c>
      <c r="K26" s="1">
        <f t="shared" si="1"/>
        <v>0</v>
      </c>
      <c r="L26">
        <f t="shared" si="8"/>
        <v>189999999.99999997</v>
      </c>
      <c r="M26" s="2">
        <f t="shared" si="2"/>
        <v>0</v>
      </c>
    </row>
    <row r="27" spans="1:13">
      <c r="A27">
        <f t="shared" ref="A27:F27" si="20">A15</f>
        <v>1</v>
      </c>
      <c r="B27">
        <f t="shared" si="20"/>
        <v>2</v>
      </c>
      <c r="C27" t="str">
        <f t="shared" si="20"/>
        <v>P</v>
      </c>
      <c r="D27">
        <f t="shared" si="20"/>
        <v>1</v>
      </c>
      <c r="E27" t="str">
        <f t="shared" si="20"/>
        <v>P1</v>
      </c>
      <c r="F27">
        <f t="shared" si="20"/>
        <v>2</v>
      </c>
      <c r="G27">
        <f t="shared" si="7"/>
        <v>2</v>
      </c>
      <c r="H27">
        <v>6</v>
      </c>
      <c r="I27">
        <v>1</v>
      </c>
      <c r="J27">
        <f t="shared" si="0"/>
        <v>0.1</v>
      </c>
      <c r="K27" s="1">
        <f t="shared" si="1"/>
        <v>3000</v>
      </c>
      <c r="L27">
        <f t="shared" si="8"/>
        <v>129999999.99999999</v>
      </c>
      <c r="M27" s="2">
        <f t="shared" si="2"/>
        <v>2.3076923076923079E-5</v>
      </c>
    </row>
    <row r="28" spans="1:13">
      <c r="A28">
        <f t="shared" ref="A28:F28" si="21">A16</f>
        <v>1</v>
      </c>
      <c r="B28">
        <f t="shared" si="21"/>
        <v>3</v>
      </c>
      <c r="C28" t="str">
        <f t="shared" si="21"/>
        <v>P</v>
      </c>
      <c r="D28">
        <f t="shared" si="21"/>
        <v>1</v>
      </c>
      <c r="E28" t="str">
        <f t="shared" si="21"/>
        <v>P1</v>
      </c>
      <c r="F28">
        <f t="shared" si="21"/>
        <v>3</v>
      </c>
      <c r="G28">
        <f t="shared" si="7"/>
        <v>2</v>
      </c>
      <c r="J28">
        <f t="shared" si="0"/>
        <v>1</v>
      </c>
      <c r="K28" s="1">
        <f t="shared" si="1"/>
        <v>0</v>
      </c>
      <c r="L28">
        <f t="shared" si="8"/>
        <v>209999999.99999997</v>
      </c>
      <c r="M28" s="2">
        <f t="shared" si="2"/>
        <v>0</v>
      </c>
    </row>
    <row r="29" spans="1:13">
      <c r="A29">
        <f t="shared" ref="A29:F29" si="22">A17</f>
        <v>1</v>
      </c>
      <c r="B29">
        <f t="shared" si="22"/>
        <v>4</v>
      </c>
      <c r="C29" t="str">
        <f t="shared" si="22"/>
        <v>PC</v>
      </c>
      <c r="D29">
        <f t="shared" si="22"/>
        <v>1</v>
      </c>
      <c r="E29" t="str">
        <f t="shared" si="22"/>
        <v>PC1</v>
      </c>
      <c r="F29">
        <f t="shared" si="22"/>
        <v>1</v>
      </c>
      <c r="G29">
        <f t="shared" si="7"/>
        <v>2</v>
      </c>
      <c r="H29">
        <v>8</v>
      </c>
      <c r="I29">
        <v>1</v>
      </c>
      <c r="J29">
        <f t="shared" si="0"/>
        <v>0.1</v>
      </c>
      <c r="K29" s="1">
        <f t="shared" si="1"/>
        <v>4000</v>
      </c>
      <c r="L29">
        <f t="shared" si="8"/>
        <v>104999999.99999999</v>
      </c>
      <c r="M29" s="2">
        <f t="shared" si="2"/>
        <v>3.8095238095238099E-5</v>
      </c>
    </row>
    <row r="30" spans="1:13">
      <c r="A30">
        <f t="shared" ref="A30:F30" si="23">A18</f>
        <v>1</v>
      </c>
      <c r="B30">
        <f t="shared" si="23"/>
        <v>5</v>
      </c>
      <c r="C30" t="str">
        <f t="shared" si="23"/>
        <v>PC</v>
      </c>
      <c r="D30">
        <f t="shared" si="23"/>
        <v>1</v>
      </c>
      <c r="E30" t="str">
        <f t="shared" si="23"/>
        <v>PC1</v>
      </c>
      <c r="F30">
        <f t="shared" si="23"/>
        <v>2</v>
      </c>
      <c r="G30">
        <f t="shared" si="7"/>
        <v>2</v>
      </c>
      <c r="H30">
        <v>7</v>
      </c>
      <c r="I30">
        <v>1</v>
      </c>
      <c r="J30">
        <f t="shared" si="0"/>
        <v>0.1</v>
      </c>
      <c r="K30" s="1">
        <f t="shared" si="1"/>
        <v>3500</v>
      </c>
      <c r="L30">
        <f t="shared" si="8"/>
        <v>155000000</v>
      </c>
      <c r="M30" s="2">
        <f t="shared" si="2"/>
        <v>2.2580645161290321E-5</v>
      </c>
    </row>
    <row r="31" spans="1:13">
      <c r="A31">
        <f t="shared" ref="A31:F31" si="24">A19</f>
        <v>1</v>
      </c>
      <c r="B31">
        <f t="shared" si="24"/>
        <v>6</v>
      </c>
      <c r="C31" t="str">
        <f t="shared" si="24"/>
        <v>PC</v>
      </c>
      <c r="D31">
        <f t="shared" si="24"/>
        <v>1</v>
      </c>
      <c r="E31" t="str">
        <f t="shared" si="24"/>
        <v>PC1</v>
      </c>
      <c r="F31">
        <f t="shared" si="24"/>
        <v>3</v>
      </c>
      <c r="G31">
        <f t="shared" si="7"/>
        <v>2</v>
      </c>
      <c r="H31">
        <v>10</v>
      </c>
      <c r="I31">
        <v>1</v>
      </c>
      <c r="J31">
        <f t="shared" si="0"/>
        <v>0.1</v>
      </c>
      <c r="K31" s="1">
        <f t="shared" si="1"/>
        <v>5000</v>
      </c>
      <c r="L31">
        <f t="shared" si="8"/>
        <v>179999999.99999997</v>
      </c>
      <c r="M31" s="2">
        <f t="shared" si="2"/>
        <v>2.7777777777777782E-5</v>
      </c>
    </row>
    <row r="32" spans="1:13">
      <c r="A32">
        <f t="shared" ref="A32:F32" si="25">A20</f>
        <v>1</v>
      </c>
      <c r="B32">
        <f t="shared" si="25"/>
        <v>7</v>
      </c>
      <c r="C32" t="str">
        <f t="shared" si="25"/>
        <v>PC</v>
      </c>
      <c r="D32">
        <f t="shared" si="25"/>
        <v>2</v>
      </c>
      <c r="E32" t="str">
        <f t="shared" si="25"/>
        <v>PC2</v>
      </c>
      <c r="F32">
        <f t="shared" si="25"/>
        <v>1</v>
      </c>
      <c r="G32">
        <f t="shared" si="7"/>
        <v>2</v>
      </c>
      <c r="H32">
        <v>15</v>
      </c>
      <c r="I32">
        <v>4</v>
      </c>
      <c r="J32">
        <f t="shared" si="0"/>
        <v>1E-4</v>
      </c>
      <c r="K32" s="1">
        <f t="shared" si="1"/>
        <v>7499999.9999999991</v>
      </c>
      <c r="L32">
        <f t="shared" si="8"/>
        <v>114999999.99999999</v>
      </c>
      <c r="M32" s="2">
        <f t="shared" si="2"/>
        <v>6.5217391304347824E-2</v>
      </c>
    </row>
    <row r="33" spans="1:13">
      <c r="A33">
        <f t="shared" ref="A33:F33" si="26">A21</f>
        <v>1</v>
      </c>
      <c r="B33">
        <f t="shared" si="26"/>
        <v>8</v>
      </c>
      <c r="C33" t="str">
        <f t="shared" si="26"/>
        <v>PC</v>
      </c>
      <c r="D33">
        <f t="shared" si="26"/>
        <v>2</v>
      </c>
      <c r="E33" t="str">
        <f t="shared" si="26"/>
        <v>PC2</v>
      </c>
      <c r="F33">
        <f t="shared" si="26"/>
        <v>2</v>
      </c>
      <c r="G33">
        <f t="shared" si="7"/>
        <v>2</v>
      </c>
      <c r="H33">
        <v>8</v>
      </c>
      <c r="I33">
        <v>4</v>
      </c>
      <c r="J33">
        <f t="shared" si="0"/>
        <v>1E-4</v>
      </c>
      <c r="K33" s="1">
        <f t="shared" si="1"/>
        <v>3999999.9999999995</v>
      </c>
      <c r="L33">
        <f t="shared" si="8"/>
        <v>104999999.99999999</v>
      </c>
      <c r="M33" s="2">
        <f t="shared" si="2"/>
        <v>3.8095238095238099E-2</v>
      </c>
    </row>
    <row r="34" spans="1:13">
      <c r="A34">
        <f t="shared" ref="A34:F34" si="27">A22</f>
        <v>1</v>
      </c>
      <c r="B34">
        <f t="shared" si="27"/>
        <v>9</v>
      </c>
      <c r="C34" t="str">
        <f t="shared" si="27"/>
        <v>PC</v>
      </c>
      <c r="D34">
        <f t="shared" si="27"/>
        <v>2</v>
      </c>
      <c r="E34" t="str">
        <f t="shared" si="27"/>
        <v>PC2</v>
      </c>
      <c r="F34">
        <f t="shared" si="27"/>
        <v>3</v>
      </c>
      <c r="G34">
        <f t="shared" si="7"/>
        <v>2</v>
      </c>
      <c r="H34">
        <v>8</v>
      </c>
      <c r="I34">
        <v>4</v>
      </c>
      <c r="J34">
        <f t="shared" si="0"/>
        <v>1E-4</v>
      </c>
      <c r="K34" s="1">
        <f t="shared" si="1"/>
        <v>3999999.9999999995</v>
      </c>
      <c r="L34">
        <f t="shared" si="8"/>
        <v>85000000</v>
      </c>
      <c r="M34" s="2">
        <f t="shared" si="2"/>
        <v>4.7058823529411757E-2</v>
      </c>
    </row>
    <row r="35" spans="1:13">
      <c r="A35">
        <f t="shared" ref="A35:F35" si="28">A23</f>
        <v>1</v>
      </c>
      <c r="B35">
        <f t="shared" si="28"/>
        <v>10</v>
      </c>
      <c r="C35" t="str">
        <f t="shared" si="28"/>
        <v>PC</v>
      </c>
      <c r="D35">
        <f t="shared" si="28"/>
        <v>3</v>
      </c>
      <c r="E35" t="str">
        <f t="shared" si="28"/>
        <v>PC3</v>
      </c>
      <c r="F35">
        <f t="shared" si="28"/>
        <v>1</v>
      </c>
      <c r="G35">
        <f t="shared" si="7"/>
        <v>2</v>
      </c>
      <c r="H35">
        <v>44</v>
      </c>
      <c r="I35">
        <v>1</v>
      </c>
      <c r="J35">
        <f t="shared" si="0"/>
        <v>0.1</v>
      </c>
      <c r="K35" s="1">
        <f t="shared" si="1"/>
        <v>22000</v>
      </c>
      <c r="L35">
        <f t="shared" si="8"/>
        <v>155000000</v>
      </c>
      <c r="M35" s="2">
        <f t="shared" si="2"/>
        <v>1.4193548387096775E-4</v>
      </c>
    </row>
    <row r="36" spans="1:13">
      <c r="A36">
        <f t="shared" ref="A36:F36" si="29">A24</f>
        <v>1</v>
      </c>
      <c r="B36">
        <f t="shared" si="29"/>
        <v>11</v>
      </c>
      <c r="C36" t="str">
        <f t="shared" si="29"/>
        <v>PC</v>
      </c>
      <c r="D36">
        <f t="shared" si="29"/>
        <v>3</v>
      </c>
      <c r="E36" t="str">
        <f t="shared" si="29"/>
        <v>PC3</v>
      </c>
      <c r="F36">
        <f t="shared" si="29"/>
        <v>2</v>
      </c>
      <c r="G36">
        <f t="shared" si="7"/>
        <v>2</v>
      </c>
      <c r="H36">
        <v>54</v>
      </c>
      <c r="I36">
        <v>1</v>
      </c>
      <c r="J36">
        <f t="shared" si="0"/>
        <v>0.1</v>
      </c>
      <c r="K36" s="1">
        <f t="shared" si="1"/>
        <v>27000</v>
      </c>
      <c r="L36">
        <f t="shared" si="8"/>
        <v>140000000</v>
      </c>
      <c r="M36" s="2">
        <f t="shared" si="2"/>
        <v>1.9285714285714286E-4</v>
      </c>
    </row>
    <row r="37" spans="1:13">
      <c r="A37">
        <f t="shared" ref="A37:F37" si="30">A25</f>
        <v>1</v>
      </c>
      <c r="B37">
        <f t="shared" si="30"/>
        <v>12</v>
      </c>
      <c r="C37" t="str">
        <f t="shared" si="30"/>
        <v>PC</v>
      </c>
      <c r="D37">
        <f t="shared" si="30"/>
        <v>3</v>
      </c>
      <c r="E37" t="str">
        <f t="shared" si="30"/>
        <v>PC3</v>
      </c>
      <c r="F37">
        <f t="shared" si="30"/>
        <v>3</v>
      </c>
      <c r="G37">
        <f t="shared" si="7"/>
        <v>2</v>
      </c>
      <c r="H37">
        <v>54</v>
      </c>
      <c r="I37">
        <v>1</v>
      </c>
      <c r="J37">
        <f t="shared" si="0"/>
        <v>0.1</v>
      </c>
      <c r="K37" s="1">
        <f t="shared" si="1"/>
        <v>27000</v>
      </c>
      <c r="L37">
        <f t="shared" si="8"/>
        <v>165000000</v>
      </c>
      <c r="M37" s="2">
        <f t="shared" si="2"/>
        <v>1.6363636363636363E-4</v>
      </c>
    </row>
    <row r="38" spans="1:13">
      <c r="A38">
        <f t="shared" ref="A38:F38" si="31">A26</f>
        <v>1</v>
      </c>
      <c r="B38">
        <f t="shared" si="31"/>
        <v>1</v>
      </c>
      <c r="C38" t="str">
        <f t="shared" si="31"/>
        <v>P</v>
      </c>
      <c r="D38">
        <f t="shared" si="31"/>
        <v>1</v>
      </c>
      <c r="E38" t="str">
        <f t="shared" si="31"/>
        <v>P1</v>
      </c>
      <c r="F38">
        <f t="shared" si="31"/>
        <v>1</v>
      </c>
      <c r="G38">
        <f t="shared" si="7"/>
        <v>3</v>
      </c>
      <c r="H38">
        <v>3</v>
      </c>
      <c r="I38">
        <v>1</v>
      </c>
      <c r="J38">
        <f t="shared" si="0"/>
        <v>0.1</v>
      </c>
      <c r="K38" s="1">
        <f t="shared" si="1"/>
        <v>1500</v>
      </c>
      <c r="L38">
        <f t="shared" si="8"/>
        <v>189999999.99999997</v>
      </c>
      <c r="M38" s="2">
        <f t="shared" si="2"/>
        <v>7.8947368421052646E-6</v>
      </c>
    </row>
    <row r="39" spans="1:13">
      <c r="A39">
        <f t="shared" ref="A39:F39" si="32">A27</f>
        <v>1</v>
      </c>
      <c r="B39">
        <f t="shared" si="32"/>
        <v>2</v>
      </c>
      <c r="C39" t="str">
        <f t="shared" si="32"/>
        <v>P</v>
      </c>
      <c r="D39">
        <f t="shared" si="32"/>
        <v>1</v>
      </c>
      <c r="E39" t="str">
        <f t="shared" si="32"/>
        <v>P1</v>
      </c>
      <c r="F39">
        <f t="shared" si="32"/>
        <v>2</v>
      </c>
      <c r="G39">
        <f t="shared" si="7"/>
        <v>3</v>
      </c>
      <c r="J39">
        <f t="shared" si="0"/>
        <v>1</v>
      </c>
      <c r="K39" s="1">
        <f t="shared" si="1"/>
        <v>0</v>
      </c>
      <c r="L39">
        <f t="shared" si="8"/>
        <v>129999999.99999999</v>
      </c>
      <c r="M39" s="2">
        <f t="shared" si="2"/>
        <v>0</v>
      </c>
    </row>
    <row r="40" spans="1:13">
      <c r="A40">
        <f t="shared" ref="A40:F40" si="33">A28</f>
        <v>1</v>
      </c>
      <c r="B40">
        <f t="shared" si="33"/>
        <v>3</v>
      </c>
      <c r="C40" t="str">
        <f t="shared" si="33"/>
        <v>P</v>
      </c>
      <c r="D40">
        <f t="shared" si="33"/>
        <v>1</v>
      </c>
      <c r="E40" t="str">
        <f t="shared" si="33"/>
        <v>P1</v>
      </c>
      <c r="F40">
        <f t="shared" si="33"/>
        <v>3</v>
      </c>
      <c r="G40">
        <f t="shared" si="7"/>
        <v>3</v>
      </c>
      <c r="J40">
        <f t="shared" si="0"/>
        <v>1</v>
      </c>
      <c r="K40" s="1">
        <f t="shared" si="1"/>
        <v>0</v>
      </c>
      <c r="L40">
        <f t="shared" si="8"/>
        <v>209999999.99999997</v>
      </c>
      <c r="M40" s="2">
        <f t="shared" si="2"/>
        <v>0</v>
      </c>
    </row>
    <row r="41" spans="1:13">
      <c r="A41">
        <f t="shared" ref="A41:F41" si="34">A29</f>
        <v>1</v>
      </c>
      <c r="B41">
        <f t="shared" si="34"/>
        <v>4</v>
      </c>
      <c r="C41" t="str">
        <f t="shared" si="34"/>
        <v>PC</v>
      </c>
      <c r="D41">
        <f t="shared" si="34"/>
        <v>1</v>
      </c>
      <c r="E41" t="str">
        <f t="shared" si="34"/>
        <v>PC1</v>
      </c>
      <c r="F41">
        <f t="shared" si="34"/>
        <v>1</v>
      </c>
      <c r="G41">
        <f t="shared" si="7"/>
        <v>3</v>
      </c>
      <c r="H41">
        <v>2</v>
      </c>
      <c r="I41">
        <v>1</v>
      </c>
      <c r="J41">
        <f t="shared" si="0"/>
        <v>0.1</v>
      </c>
      <c r="K41" s="1">
        <f t="shared" si="1"/>
        <v>1000</v>
      </c>
      <c r="L41">
        <f t="shared" si="8"/>
        <v>104999999.99999999</v>
      </c>
      <c r="M41" s="2">
        <f t="shared" si="2"/>
        <v>9.5238095238095247E-6</v>
      </c>
    </row>
    <row r="42" spans="1:13">
      <c r="A42">
        <f t="shared" ref="A42:F42" si="35">A30</f>
        <v>1</v>
      </c>
      <c r="B42">
        <f t="shared" si="35"/>
        <v>5</v>
      </c>
      <c r="C42" t="str">
        <f t="shared" si="35"/>
        <v>PC</v>
      </c>
      <c r="D42">
        <f t="shared" si="35"/>
        <v>1</v>
      </c>
      <c r="E42" t="str">
        <f t="shared" si="35"/>
        <v>PC1</v>
      </c>
      <c r="F42">
        <f t="shared" si="35"/>
        <v>2</v>
      </c>
      <c r="G42">
        <f t="shared" si="7"/>
        <v>3</v>
      </c>
      <c r="H42">
        <v>9</v>
      </c>
      <c r="I42">
        <v>1</v>
      </c>
      <c r="J42">
        <f t="shared" si="0"/>
        <v>0.1</v>
      </c>
      <c r="K42" s="1">
        <f t="shared" si="1"/>
        <v>4500</v>
      </c>
      <c r="L42">
        <f t="shared" si="8"/>
        <v>155000000</v>
      </c>
      <c r="M42" s="2">
        <f t="shared" si="2"/>
        <v>2.903225806451613E-5</v>
      </c>
    </row>
    <row r="43" spans="1:13">
      <c r="A43">
        <f t="shared" ref="A43:F43" si="36">A31</f>
        <v>1</v>
      </c>
      <c r="B43">
        <f t="shared" si="36"/>
        <v>6</v>
      </c>
      <c r="C43" t="str">
        <f t="shared" si="36"/>
        <v>PC</v>
      </c>
      <c r="D43">
        <f t="shared" si="36"/>
        <v>1</v>
      </c>
      <c r="E43" t="str">
        <f t="shared" si="36"/>
        <v>PC1</v>
      </c>
      <c r="F43">
        <f t="shared" si="36"/>
        <v>3</v>
      </c>
      <c r="G43">
        <f t="shared" si="7"/>
        <v>3</v>
      </c>
      <c r="H43">
        <v>10</v>
      </c>
      <c r="I43">
        <v>1</v>
      </c>
      <c r="J43">
        <f t="shared" si="0"/>
        <v>0.1</v>
      </c>
      <c r="K43" s="1">
        <f t="shared" si="1"/>
        <v>5000</v>
      </c>
      <c r="L43">
        <f t="shared" si="8"/>
        <v>179999999.99999997</v>
      </c>
      <c r="M43" s="2">
        <f t="shared" si="2"/>
        <v>2.7777777777777782E-5</v>
      </c>
    </row>
    <row r="44" spans="1:13">
      <c r="A44">
        <f t="shared" ref="A44:F44" si="37">A32</f>
        <v>1</v>
      </c>
      <c r="B44">
        <f t="shared" si="37"/>
        <v>7</v>
      </c>
      <c r="C44" t="str">
        <f t="shared" si="37"/>
        <v>PC</v>
      </c>
      <c r="D44">
        <f t="shared" si="37"/>
        <v>2</v>
      </c>
      <c r="E44" t="str">
        <f t="shared" si="37"/>
        <v>PC2</v>
      </c>
      <c r="F44">
        <f t="shared" si="37"/>
        <v>1</v>
      </c>
      <c r="G44">
        <f t="shared" si="7"/>
        <v>3</v>
      </c>
      <c r="H44">
        <v>15</v>
      </c>
      <c r="I44">
        <v>3</v>
      </c>
      <c r="J44">
        <f t="shared" si="0"/>
        <v>1E-3</v>
      </c>
      <c r="K44" s="1">
        <f t="shared" si="1"/>
        <v>749999.99999999988</v>
      </c>
      <c r="L44">
        <f t="shared" si="8"/>
        <v>114999999.99999999</v>
      </c>
      <c r="M44" s="2">
        <f t="shared" si="2"/>
        <v>6.5217391304347823E-3</v>
      </c>
    </row>
    <row r="45" spans="1:13">
      <c r="A45">
        <f t="shared" ref="A45:F45" si="38">A33</f>
        <v>1</v>
      </c>
      <c r="B45">
        <f t="shared" si="38"/>
        <v>8</v>
      </c>
      <c r="C45" t="str">
        <f t="shared" si="38"/>
        <v>PC</v>
      </c>
      <c r="D45">
        <f t="shared" si="38"/>
        <v>2</v>
      </c>
      <c r="E45" t="str">
        <f t="shared" si="38"/>
        <v>PC2</v>
      </c>
      <c r="F45">
        <f t="shared" si="38"/>
        <v>2</v>
      </c>
      <c r="G45">
        <f t="shared" si="7"/>
        <v>3</v>
      </c>
      <c r="H45">
        <v>13</v>
      </c>
      <c r="I45">
        <v>3</v>
      </c>
      <c r="J45">
        <f t="shared" si="0"/>
        <v>1E-3</v>
      </c>
      <c r="K45" s="1">
        <f t="shared" si="1"/>
        <v>650000</v>
      </c>
      <c r="L45">
        <f t="shared" si="8"/>
        <v>104999999.99999999</v>
      </c>
      <c r="M45" s="2">
        <f t="shared" si="2"/>
        <v>6.1904761904761916E-3</v>
      </c>
    </row>
    <row r="46" spans="1:13">
      <c r="A46">
        <f t="shared" ref="A46:F46" si="39">A34</f>
        <v>1</v>
      </c>
      <c r="B46">
        <f t="shared" si="39"/>
        <v>9</v>
      </c>
      <c r="C46" t="str">
        <f t="shared" si="39"/>
        <v>PC</v>
      </c>
      <c r="D46">
        <f t="shared" si="39"/>
        <v>2</v>
      </c>
      <c r="E46" t="str">
        <f t="shared" si="39"/>
        <v>PC2</v>
      </c>
      <c r="F46">
        <f t="shared" si="39"/>
        <v>3</v>
      </c>
      <c r="G46">
        <f t="shared" si="7"/>
        <v>3</v>
      </c>
      <c r="H46">
        <v>24</v>
      </c>
      <c r="I46">
        <v>3</v>
      </c>
      <c r="J46">
        <f t="shared" si="0"/>
        <v>1E-3</v>
      </c>
      <c r="K46" s="1">
        <f t="shared" si="1"/>
        <v>1200000</v>
      </c>
      <c r="L46">
        <f t="shared" si="8"/>
        <v>85000000</v>
      </c>
      <c r="M46" s="2">
        <f t="shared" si="2"/>
        <v>1.411764705882353E-2</v>
      </c>
    </row>
    <row r="47" spans="1:13">
      <c r="A47">
        <f t="shared" ref="A47:F47" si="40">A35</f>
        <v>1</v>
      </c>
      <c r="B47">
        <f t="shared" si="40"/>
        <v>10</v>
      </c>
      <c r="C47" t="str">
        <f t="shared" si="40"/>
        <v>PC</v>
      </c>
      <c r="D47">
        <f t="shared" si="40"/>
        <v>3</v>
      </c>
      <c r="E47" t="str">
        <f t="shared" si="40"/>
        <v>PC3</v>
      </c>
      <c r="F47">
        <f t="shared" si="40"/>
        <v>1</v>
      </c>
      <c r="G47">
        <f t="shared" si="7"/>
        <v>3</v>
      </c>
      <c r="H47">
        <v>22</v>
      </c>
      <c r="I47">
        <v>1</v>
      </c>
      <c r="J47">
        <f t="shared" si="0"/>
        <v>0.1</v>
      </c>
      <c r="K47" s="1">
        <f t="shared" si="1"/>
        <v>11000</v>
      </c>
      <c r="L47">
        <f t="shared" si="8"/>
        <v>155000000</v>
      </c>
      <c r="M47" s="2">
        <f t="shared" si="2"/>
        <v>7.0967741935483875E-5</v>
      </c>
    </row>
    <row r="48" spans="1:13">
      <c r="A48">
        <f t="shared" ref="A48:F48" si="41">A36</f>
        <v>1</v>
      </c>
      <c r="B48">
        <f t="shared" si="41"/>
        <v>11</v>
      </c>
      <c r="C48" t="str">
        <f t="shared" si="41"/>
        <v>PC</v>
      </c>
      <c r="D48">
        <f t="shared" si="41"/>
        <v>3</v>
      </c>
      <c r="E48" t="str">
        <f t="shared" si="41"/>
        <v>PC3</v>
      </c>
      <c r="F48">
        <f t="shared" si="41"/>
        <v>2</v>
      </c>
      <c r="G48">
        <f t="shared" si="7"/>
        <v>3</v>
      </c>
      <c r="H48">
        <v>35</v>
      </c>
      <c r="I48">
        <v>1</v>
      </c>
      <c r="J48">
        <f t="shared" si="0"/>
        <v>0.1</v>
      </c>
      <c r="K48" s="1">
        <f t="shared" si="1"/>
        <v>17500</v>
      </c>
      <c r="L48">
        <f t="shared" si="8"/>
        <v>140000000</v>
      </c>
      <c r="M48" s="2">
        <f t="shared" si="2"/>
        <v>1.25E-4</v>
      </c>
    </row>
    <row r="49" spans="1:13">
      <c r="A49">
        <f t="shared" ref="A49:F49" si="42">A37</f>
        <v>1</v>
      </c>
      <c r="B49">
        <f t="shared" si="42"/>
        <v>12</v>
      </c>
      <c r="C49" t="str">
        <f t="shared" si="42"/>
        <v>PC</v>
      </c>
      <c r="D49">
        <f t="shared" si="42"/>
        <v>3</v>
      </c>
      <c r="E49" t="str">
        <f t="shared" si="42"/>
        <v>PC3</v>
      </c>
      <c r="F49">
        <f t="shared" si="42"/>
        <v>3</v>
      </c>
      <c r="G49">
        <f t="shared" si="7"/>
        <v>3</v>
      </c>
      <c r="H49">
        <v>37</v>
      </c>
      <c r="I49">
        <v>1</v>
      </c>
      <c r="J49">
        <f t="shared" si="0"/>
        <v>0.1</v>
      </c>
      <c r="K49" s="1">
        <f t="shared" si="1"/>
        <v>18500</v>
      </c>
      <c r="L49">
        <f t="shared" si="8"/>
        <v>165000000</v>
      </c>
      <c r="M49" s="2">
        <f t="shared" si="2"/>
        <v>1.1212121212121212E-4</v>
      </c>
    </row>
    <row r="50" spans="1:13">
      <c r="A50">
        <f t="shared" ref="A50:F50" si="43">A38</f>
        <v>1</v>
      </c>
      <c r="B50">
        <f t="shared" si="43"/>
        <v>1</v>
      </c>
      <c r="C50" t="str">
        <f t="shared" si="43"/>
        <v>P</v>
      </c>
      <c r="D50">
        <f t="shared" si="43"/>
        <v>1</v>
      </c>
      <c r="E50" t="str">
        <f t="shared" si="43"/>
        <v>P1</v>
      </c>
      <c r="F50">
        <f t="shared" si="43"/>
        <v>1</v>
      </c>
      <c r="G50">
        <v>5</v>
      </c>
      <c r="J50">
        <f t="shared" si="0"/>
        <v>1</v>
      </c>
      <c r="K50" s="1">
        <f t="shared" si="1"/>
        <v>0</v>
      </c>
      <c r="L50">
        <f t="shared" si="8"/>
        <v>189999999.99999997</v>
      </c>
      <c r="M50" s="2">
        <f t="shared" si="2"/>
        <v>0</v>
      </c>
    </row>
    <row r="51" spans="1:13">
      <c r="A51">
        <f t="shared" ref="A51:F51" si="44">A39</f>
        <v>1</v>
      </c>
      <c r="B51">
        <f t="shared" si="44"/>
        <v>2</v>
      </c>
      <c r="C51" t="str">
        <f t="shared" si="44"/>
        <v>P</v>
      </c>
      <c r="D51">
        <f t="shared" si="44"/>
        <v>1</v>
      </c>
      <c r="E51" t="str">
        <f t="shared" si="44"/>
        <v>P1</v>
      </c>
      <c r="F51">
        <f t="shared" si="44"/>
        <v>2</v>
      </c>
      <c r="G51">
        <v>5</v>
      </c>
      <c r="H51">
        <v>1</v>
      </c>
      <c r="I51">
        <v>1</v>
      </c>
      <c r="J51">
        <f t="shared" si="0"/>
        <v>0.1</v>
      </c>
      <c r="K51" s="1">
        <f t="shared" si="1"/>
        <v>500</v>
      </c>
      <c r="L51">
        <f t="shared" si="8"/>
        <v>129999999.99999999</v>
      </c>
      <c r="M51" s="2">
        <f t="shared" si="2"/>
        <v>3.8461538461538468E-6</v>
      </c>
    </row>
    <row r="52" spans="1:13">
      <c r="A52">
        <f t="shared" ref="A52:F52" si="45">A40</f>
        <v>1</v>
      </c>
      <c r="B52">
        <f t="shared" si="45"/>
        <v>3</v>
      </c>
      <c r="C52" t="str">
        <f t="shared" si="45"/>
        <v>P</v>
      </c>
      <c r="D52">
        <f t="shared" si="45"/>
        <v>1</v>
      </c>
      <c r="E52" t="str">
        <f t="shared" si="45"/>
        <v>P1</v>
      </c>
      <c r="F52">
        <f t="shared" si="45"/>
        <v>3</v>
      </c>
      <c r="G52">
        <v>5</v>
      </c>
      <c r="J52">
        <f t="shared" si="0"/>
        <v>1</v>
      </c>
      <c r="K52" s="1">
        <f t="shared" si="1"/>
        <v>0</v>
      </c>
      <c r="L52">
        <f t="shared" si="8"/>
        <v>209999999.99999997</v>
      </c>
      <c r="M52" s="2">
        <f t="shared" si="2"/>
        <v>0</v>
      </c>
    </row>
    <row r="53" spans="1:13">
      <c r="A53">
        <f t="shared" ref="A53:F53" si="46">A41</f>
        <v>1</v>
      </c>
      <c r="B53">
        <f t="shared" si="46"/>
        <v>4</v>
      </c>
      <c r="C53" t="str">
        <f t="shared" si="46"/>
        <v>PC</v>
      </c>
      <c r="D53">
        <f t="shared" si="46"/>
        <v>1</v>
      </c>
      <c r="E53" t="str">
        <f t="shared" si="46"/>
        <v>PC1</v>
      </c>
      <c r="F53">
        <f t="shared" si="46"/>
        <v>1</v>
      </c>
      <c r="G53">
        <v>5</v>
      </c>
      <c r="H53">
        <v>3</v>
      </c>
      <c r="I53">
        <v>1</v>
      </c>
      <c r="J53">
        <f t="shared" si="0"/>
        <v>0.1</v>
      </c>
      <c r="K53" s="1">
        <f t="shared" si="1"/>
        <v>1500</v>
      </c>
      <c r="L53">
        <f t="shared" si="8"/>
        <v>104999999.99999999</v>
      </c>
      <c r="M53" s="2">
        <f t="shared" si="2"/>
        <v>1.4285714285714287E-5</v>
      </c>
    </row>
    <row r="54" spans="1:13">
      <c r="A54">
        <f t="shared" ref="A54:F54" si="47">A42</f>
        <v>1</v>
      </c>
      <c r="B54">
        <f t="shared" si="47"/>
        <v>5</v>
      </c>
      <c r="C54" t="str">
        <f t="shared" si="47"/>
        <v>PC</v>
      </c>
      <c r="D54">
        <f t="shared" si="47"/>
        <v>1</v>
      </c>
      <c r="E54" t="str">
        <f t="shared" si="47"/>
        <v>PC1</v>
      </c>
      <c r="F54">
        <f t="shared" si="47"/>
        <v>2</v>
      </c>
      <c r="G54">
        <v>5</v>
      </c>
      <c r="H54">
        <v>3</v>
      </c>
      <c r="I54">
        <v>1</v>
      </c>
      <c r="J54">
        <f t="shared" si="0"/>
        <v>0.1</v>
      </c>
      <c r="K54" s="1">
        <f t="shared" si="1"/>
        <v>1500</v>
      </c>
      <c r="L54">
        <f t="shared" si="8"/>
        <v>155000000</v>
      </c>
      <c r="M54" s="2">
        <f t="shared" si="2"/>
        <v>9.6774193548387104E-6</v>
      </c>
    </row>
    <row r="55" spans="1:13">
      <c r="A55">
        <f t="shared" ref="A55:F55" si="48">A43</f>
        <v>1</v>
      </c>
      <c r="B55">
        <f t="shared" si="48"/>
        <v>6</v>
      </c>
      <c r="C55" t="str">
        <f t="shared" si="48"/>
        <v>PC</v>
      </c>
      <c r="D55">
        <f t="shared" si="48"/>
        <v>1</v>
      </c>
      <c r="E55" t="str">
        <f t="shared" si="48"/>
        <v>PC1</v>
      </c>
      <c r="F55">
        <f t="shared" si="48"/>
        <v>3</v>
      </c>
      <c r="G55">
        <v>5</v>
      </c>
      <c r="H55">
        <v>4</v>
      </c>
      <c r="I55">
        <v>1</v>
      </c>
      <c r="J55">
        <f t="shared" si="0"/>
        <v>0.1</v>
      </c>
      <c r="K55" s="1">
        <f t="shared" si="1"/>
        <v>2000</v>
      </c>
      <c r="L55">
        <f t="shared" si="8"/>
        <v>179999999.99999997</v>
      </c>
      <c r="M55" s="2">
        <f t="shared" si="2"/>
        <v>1.1111111111111113E-5</v>
      </c>
    </row>
    <row r="56" spans="1:13">
      <c r="A56">
        <f t="shared" ref="A56:F56" si="49">A44</f>
        <v>1</v>
      </c>
      <c r="B56">
        <f t="shared" si="49"/>
        <v>7</v>
      </c>
      <c r="C56" t="str">
        <f t="shared" si="49"/>
        <v>PC</v>
      </c>
      <c r="D56">
        <f t="shared" si="49"/>
        <v>2</v>
      </c>
      <c r="E56" t="str">
        <f t="shared" si="49"/>
        <v>PC2</v>
      </c>
      <c r="F56">
        <f t="shared" si="49"/>
        <v>1</v>
      </c>
      <c r="G56">
        <v>5</v>
      </c>
      <c r="H56">
        <v>6</v>
      </c>
      <c r="I56">
        <v>2</v>
      </c>
      <c r="J56">
        <f t="shared" si="0"/>
        <v>0.01</v>
      </c>
      <c r="K56" s="1">
        <f t="shared" si="1"/>
        <v>30000</v>
      </c>
      <c r="L56">
        <f t="shared" si="8"/>
        <v>114999999.99999999</v>
      </c>
      <c r="M56" s="2">
        <f t="shared" si="2"/>
        <v>2.6086956521739134E-4</v>
      </c>
    </row>
    <row r="57" spans="1:13">
      <c r="A57">
        <f t="shared" ref="A57:F57" si="50">A45</f>
        <v>1</v>
      </c>
      <c r="B57">
        <f t="shared" si="50"/>
        <v>8</v>
      </c>
      <c r="C57" t="str">
        <f t="shared" si="50"/>
        <v>PC</v>
      </c>
      <c r="D57">
        <f t="shared" si="50"/>
        <v>2</v>
      </c>
      <c r="E57" t="str">
        <f t="shared" si="50"/>
        <v>PC2</v>
      </c>
      <c r="F57">
        <f t="shared" si="50"/>
        <v>2</v>
      </c>
      <c r="G57">
        <v>5</v>
      </c>
      <c r="H57">
        <v>6</v>
      </c>
      <c r="I57">
        <v>2</v>
      </c>
      <c r="J57">
        <f t="shared" si="0"/>
        <v>0.01</v>
      </c>
      <c r="K57" s="1">
        <f t="shared" si="1"/>
        <v>30000</v>
      </c>
      <c r="L57">
        <f t="shared" si="8"/>
        <v>104999999.99999999</v>
      </c>
      <c r="M57" s="2">
        <f t="shared" si="2"/>
        <v>2.8571428571428574E-4</v>
      </c>
    </row>
    <row r="58" spans="1:13">
      <c r="A58">
        <f t="shared" ref="A58:F58" si="51">A46</f>
        <v>1</v>
      </c>
      <c r="B58">
        <f t="shared" si="51"/>
        <v>9</v>
      </c>
      <c r="C58" t="str">
        <f t="shared" si="51"/>
        <v>PC</v>
      </c>
      <c r="D58">
        <f t="shared" si="51"/>
        <v>2</v>
      </c>
      <c r="E58" t="str">
        <f t="shared" si="51"/>
        <v>PC2</v>
      </c>
      <c r="F58">
        <f t="shared" si="51"/>
        <v>3</v>
      </c>
      <c r="G58">
        <v>5</v>
      </c>
      <c r="H58">
        <v>9</v>
      </c>
      <c r="I58">
        <v>2</v>
      </c>
      <c r="J58">
        <f t="shared" si="0"/>
        <v>0.01</v>
      </c>
      <c r="K58" s="1">
        <f t="shared" si="1"/>
        <v>45000</v>
      </c>
      <c r="L58">
        <f t="shared" si="8"/>
        <v>85000000</v>
      </c>
      <c r="M58" s="2">
        <f t="shared" si="2"/>
        <v>5.2941176470588231E-4</v>
      </c>
    </row>
    <row r="59" spans="1:13">
      <c r="A59">
        <f t="shared" ref="A59:F59" si="52">A47</f>
        <v>1</v>
      </c>
      <c r="B59">
        <f t="shared" si="52"/>
        <v>10</v>
      </c>
      <c r="C59" t="str">
        <f t="shared" si="52"/>
        <v>PC</v>
      </c>
      <c r="D59">
        <f t="shared" si="52"/>
        <v>3</v>
      </c>
      <c r="E59" t="str">
        <f t="shared" si="52"/>
        <v>PC3</v>
      </c>
      <c r="F59">
        <f t="shared" si="52"/>
        <v>1</v>
      </c>
      <c r="G59">
        <v>5</v>
      </c>
      <c r="H59">
        <v>17</v>
      </c>
      <c r="I59">
        <v>1</v>
      </c>
      <c r="J59">
        <f t="shared" si="0"/>
        <v>0.1</v>
      </c>
      <c r="K59" s="1">
        <f t="shared" si="1"/>
        <v>8500</v>
      </c>
      <c r="L59">
        <f t="shared" si="8"/>
        <v>155000000</v>
      </c>
      <c r="M59" s="2">
        <f t="shared" si="2"/>
        <v>5.4838709677419355E-5</v>
      </c>
    </row>
    <row r="60" spans="1:13">
      <c r="A60">
        <f t="shared" ref="A60:F60" si="53">A48</f>
        <v>1</v>
      </c>
      <c r="B60">
        <f t="shared" si="53"/>
        <v>11</v>
      </c>
      <c r="C60" t="str">
        <f t="shared" si="53"/>
        <v>PC</v>
      </c>
      <c r="D60">
        <f t="shared" si="53"/>
        <v>3</v>
      </c>
      <c r="E60" t="str">
        <f t="shared" si="53"/>
        <v>PC3</v>
      </c>
      <c r="F60">
        <f t="shared" si="53"/>
        <v>2</v>
      </c>
      <c r="G60">
        <v>5</v>
      </c>
      <c r="H60">
        <v>23</v>
      </c>
      <c r="I60">
        <v>1</v>
      </c>
      <c r="J60">
        <f t="shared" si="0"/>
        <v>0.1</v>
      </c>
      <c r="K60" s="1">
        <f t="shared" si="1"/>
        <v>11500</v>
      </c>
      <c r="L60">
        <f t="shared" si="8"/>
        <v>140000000</v>
      </c>
      <c r="M60" s="2">
        <f t="shared" si="2"/>
        <v>8.214285714285714E-5</v>
      </c>
    </row>
    <row r="61" spans="1:13">
      <c r="A61">
        <f t="shared" ref="A61:F61" si="54">A49</f>
        <v>1</v>
      </c>
      <c r="B61">
        <f t="shared" si="54"/>
        <v>12</v>
      </c>
      <c r="C61" t="str">
        <f t="shared" si="54"/>
        <v>PC</v>
      </c>
      <c r="D61">
        <f t="shared" si="54"/>
        <v>3</v>
      </c>
      <c r="E61" t="str">
        <f t="shared" si="54"/>
        <v>PC3</v>
      </c>
      <c r="F61">
        <f t="shared" si="54"/>
        <v>3</v>
      </c>
      <c r="G61">
        <v>5</v>
      </c>
      <c r="H61">
        <v>27</v>
      </c>
      <c r="I61">
        <v>1</v>
      </c>
      <c r="J61">
        <f t="shared" si="0"/>
        <v>0.1</v>
      </c>
      <c r="K61" s="1">
        <f t="shared" si="1"/>
        <v>13500</v>
      </c>
      <c r="L61">
        <f t="shared" si="8"/>
        <v>165000000</v>
      </c>
      <c r="M61" s="2">
        <f t="shared" si="2"/>
        <v>8.1818181818181816E-5</v>
      </c>
    </row>
    <row r="62" spans="1:13">
      <c r="A62">
        <f t="shared" ref="A62:F62" si="55">A50</f>
        <v>1</v>
      </c>
      <c r="B62">
        <f t="shared" si="55"/>
        <v>1</v>
      </c>
      <c r="C62" t="str">
        <f t="shared" si="55"/>
        <v>P</v>
      </c>
      <c r="D62">
        <f t="shared" si="55"/>
        <v>1</v>
      </c>
      <c r="E62" t="str">
        <f t="shared" si="55"/>
        <v>P1</v>
      </c>
      <c r="F62">
        <f t="shared" si="55"/>
        <v>1</v>
      </c>
      <c r="G62">
        <v>7</v>
      </c>
      <c r="H62">
        <v>1</v>
      </c>
      <c r="I62">
        <v>1</v>
      </c>
      <c r="J62">
        <f t="shared" si="0"/>
        <v>0.1</v>
      </c>
      <c r="K62" s="1">
        <f t="shared" si="1"/>
        <v>500</v>
      </c>
      <c r="L62">
        <f t="shared" si="8"/>
        <v>189999999.99999997</v>
      </c>
      <c r="M62" s="2">
        <f t="shared" si="2"/>
        <v>2.6315789473684215E-6</v>
      </c>
    </row>
    <row r="63" spans="1:13">
      <c r="A63">
        <f t="shared" ref="A63:F63" si="56">A51</f>
        <v>1</v>
      </c>
      <c r="B63">
        <f t="shared" si="56"/>
        <v>2</v>
      </c>
      <c r="C63" t="str">
        <f t="shared" si="56"/>
        <v>P</v>
      </c>
      <c r="D63">
        <f t="shared" si="56"/>
        <v>1</v>
      </c>
      <c r="E63" t="str">
        <f t="shared" si="56"/>
        <v>P1</v>
      </c>
      <c r="F63">
        <f t="shared" si="56"/>
        <v>2</v>
      </c>
      <c r="G63">
        <v>7</v>
      </c>
      <c r="J63">
        <f t="shared" si="0"/>
        <v>1</v>
      </c>
      <c r="K63" s="1">
        <f t="shared" si="1"/>
        <v>0</v>
      </c>
      <c r="L63">
        <f t="shared" si="8"/>
        <v>129999999.99999999</v>
      </c>
      <c r="M63" s="2">
        <f t="shared" si="2"/>
        <v>0</v>
      </c>
    </row>
    <row r="64" spans="1:13">
      <c r="A64">
        <f t="shared" ref="A64:F64" si="57">A52</f>
        <v>1</v>
      </c>
      <c r="B64">
        <f t="shared" si="57"/>
        <v>3</v>
      </c>
      <c r="C64" t="str">
        <f t="shared" si="57"/>
        <v>P</v>
      </c>
      <c r="D64">
        <f t="shared" si="57"/>
        <v>1</v>
      </c>
      <c r="E64" t="str">
        <f t="shared" si="57"/>
        <v>P1</v>
      </c>
      <c r="F64">
        <f t="shared" si="57"/>
        <v>3</v>
      </c>
      <c r="G64">
        <v>7</v>
      </c>
      <c r="J64">
        <f t="shared" si="0"/>
        <v>1</v>
      </c>
      <c r="K64" s="1">
        <f t="shared" si="1"/>
        <v>0</v>
      </c>
      <c r="L64">
        <f t="shared" si="8"/>
        <v>209999999.99999997</v>
      </c>
      <c r="M64" s="2">
        <f t="shared" si="2"/>
        <v>0</v>
      </c>
    </row>
    <row r="65" spans="1:13">
      <c r="A65">
        <f t="shared" ref="A65:C65" si="58">A53</f>
        <v>1</v>
      </c>
      <c r="B65">
        <f t="shared" si="58"/>
        <v>4</v>
      </c>
      <c r="C65" t="str">
        <f t="shared" si="58"/>
        <v>PC</v>
      </c>
      <c r="D65">
        <f t="shared" ref="D65:E70" si="59">D53</f>
        <v>1</v>
      </c>
      <c r="E65" t="str">
        <f t="shared" si="59"/>
        <v>PC1</v>
      </c>
      <c r="F65">
        <f t="shared" si="3"/>
        <v>1</v>
      </c>
      <c r="G65">
        <v>7</v>
      </c>
      <c r="H65">
        <v>2</v>
      </c>
      <c r="I65">
        <v>1</v>
      </c>
      <c r="J65">
        <f t="shared" si="0"/>
        <v>0.1</v>
      </c>
      <c r="K65" s="1">
        <f t="shared" si="1"/>
        <v>1000</v>
      </c>
      <c r="L65">
        <f t="shared" si="8"/>
        <v>104999999.99999999</v>
      </c>
      <c r="M65" s="2">
        <f t="shared" si="2"/>
        <v>9.5238095238095247E-6</v>
      </c>
    </row>
    <row r="66" spans="1:13">
      <c r="A66">
        <f t="shared" ref="A66:C66" si="60">A54</f>
        <v>1</v>
      </c>
      <c r="B66">
        <f t="shared" si="60"/>
        <v>5</v>
      </c>
      <c r="C66" t="str">
        <f t="shared" si="60"/>
        <v>PC</v>
      </c>
      <c r="D66">
        <f t="shared" si="59"/>
        <v>1</v>
      </c>
      <c r="E66" t="str">
        <f t="shared" si="59"/>
        <v>PC1</v>
      </c>
      <c r="F66">
        <f t="shared" si="3"/>
        <v>2</v>
      </c>
      <c r="G66">
        <v>7</v>
      </c>
      <c r="J66">
        <f t="shared" si="0"/>
        <v>1</v>
      </c>
      <c r="K66" s="1">
        <f t="shared" si="1"/>
        <v>0</v>
      </c>
      <c r="L66">
        <f t="shared" si="8"/>
        <v>155000000</v>
      </c>
      <c r="M66" s="2">
        <f t="shared" si="2"/>
        <v>0</v>
      </c>
    </row>
    <row r="67" spans="1:13">
      <c r="A67">
        <f t="shared" ref="A67:C67" si="61">A55</f>
        <v>1</v>
      </c>
      <c r="B67">
        <f t="shared" si="61"/>
        <v>6</v>
      </c>
      <c r="C67" t="str">
        <f t="shared" si="61"/>
        <v>PC</v>
      </c>
      <c r="D67">
        <f t="shared" si="59"/>
        <v>1</v>
      </c>
      <c r="E67" t="str">
        <f t="shared" si="59"/>
        <v>PC1</v>
      </c>
      <c r="F67">
        <f t="shared" si="3"/>
        <v>3</v>
      </c>
      <c r="G67">
        <v>7</v>
      </c>
      <c r="H67">
        <v>3</v>
      </c>
      <c r="I67">
        <v>1</v>
      </c>
      <c r="J67">
        <f t="shared" ref="J67:J130" si="62">1/10^I67</f>
        <v>0.1</v>
      </c>
      <c r="K67" s="1">
        <f t="shared" ref="K67:K130" si="63">H67/(J67*0.02)</f>
        <v>1500</v>
      </c>
      <c r="L67">
        <f t="shared" si="8"/>
        <v>179999999.99999997</v>
      </c>
      <c r="M67" s="2">
        <f t="shared" ref="M67:M130" si="64">K67/L67</f>
        <v>8.3333333333333354E-6</v>
      </c>
    </row>
    <row r="68" spans="1:13">
      <c r="A68">
        <f t="shared" ref="A68:C68" si="65">A56</f>
        <v>1</v>
      </c>
      <c r="B68">
        <f t="shared" si="65"/>
        <v>7</v>
      </c>
      <c r="C68" t="str">
        <f t="shared" si="65"/>
        <v>PC</v>
      </c>
      <c r="D68">
        <f t="shared" si="59"/>
        <v>2</v>
      </c>
      <c r="E68" t="str">
        <f t="shared" si="59"/>
        <v>PC2</v>
      </c>
      <c r="F68">
        <f t="shared" si="3"/>
        <v>1</v>
      </c>
      <c r="G68">
        <v>7</v>
      </c>
      <c r="H68">
        <v>4</v>
      </c>
      <c r="I68">
        <v>1</v>
      </c>
      <c r="J68">
        <f t="shared" si="62"/>
        <v>0.1</v>
      </c>
      <c r="K68" s="1">
        <f t="shared" si="63"/>
        <v>2000</v>
      </c>
      <c r="L68">
        <f t="shared" si="8"/>
        <v>114999999.99999999</v>
      </c>
      <c r="M68" s="2">
        <f t="shared" si="64"/>
        <v>1.7391304347826089E-5</v>
      </c>
    </row>
    <row r="69" spans="1:13">
      <c r="A69">
        <f t="shared" ref="A69:C69" si="66">A57</f>
        <v>1</v>
      </c>
      <c r="B69">
        <f t="shared" si="66"/>
        <v>8</v>
      </c>
      <c r="C69" t="str">
        <f t="shared" si="66"/>
        <v>PC</v>
      </c>
      <c r="D69">
        <f t="shared" si="59"/>
        <v>2</v>
      </c>
      <c r="E69" t="str">
        <f t="shared" si="59"/>
        <v>PC2</v>
      </c>
      <c r="F69">
        <f t="shared" si="3"/>
        <v>2</v>
      </c>
      <c r="G69">
        <v>7</v>
      </c>
      <c r="H69">
        <v>6</v>
      </c>
      <c r="I69">
        <v>1</v>
      </c>
      <c r="J69">
        <f t="shared" si="62"/>
        <v>0.1</v>
      </c>
      <c r="K69" s="1">
        <f t="shared" si="63"/>
        <v>3000</v>
      </c>
      <c r="L69">
        <f t="shared" si="8"/>
        <v>104999999.99999999</v>
      </c>
      <c r="M69" s="2">
        <f t="shared" si="64"/>
        <v>2.8571428571428574E-5</v>
      </c>
    </row>
    <row r="70" spans="1:13">
      <c r="A70">
        <f t="shared" ref="A70:C70" si="67">A58</f>
        <v>1</v>
      </c>
      <c r="B70">
        <f t="shared" si="67"/>
        <v>9</v>
      </c>
      <c r="C70" t="str">
        <f t="shared" si="67"/>
        <v>PC</v>
      </c>
      <c r="D70">
        <f t="shared" si="59"/>
        <v>2</v>
      </c>
      <c r="E70" t="str">
        <f t="shared" si="59"/>
        <v>PC2</v>
      </c>
      <c r="F70">
        <f t="shared" ref="F70:F133" si="68">F67</f>
        <v>3</v>
      </c>
      <c r="G70">
        <v>7</v>
      </c>
      <c r="H70">
        <v>12</v>
      </c>
      <c r="I70">
        <v>1</v>
      </c>
      <c r="J70">
        <f t="shared" si="62"/>
        <v>0.1</v>
      </c>
      <c r="K70" s="1">
        <f t="shared" si="63"/>
        <v>6000</v>
      </c>
      <c r="L70">
        <f t="shared" si="8"/>
        <v>85000000</v>
      </c>
      <c r="M70" s="2">
        <f t="shared" si="64"/>
        <v>7.0588235294117641E-5</v>
      </c>
    </row>
    <row r="71" spans="1:13">
      <c r="A71">
        <v>1</v>
      </c>
      <c r="B71">
        <f t="shared" ref="B71:C71" si="69">B59</f>
        <v>10</v>
      </c>
      <c r="C71" t="str">
        <f t="shared" si="69"/>
        <v>PC</v>
      </c>
      <c r="D71">
        <f>D59</f>
        <v>3</v>
      </c>
      <c r="E71" t="str">
        <f t="shared" ref="E71:E134" si="70">E59</f>
        <v>PC3</v>
      </c>
      <c r="F71">
        <f t="shared" ref="C71:G71" si="71">F2</f>
        <v>1</v>
      </c>
      <c r="G71">
        <v>7</v>
      </c>
      <c r="H71">
        <v>1</v>
      </c>
      <c r="I71">
        <v>1</v>
      </c>
      <c r="J71">
        <f t="shared" si="62"/>
        <v>0.1</v>
      </c>
      <c r="K71" s="1">
        <f t="shared" si="63"/>
        <v>500</v>
      </c>
      <c r="L71">
        <f t="shared" si="8"/>
        <v>155000000</v>
      </c>
      <c r="M71" s="2">
        <f t="shared" si="64"/>
        <v>3.2258064516129032E-6</v>
      </c>
    </row>
    <row r="72" spans="1:13">
      <c r="A72">
        <v>1</v>
      </c>
      <c r="B72">
        <f t="shared" ref="B72:C72" si="72">B60</f>
        <v>11</v>
      </c>
      <c r="C72" t="str">
        <f t="shared" si="72"/>
        <v>PC</v>
      </c>
      <c r="D72">
        <f t="shared" ref="D72" si="73">D60</f>
        <v>3</v>
      </c>
      <c r="E72" t="str">
        <f t="shared" si="70"/>
        <v>PC3</v>
      </c>
      <c r="F72">
        <f t="shared" ref="B72:G72" si="74">F3</f>
        <v>2</v>
      </c>
      <c r="G72">
        <v>7</v>
      </c>
      <c r="H72">
        <v>14</v>
      </c>
      <c r="I72">
        <v>1</v>
      </c>
      <c r="J72">
        <f t="shared" si="62"/>
        <v>0.1</v>
      </c>
      <c r="K72" s="1">
        <f t="shared" si="63"/>
        <v>7000</v>
      </c>
      <c r="L72">
        <f t="shared" si="8"/>
        <v>140000000</v>
      </c>
      <c r="M72" s="2">
        <f t="shared" si="64"/>
        <v>5.0000000000000002E-5</v>
      </c>
    </row>
    <row r="73" spans="1:13">
      <c r="A73">
        <v>1</v>
      </c>
      <c r="B73">
        <f t="shared" ref="B73:C73" si="75">B61</f>
        <v>12</v>
      </c>
      <c r="C73" t="str">
        <f t="shared" si="75"/>
        <v>PC</v>
      </c>
      <c r="D73">
        <f t="shared" ref="D73" si="76">D61</f>
        <v>3</v>
      </c>
      <c r="E73" t="str">
        <f t="shared" si="70"/>
        <v>PC3</v>
      </c>
      <c r="F73">
        <f t="shared" ref="B73:G73" si="77">F4</f>
        <v>3</v>
      </c>
      <c r="G73">
        <v>7</v>
      </c>
      <c r="H73">
        <v>19</v>
      </c>
      <c r="I73">
        <v>1</v>
      </c>
      <c r="J73">
        <f t="shared" si="62"/>
        <v>0.1</v>
      </c>
      <c r="K73" s="1">
        <f t="shared" si="63"/>
        <v>9500</v>
      </c>
      <c r="L73">
        <f t="shared" si="8"/>
        <v>165000000</v>
      </c>
      <c r="M73" s="2">
        <f t="shared" si="64"/>
        <v>5.7575757575757575E-5</v>
      </c>
    </row>
    <row r="74" spans="1:13">
      <c r="A74">
        <f t="shared" ref="A72:A137" si="78">A5+1</f>
        <v>2</v>
      </c>
      <c r="B74">
        <v>1</v>
      </c>
      <c r="C74" t="s">
        <v>13</v>
      </c>
      <c r="D74">
        <f t="shared" ref="B74:G74" si="79">D5</f>
        <v>1</v>
      </c>
      <c r="E74" t="str">
        <f t="shared" si="70"/>
        <v>P1</v>
      </c>
      <c r="F74">
        <f t="shared" si="79"/>
        <v>1</v>
      </c>
      <c r="G74">
        <v>0</v>
      </c>
      <c r="H74">
        <v>31</v>
      </c>
      <c r="I74">
        <v>5</v>
      </c>
      <c r="J74">
        <f t="shared" si="62"/>
        <v>1.0000000000000001E-5</v>
      </c>
      <c r="K74" s="1">
        <f>H74/(J74*0.02)</f>
        <v>155000000</v>
      </c>
      <c r="L74">
        <v>155000000</v>
      </c>
      <c r="M74" s="2">
        <f t="shared" si="64"/>
        <v>1</v>
      </c>
    </row>
    <row r="75" spans="1:13">
      <c r="A75">
        <f t="shared" si="78"/>
        <v>2</v>
      </c>
      <c r="B75">
        <v>2</v>
      </c>
      <c r="C75" t="s">
        <v>13</v>
      </c>
      <c r="D75">
        <f t="shared" ref="B75:G75" si="80">D6</f>
        <v>1</v>
      </c>
      <c r="E75" t="str">
        <f t="shared" si="70"/>
        <v>P1</v>
      </c>
      <c r="F75">
        <f t="shared" si="80"/>
        <v>2</v>
      </c>
      <c r="G75">
        <v>0</v>
      </c>
      <c r="H75">
        <v>49</v>
      </c>
      <c r="I75">
        <v>5</v>
      </c>
      <c r="J75">
        <f t="shared" si="62"/>
        <v>1.0000000000000001E-5</v>
      </c>
      <c r="K75" s="1">
        <f t="shared" si="63"/>
        <v>244999999.99999997</v>
      </c>
      <c r="L75">
        <v>244999999.99999997</v>
      </c>
      <c r="M75" s="2">
        <f t="shared" si="64"/>
        <v>1</v>
      </c>
    </row>
    <row r="76" spans="1:13">
      <c r="A76">
        <f t="shared" si="78"/>
        <v>2</v>
      </c>
      <c r="B76">
        <v>3</v>
      </c>
      <c r="C76" t="s">
        <v>13</v>
      </c>
      <c r="D76">
        <f t="shared" ref="B76:G76" si="81">D7</f>
        <v>1</v>
      </c>
      <c r="E76" t="str">
        <f t="shared" si="70"/>
        <v>P1</v>
      </c>
      <c r="F76">
        <f t="shared" si="81"/>
        <v>3</v>
      </c>
      <c r="G76">
        <v>0</v>
      </c>
      <c r="H76">
        <v>49</v>
      </c>
      <c r="I76">
        <v>5</v>
      </c>
      <c r="J76">
        <f t="shared" si="62"/>
        <v>1.0000000000000001E-5</v>
      </c>
      <c r="K76" s="1">
        <f t="shared" si="63"/>
        <v>244999999.99999997</v>
      </c>
      <c r="L76">
        <v>244999999.99999997</v>
      </c>
      <c r="M76" s="2">
        <f t="shared" si="64"/>
        <v>1</v>
      </c>
    </row>
    <row r="77" spans="1:13">
      <c r="A77">
        <f t="shared" si="78"/>
        <v>2</v>
      </c>
      <c r="B77">
        <v>4</v>
      </c>
      <c r="C77" t="str">
        <f t="shared" ref="B77:G77" si="82">C8</f>
        <v>PC</v>
      </c>
      <c r="D77">
        <v>1</v>
      </c>
      <c r="E77" t="s">
        <v>19</v>
      </c>
      <c r="F77">
        <f t="shared" si="82"/>
        <v>1</v>
      </c>
      <c r="G77">
        <v>0</v>
      </c>
      <c r="H77">
        <v>25</v>
      </c>
      <c r="I77">
        <v>5</v>
      </c>
      <c r="J77">
        <f t="shared" si="62"/>
        <v>1.0000000000000001E-5</v>
      </c>
      <c r="K77" s="1">
        <f t="shared" si="63"/>
        <v>124999999.99999999</v>
      </c>
      <c r="L77">
        <v>124999999.99999999</v>
      </c>
      <c r="M77" s="2">
        <f t="shared" si="64"/>
        <v>1</v>
      </c>
    </row>
    <row r="78" spans="1:13">
      <c r="A78">
        <f t="shared" si="78"/>
        <v>2</v>
      </c>
      <c r="B78">
        <v>5</v>
      </c>
      <c r="C78" t="str">
        <f t="shared" ref="B78:G78" si="83">C9</f>
        <v>PC</v>
      </c>
      <c r="D78">
        <v>1</v>
      </c>
      <c r="E78" t="s">
        <v>19</v>
      </c>
      <c r="F78">
        <f t="shared" si="83"/>
        <v>2</v>
      </c>
      <c r="G78">
        <v>0</v>
      </c>
      <c r="H78">
        <v>38</v>
      </c>
      <c r="I78">
        <v>5</v>
      </c>
      <c r="J78">
        <f t="shared" si="62"/>
        <v>1.0000000000000001E-5</v>
      </c>
      <c r="K78" s="1">
        <f t="shared" si="63"/>
        <v>189999999.99999997</v>
      </c>
      <c r="L78">
        <v>189999999.99999997</v>
      </c>
      <c r="M78" s="2">
        <f t="shared" si="64"/>
        <v>1</v>
      </c>
    </row>
    <row r="79" spans="1:13">
      <c r="A79">
        <f t="shared" si="78"/>
        <v>2</v>
      </c>
      <c r="B79">
        <v>6</v>
      </c>
      <c r="C79" t="str">
        <f t="shared" ref="B79:G79" si="84">C10</f>
        <v>PC</v>
      </c>
      <c r="D79">
        <v>1</v>
      </c>
      <c r="E79" t="s">
        <v>19</v>
      </c>
      <c r="F79">
        <f t="shared" si="84"/>
        <v>3</v>
      </c>
      <c r="G79">
        <v>0</v>
      </c>
      <c r="H79">
        <v>28</v>
      </c>
      <c r="I79">
        <v>5</v>
      </c>
      <c r="J79">
        <f t="shared" si="62"/>
        <v>1.0000000000000001E-5</v>
      </c>
      <c r="K79" s="1">
        <f t="shared" si="63"/>
        <v>140000000</v>
      </c>
      <c r="L79">
        <v>140000000</v>
      </c>
      <c r="M79" s="2">
        <f t="shared" si="64"/>
        <v>1</v>
      </c>
    </row>
    <row r="80" spans="1:13">
      <c r="A80">
        <f t="shared" si="78"/>
        <v>2</v>
      </c>
      <c r="B80">
        <v>7</v>
      </c>
      <c r="C80" t="str">
        <f t="shared" ref="B80:G80" si="85">C11</f>
        <v>PC</v>
      </c>
      <c r="D80">
        <v>2</v>
      </c>
      <c r="E80" t="s">
        <v>20</v>
      </c>
      <c r="F80">
        <f t="shared" si="85"/>
        <v>1</v>
      </c>
      <c r="G80">
        <v>0</v>
      </c>
      <c r="H80">
        <v>35</v>
      </c>
      <c r="I80">
        <v>5</v>
      </c>
      <c r="J80">
        <f t="shared" si="62"/>
        <v>1.0000000000000001E-5</v>
      </c>
      <c r="K80" s="1">
        <f t="shared" si="63"/>
        <v>174999999.99999997</v>
      </c>
      <c r="L80">
        <v>174999999.99999997</v>
      </c>
      <c r="M80" s="2">
        <f t="shared" si="64"/>
        <v>1</v>
      </c>
    </row>
    <row r="81" spans="1:13">
      <c r="A81">
        <f t="shared" si="78"/>
        <v>2</v>
      </c>
      <c r="B81">
        <v>8</v>
      </c>
      <c r="C81" t="str">
        <f t="shared" ref="B81:G81" si="86">C12</f>
        <v>PC</v>
      </c>
      <c r="D81">
        <v>2</v>
      </c>
      <c r="E81" t="s">
        <v>20</v>
      </c>
      <c r="F81">
        <f t="shared" si="86"/>
        <v>2</v>
      </c>
      <c r="G81">
        <v>0</v>
      </c>
      <c r="H81">
        <v>42</v>
      </c>
      <c r="I81">
        <v>5</v>
      </c>
      <c r="J81">
        <f t="shared" si="62"/>
        <v>1.0000000000000001E-5</v>
      </c>
      <c r="K81" s="1">
        <f t="shared" si="63"/>
        <v>209999999.99999997</v>
      </c>
      <c r="L81">
        <v>209999999.99999997</v>
      </c>
      <c r="M81" s="2">
        <f t="shared" si="64"/>
        <v>1</v>
      </c>
    </row>
    <row r="82" spans="1:13">
      <c r="A82">
        <f t="shared" si="78"/>
        <v>2</v>
      </c>
      <c r="B82">
        <v>9</v>
      </c>
      <c r="C82" t="str">
        <f t="shared" ref="B82:G82" si="87">C13</f>
        <v>PC</v>
      </c>
      <c r="D82">
        <v>2</v>
      </c>
      <c r="E82" t="s">
        <v>20</v>
      </c>
      <c r="F82">
        <f t="shared" si="87"/>
        <v>3</v>
      </c>
      <c r="G82">
        <v>0</v>
      </c>
      <c r="H82">
        <v>35</v>
      </c>
      <c r="I82">
        <v>5</v>
      </c>
      <c r="J82">
        <f t="shared" si="62"/>
        <v>1.0000000000000001E-5</v>
      </c>
      <c r="K82" s="1">
        <f t="shared" si="63"/>
        <v>174999999.99999997</v>
      </c>
      <c r="L82">
        <v>174999999.99999997</v>
      </c>
      <c r="M82" s="2">
        <f t="shared" si="64"/>
        <v>1</v>
      </c>
    </row>
    <row r="83" spans="1:13">
      <c r="A83">
        <f t="shared" si="78"/>
        <v>2</v>
      </c>
      <c r="B83">
        <v>10</v>
      </c>
      <c r="C83" t="s">
        <v>15</v>
      </c>
      <c r="D83">
        <v>3</v>
      </c>
      <c r="E83" t="s">
        <v>21</v>
      </c>
      <c r="F83">
        <f t="shared" ref="B83:G83" si="88">F14</f>
        <v>1</v>
      </c>
      <c r="G83">
        <v>0</v>
      </c>
      <c r="H83">
        <v>45</v>
      </c>
      <c r="I83">
        <v>5</v>
      </c>
      <c r="J83">
        <f t="shared" si="62"/>
        <v>1.0000000000000001E-5</v>
      </c>
      <c r="K83" s="1">
        <f t="shared" si="63"/>
        <v>224999999.99999997</v>
      </c>
      <c r="L83">
        <v>224999999.99999997</v>
      </c>
      <c r="M83" s="2">
        <f t="shared" si="64"/>
        <v>1</v>
      </c>
    </row>
    <row r="84" spans="1:13">
      <c r="A84">
        <f t="shared" si="78"/>
        <v>2</v>
      </c>
      <c r="B84">
        <v>11</v>
      </c>
      <c r="C84" t="s">
        <v>15</v>
      </c>
      <c r="D84">
        <v>3</v>
      </c>
      <c r="E84" t="s">
        <v>21</v>
      </c>
      <c r="F84">
        <f t="shared" ref="B84:G84" si="89">F15</f>
        <v>2</v>
      </c>
      <c r="G84">
        <v>0</v>
      </c>
      <c r="H84">
        <v>30</v>
      </c>
      <c r="I84">
        <v>5</v>
      </c>
      <c r="J84">
        <f t="shared" si="62"/>
        <v>1.0000000000000001E-5</v>
      </c>
      <c r="K84" s="1">
        <f t="shared" si="63"/>
        <v>150000000</v>
      </c>
      <c r="L84">
        <v>150000000</v>
      </c>
      <c r="M84" s="2">
        <f t="shared" si="64"/>
        <v>1</v>
      </c>
    </row>
    <row r="85" spans="1:13">
      <c r="A85">
        <f t="shared" si="78"/>
        <v>2</v>
      </c>
      <c r="B85">
        <v>12</v>
      </c>
      <c r="C85" t="s">
        <v>15</v>
      </c>
      <c r="D85">
        <v>3</v>
      </c>
      <c r="E85" t="s">
        <v>21</v>
      </c>
      <c r="F85">
        <f t="shared" ref="B85:G85" si="90">F16</f>
        <v>3</v>
      </c>
      <c r="G85">
        <v>0</v>
      </c>
      <c r="H85">
        <v>27</v>
      </c>
      <c r="I85">
        <v>5</v>
      </c>
      <c r="J85">
        <f t="shared" si="62"/>
        <v>1.0000000000000001E-5</v>
      </c>
      <c r="K85" s="1">
        <f t="shared" si="63"/>
        <v>135000000</v>
      </c>
      <c r="L85">
        <v>135000000</v>
      </c>
      <c r="M85" s="2">
        <f t="shared" si="64"/>
        <v>1</v>
      </c>
    </row>
    <row r="86" spans="1:13">
      <c r="A86">
        <f t="shared" si="78"/>
        <v>2</v>
      </c>
      <c r="B86">
        <f>B74</f>
        <v>1</v>
      </c>
      <c r="C86" t="str">
        <f>C74</f>
        <v>P</v>
      </c>
      <c r="D86">
        <f>D74</f>
        <v>1</v>
      </c>
      <c r="E86" t="str">
        <f>E74</f>
        <v>P1</v>
      </c>
      <c r="F86">
        <f t="shared" ref="B86:G86" si="91">F17</f>
        <v>1</v>
      </c>
      <c r="G86">
        <f>G74+1</f>
        <v>1</v>
      </c>
      <c r="H86">
        <v>32</v>
      </c>
      <c r="I86">
        <v>1</v>
      </c>
      <c r="J86">
        <f t="shared" si="62"/>
        <v>0.1</v>
      </c>
      <c r="K86" s="1">
        <f t="shared" si="63"/>
        <v>16000</v>
      </c>
      <c r="L86">
        <f>L74</f>
        <v>155000000</v>
      </c>
      <c r="M86" s="2">
        <f t="shared" si="64"/>
        <v>1.032258064516129E-4</v>
      </c>
    </row>
    <row r="87" spans="1:13">
      <c r="A87">
        <f t="shared" si="78"/>
        <v>2</v>
      </c>
      <c r="B87">
        <f t="shared" ref="B87:E87" si="92">B75</f>
        <v>2</v>
      </c>
      <c r="C87" t="str">
        <f t="shared" si="92"/>
        <v>P</v>
      </c>
      <c r="D87">
        <f t="shared" si="92"/>
        <v>1</v>
      </c>
      <c r="E87" t="str">
        <f t="shared" si="92"/>
        <v>P1</v>
      </c>
      <c r="F87">
        <f t="shared" ref="B87:G87" si="93">F18</f>
        <v>2</v>
      </c>
      <c r="G87">
        <f t="shared" ref="G87:G150" si="94">G75+1</f>
        <v>1</v>
      </c>
      <c r="H87">
        <v>19</v>
      </c>
      <c r="I87">
        <v>1</v>
      </c>
      <c r="J87">
        <f t="shared" si="62"/>
        <v>0.1</v>
      </c>
      <c r="K87" s="1">
        <f t="shared" si="63"/>
        <v>9500</v>
      </c>
      <c r="L87">
        <f t="shared" ref="L87:L145" si="95">L75</f>
        <v>244999999.99999997</v>
      </c>
      <c r="M87" s="2">
        <f t="shared" si="64"/>
        <v>3.8775510204081641E-5</v>
      </c>
    </row>
    <row r="88" spans="1:13">
      <c r="A88">
        <f t="shared" si="78"/>
        <v>2</v>
      </c>
      <c r="B88">
        <f t="shared" ref="B88:E88" si="96">B76</f>
        <v>3</v>
      </c>
      <c r="C88" t="str">
        <f t="shared" si="96"/>
        <v>P</v>
      </c>
      <c r="D88">
        <f t="shared" si="96"/>
        <v>1</v>
      </c>
      <c r="E88" t="str">
        <f t="shared" si="96"/>
        <v>P1</v>
      </c>
      <c r="F88">
        <f t="shared" ref="B88:G88" si="97">F19</f>
        <v>3</v>
      </c>
      <c r="G88">
        <f t="shared" si="94"/>
        <v>1</v>
      </c>
      <c r="H88">
        <v>13</v>
      </c>
      <c r="I88">
        <v>1</v>
      </c>
      <c r="J88">
        <f t="shared" si="62"/>
        <v>0.1</v>
      </c>
      <c r="K88" s="1">
        <f t="shared" si="63"/>
        <v>6500</v>
      </c>
      <c r="L88">
        <f t="shared" si="95"/>
        <v>244999999.99999997</v>
      </c>
      <c r="M88" s="2">
        <f t="shared" si="64"/>
        <v>2.6530612244897963E-5</v>
      </c>
    </row>
    <row r="89" spans="1:13">
      <c r="A89">
        <f t="shared" si="78"/>
        <v>2</v>
      </c>
      <c r="B89">
        <f t="shared" ref="B89:E89" si="98">B77</f>
        <v>4</v>
      </c>
      <c r="C89" t="str">
        <f t="shared" si="98"/>
        <v>PC</v>
      </c>
      <c r="D89">
        <f t="shared" si="98"/>
        <v>1</v>
      </c>
      <c r="E89" t="str">
        <f t="shared" si="98"/>
        <v>PC4</v>
      </c>
      <c r="F89">
        <f t="shared" ref="B89:G89" si="99">F20</f>
        <v>1</v>
      </c>
      <c r="G89">
        <f t="shared" si="94"/>
        <v>1</v>
      </c>
      <c r="H89">
        <v>21</v>
      </c>
      <c r="I89">
        <v>5</v>
      </c>
      <c r="J89">
        <f t="shared" si="62"/>
        <v>1.0000000000000001E-5</v>
      </c>
      <c r="K89" s="1">
        <f t="shared" si="63"/>
        <v>104999999.99999999</v>
      </c>
      <c r="L89">
        <f t="shared" si="95"/>
        <v>124999999.99999999</v>
      </c>
      <c r="M89" s="2">
        <f t="shared" si="64"/>
        <v>0.84</v>
      </c>
    </row>
    <row r="90" spans="1:13">
      <c r="A90">
        <f t="shared" si="78"/>
        <v>2</v>
      </c>
      <c r="B90">
        <f t="shared" ref="B90:E90" si="100">B78</f>
        <v>5</v>
      </c>
      <c r="C90" t="str">
        <f t="shared" si="100"/>
        <v>PC</v>
      </c>
      <c r="D90">
        <f t="shared" si="100"/>
        <v>1</v>
      </c>
      <c r="E90" t="str">
        <f t="shared" si="100"/>
        <v>PC4</v>
      </c>
      <c r="F90">
        <f t="shared" ref="B90:G90" si="101">F21</f>
        <v>2</v>
      </c>
      <c r="G90">
        <f t="shared" si="94"/>
        <v>1</v>
      </c>
      <c r="H90">
        <v>12</v>
      </c>
      <c r="I90">
        <v>5</v>
      </c>
      <c r="J90">
        <f t="shared" si="62"/>
        <v>1.0000000000000001E-5</v>
      </c>
      <c r="K90" s="1">
        <f t="shared" si="63"/>
        <v>59999999.999999993</v>
      </c>
      <c r="L90">
        <f t="shared" si="95"/>
        <v>189999999.99999997</v>
      </c>
      <c r="M90" s="2">
        <f t="shared" si="64"/>
        <v>0.31578947368421056</v>
      </c>
    </row>
    <row r="91" spans="1:13">
      <c r="A91">
        <f t="shared" si="78"/>
        <v>2</v>
      </c>
      <c r="B91">
        <f t="shared" ref="B91:E91" si="102">B79</f>
        <v>6</v>
      </c>
      <c r="C91" t="str">
        <f t="shared" si="102"/>
        <v>PC</v>
      </c>
      <c r="D91">
        <f t="shared" si="102"/>
        <v>1</v>
      </c>
      <c r="E91" t="str">
        <f t="shared" si="102"/>
        <v>PC4</v>
      </c>
      <c r="F91">
        <f t="shared" ref="B91:G91" si="103">F22</f>
        <v>3</v>
      </c>
      <c r="G91">
        <f t="shared" si="94"/>
        <v>1</v>
      </c>
      <c r="H91">
        <v>15</v>
      </c>
      <c r="I91">
        <v>5</v>
      </c>
      <c r="J91">
        <f t="shared" si="62"/>
        <v>1.0000000000000001E-5</v>
      </c>
      <c r="K91" s="1">
        <f t="shared" si="63"/>
        <v>75000000</v>
      </c>
      <c r="L91">
        <f t="shared" si="95"/>
        <v>140000000</v>
      </c>
      <c r="M91" s="2">
        <f t="shared" si="64"/>
        <v>0.5357142857142857</v>
      </c>
    </row>
    <row r="92" spans="1:13">
      <c r="A92">
        <f t="shared" si="78"/>
        <v>2</v>
      </c>
      <c r="B92">
        <f t="shared" ref="B92:E92" si="104">B80</f>
        <v>7</v>
      </c>
      <c r="C92" t="str">
        <f t="shared" si="104"/>
        <v>PC</v>
      </c>
      <c r="D92">
        <f t="shared" si="104"/>
        <v>2</v>
      </c>
      <c r="E92" t="str">
        <f t="shared" si="104"/>
        <v>PC5</v>
      </c>
      <c r="F92">
        <f t="shared" ref="B92:G92" si="105">F23</f>
        <v>1</v>
      </c>
      <c r="G92">
        <f t="shared" si="94"/>
        <v>1</v>
      </c>
      <c r="H92">
        <v>40</v>
      </c>
      <c r="I92">
        <v>4</v>
      </c>
      <c r="J92">
        <f t="shared" si="62"/>
        <v>1E-4</v>
      </c>
      <c r="K92" s="1">
        <f t="shared" si="63"/>
        <v>19999999.999999996</v>
      </c>
      <c r="L92">
        <f t="shared" si="95"/>
        <v>174999999.99999997</v>
      </c>
      <c r="M92" s="2">
        <f t="shared" si="64"/>
        <v>0.11428571428571428</v>
      </c>
    </row>
    <row r="93" spans="1:13">
      <c r="A93">
        <f t="shared" si="78"/>
        <v>2</v>
      </c>
      <c r="B93">
        <f t="shared" ref="B93:E93" si="106">B81</f>
        <v>8</v>
      </c>
      <c r="C93" t="str">
        <f t="shared" si="106"/>
        <v>PC</v>
      </c>
      <c r="D93">
        <f t="shared" si="106"/>
        <v>2</v>
      </c>
      <c r="E93" t="str">
        <f t="shared" si="106"/>
        <v>PC5</v>
      </c>
      <c r="F93">
        <f t="shared" ref="B93:G93" si="107">F24</f>
        <v>2</v>
      </c>
      <c r="G93">
        <f t="shared" si="94"/>
        <v>1</v>
      </c>
      <c r="H93">
        <v>45</v>
      </c>
      <c r="I93">
        <v>4</v>
      </c>
      <c r="J93">
        <f t="shared" si="62"/>
        <v>1E-4</v>
      </c>
      <c r="K93" s="1">
        <f t="shared" si="63"/>
        <v>22499999.999999996</v>
      </c>
      <c r="L93">
        <f t="shared" si="95"/>
        <v>209999999.99999997</v>
      </c>
      <c r="M93" s="2">
        <f t="shared" si="64"/>
        <v>0.10714285714285714</v>
      </c>
    </row>
    <row r="94" spans="1:13">
      <c r="A94">
        <f t="shared" si="78"/>
        <v>2</v>
      </c>
      <c r="B94">
        <f t="shared" ref="B94:E94" si="108">B82</f>
        <v>9</v>
      </c>
      <c r="C94" t="str">
        <f t="shared" si="108"/>
        <v>PC</v>
      </c>
      <c r="D94">
        <f t="shared" si="108"/>
        <v>2</v>
      </c>
      <c r="E94" t="str">
        <f t="shared" si="108"/>
        <v>PC5</v>
      </c>
      <c r="F94">
        <f t="shared" ref="B94:G94" si="109">F25</f>
        <v>3</v>
      </c>
      <c r="G94">
        <f t="shared" si="94"/>
        <v>1</v>
      </c>
      <c r="H94">
        <v>52</v>
      </c>
      <c r="I94">
        <v>4</v>
      </c>
      <c r="J94">
        <f t="shared" si="62"/>
        <v>1E-4</v>
      </c>
      <c r="K94" s="1">
        <f t="shared" si="63"/>
        <v>25999999.999999996</v>
      </c>
      <c r="L94">
        <f t="shared" si="95"/>
        <v>174999999.99999997</v>
      </c>
      <c r="M94" s="2">
        <f t="shared" si="64"/>
        <v>0.14857142857142858</v>
      </c>
    </row>
    <row r="95" spans="1:13">
      <c r="A95">
        <f t="shared" si="78"/>
        <v>2</v>
      </c>
      <c r="B95">
        <f t="shared" ref="B95:E95" si="110">B83</f>
        <v>10</v>
      </c>
      <c r="C95" t="str">
        <f t="shared" si="110"/>
        <v>PC</v>
      </c>
      <c r="D95">
        <f t="shared" si="110"/>
        <v>3</v>
      </c>
      <c r="E95" t="str">
        <f t="shared" si="110"/>
        <v>PC6</v>
      </c>
      <c r="F95">
        <f t="shared" ref="B95:G95" si="111">F26</f>
        <v>1</v>
      </c>
      <c r="G95">
        <f t="shared" si="94"/>
        <v>1</v>
      </c>
      <c r="H95">
        <v>65</v>
      </c>
      <c r="I95">
        <v>4</v>
      </c>
      <c r="J95">
        <f t="shared" si="62"/>
        <v>1E-4</v>
      </c>
      <c r="K95" s="1">
        <f t="shared" si="63"/>
        <v>32499999.999999996</v>
      </c>
      <c r="L95">
        <f t="shared" si="95"/>
        <v>224999999.99999997</v>
      </c>
      <c r="M95" s="2">
        <f t="shared" si="64"/>
        <v>0.14444444444444446</v>
      </c>
    </row>
    <row r="96" spans="1:13">
      <c r="A96">
        <f t="shared" si="78"/>
        <v>2</v>
      </c>
      <c r="B96">
        <f t="shared" ref="B96:E96" si="112">B84</f>
        <v>11</v>
      </c>
      <c r="C96" t="str">
        <f t="shared" si="112"/>
        <v>PC</v>
      </c>
      <c r="D96">
        <f t="shared" si="112"/>
        <v>3</v>
      </c>
      <c r="E96" t="str">
        <f t="shared" si="112"/>
        <v>PC6</v>
      </c>
      <c r="F96">
        <f t="shared" ref="B96:G96" si="113">F27</f>
        <v>2</v>
      </c>
      <c r="G96">
        <f t="shared" si="94"/>
        <v>1</v>
      </c>
      <c r="H96">
        <v>56</v>
      </c>
      <c r="I96">
        <v>4</v>
      </c>
      <c r="J96">
        <f t="shared" si="62"/>
        <v>1E-4</v>
      </c>
      <c r="K96" s="1">
        <f t="shared" si="63"/>
        <v>27999999.999999996</v>
      </c>
      <c r="L96">
        <f t="shared" si="95"/>
        <v>150000000</v>
      </c>
      <c r="M96" s="2">
        <f t="shared" si="64"/>
        <v>0.18666666666666665</v>
      </c>
    </row>
    <row r="97" spans="1:13">
      <c r="A97">
        <f t="shared" si="78"/>
        <v>2</v>
      </c>
      <c r="B97">
        <f t="shared" ref="B97:E97" si="114">B85</f>
        <v>12</v>
      </c>
      <c r="C97" t="str">
        <f t="shared" si="114"/>
        <v>PC</v>
      </c>
      <c r="D97">
        <f t="shared" si="114"/>
        <v>3</v>
      </c>
      <c r="E97" t="str">
        <f t="shared" si="114"/>
        <v>PC6</v>
      </c>
      <c r="F97">
        <f t="shared" ref="B97:G97" si="115">F28</f>
        <v>3</v>
      </c>
      <c r="G97">
        <f t="shared" si="94"/>
        <v>1</v>
      </c>
      <c r="H97">
        <v>59</v>
      </c>
      <c r="I97">
        <v>4</v>
      </c>
      <c r="J97">
        <f t="shared" si="62"/>
        <v>1E-4</v>
      </c>
      <c r="K97" s="1">
        <f t="shared" si="63"/>
        <v>29499999.999999996</v>
      </c>
      <c r="L97">
        <f t="shared" si="95"/>
        <v>135000000</v>
      </c>
      <c r="M97" s="2">
        <f t="shared" si="64"/>
        <v>0.2185185185185185</v>
      </c>
    </row>
    <row r="98" spans="1:13">
      <c r="A98">
        <f t="shared" si="78"/>
        <v>2</v>
      </c>
      <c r="B98">
        <f t="shared" ref="B98:E98" si="116">B86</f>
        <v>1</v>
      </c>
      <c r="C98" t="str">
        <f t="shared" si="116"/>
        <v>P</v>
      </c>
      <c r="D98">
        <f t="shared" si="116"/>
        <v>1</v>
      </c>
      <c r="E98" t="str">
        <f t="shared" si="116"/>
        <v>P1</v>
      </c>
      <c r="F98">
        <f t="shared" ref="B98:G98" si="117">F29</f>
        <v>1</v>
      </c>
      <c r="G98">
        <f t="shared" si="94"/>
        <v>2</v>
      </c>
      <c r="H98">
        <v>3</v>
      </c>
      <c r="I98">
        <v>0</v>
      </c>
      <c r="J98">
        <f t="shared" si="62"/>
        <v>1</v>
      </c>
      <c r="K98" s="1">
        <f t="shared" si="63"/>
        <v>150</v>
      </c>
      <c r="L98">
        <f t="shared" si="95"/>
        <v>155000000</v>
      </c>
      <c r="M98" s="2">
        <f t="shared" si="64"/>
        <v>9.67741935483871E-7</v>
      </c>
    </row>
    <row r="99" spans="1:13">
      <c r="A99">
        <f t="shared" si="78"/>
        <v>2</v>
      </c>
      <c r="B99">
        <f t="shared" ref="B99:E99" si="118">B87</f>
        <v>2</v>
      </c>
      <c r="C99" t="str">
        <f t="shared" si="118"/>
        <v>P</v>
      </c>
      <c r="D99">
        <f t="shared" si="118"/>
        <v>1</v>
      </c>
      <c r="E99" t="str">
        <f t="shared" si="118"/>
        <v>P1</v>
      </c>
      <c r="F99">
        <f t="shared" ref="B99:G99" si="119">F30</f>
        <v>2</v>
      </c>
      <c r="G99">
        <f t="shared" si="94"/>
        <v>2</v>
      </c>
      <c r="H99">
        <v>8</v>
      </c>
      <c r="I99">
        <v>0</v>
      </c>
      <c r="J99">
        <f t="shared" si="62"/>
        <v>1</v>
      </c>
      <c r="K99" s="1">
        <f t="shared" si="63"/>
        <v>400</v>
      </c>
      <c r="L99">
        <f t="shared" si="95"/>
        <v>244999999.99999997</v>
      </c>
      <c r="M99" s="2">
        <f t="shared" si="64"/>
        <v>1.6326530612244899E-6</v>
      </c>
    </row>
    <row r="100" spans="1:13">
      <c r="A100">
        <f t="shared" si="78"/>
        <v>2</v>
      </c>
      <c r="B100">
        <f t="shared" ref="B100:E100" si="120">B88</f>
        <v>3</v>
      </c>
      <c r="C100" t="str">
        <f t="shared" si="120"/>
        <v>P</v>
      </c>
      <c r="D100">
        <f t="shared" si="120"/>
        <v>1</v>
      </c>
      <c r="E100" t="str">
        <f t="shared" si="120"/>
        <v>P1</v>
      </c>
      <c r="F100">
        <f t="shared" ref="B100:G100" si="121">F31</f>
        <v>3</v>
      </c>
      <c r="G100">
        <f t="shared" si="94"/>
        <v>2</v>
      </c>
      <c r="H100">
        <v>7</v>
      </c>
      <c r="I100">
        <v>0</v>
      </c>
      <c r="J100">
        <f t="shared" si="62"/>
        <v>1</v>
      </c>
      <c r="K100" s="1">
        <f t="shared" si="63"/>
        <v>350</v>
      </c>
      <c r="L100">
        <f t="shared" si="95"/>
        <v>244999999.99999997</v>
      </c>
      <c r="M100" s="2">
        <f t="shared" si="64"/>
        <v>1.4285714285714288E-6</v>
      </c>
    </row>
    <row r="101" spans="1:13">
      <c r="A101">
        <f t="shared" si="78"/>
        <v>2</v>
      </c>
      <c r="B101">
        <f t="shared" ref="B101:E101" si="122">B89</f>
        <v>4</v>
      </c>
      <c r="C101" t="str">
        <f t="shared" si="122"/>
        <v>PC</v>
      </c>
      <c r="D101">
        <f t="shared" si="122"/>
        <v>1</v>
      </c>
      <c r="E101" t="str">
        <f t="shared" si="122"/>
        <v>PC4</v>
      </c>
      <c r="F101">
        <f t="shared" ref="B101:G101" si="123">F32</f>
        <v>1</v>
      </c>
      <c r="G101">
        <f t="shared" si="94"/>
        <v>2</v>
      </c>
      <c r="H101">
        <v>10</v>
      </c>
      <c r="I101">
        <v>5</v>
      </c>
      <c r="J101">
        <f t="shared" si="62"/>
        <v>1.0000000000000001E-5</v>
      </c>
      <c r="K101" s="1">
        <f t="shared" si="63"/>
        <v>49999999.999999993</v>
      </c>
      <c r="L101">
        <f t="shared" si="95"/>
        <v>124999999.99999999</v>
      </c>
      <c r="M101" s="2">
        <f t="shared" si="64"/>
        <v>0.39999999999999997</v>
      </c>
    </row>
    <row r="102" spans="1:13">
      <c r="A102">
        <f t="shared" si="78"/>
        <v>2</v>
      </c>
      <c r="B102">
        <f t="shared" ref="B102:E102" si="124">B90</f>
        <v>5</v>
      </c>
      <c r="C102" t="str">
        <f t="shared" si="124"/>
        <v>PC</v>
      </c>
      <c r="D102">
        <f t="shared" si="124"/>
        <v>1</v>
      </c>
      <c r="E102" t="str">
        <f t="shared" si="124"/>
        <v>PC4</v>
      </c>
      <c r="F102">
        <f t="shared" ref="B102:G102" si="125">F33</f>
        <v>2</v>
      </c>
      <c r="G102">
        <f t="shared" si="94"/>
        <v>2</v>
      </c>
      <c r="H102">
        <v>11</v>
      </c>
      <c r="I102">
        <v>5</v>
      </c>
      <c r="J102">
        <f t="shared" si="62"/>
        <v>1.0000000000000001E-5</v>
      </c>
      <c r="K102" s="1">
        <f t="shared" si="63"/>
        <v>54999999.999999993</v>
      </c>
      <c r="L102">
        <f t="shared" si="95"/>
        <v>189999999.99999997</v>
      </c>
      <c r="M102" s="2">
        <f t="shared" si="64"/>
        <v>0.28947368421052633</v>
      </c>
    </row>
    <row r="103" spans="1:13">
      <c r="A103">
        <f t="shared" si="78"/>
        <v>2</v>
      </c>
      <c r="B103">
        <f t="shared" ref="B103:E103" si="126">B91</f>
        <v>6</v>
      </c>
      <c r="C103" t="str">
        <f t="shared" si="126"/>
        <v>PC</v>
      </c>
      <c r="D103">
        <f t="shared" si="126"/>
        <v>1</v>
      </c>
      <c r="E103" t="str">
        <f t="shared" si="126"/>
        <v>PC4</v>
      </c>
      <c r="F103">
        <f t="shared" ref="B103:G103" si="127">F34</f>
        <v>3</v>
      </c>
      <c r="G103">
        <f t="shared" si="94"/>
        <v>2</v>
      </c>
      <c r="H103">
        <v>8</v>
      </c>
      <c r="I103">
        <v>5</v>
      </c>
      <c r="J103">
        <f t="shared" si="62"/>
        <v>1.0000000000000001E-5</v>
      </c>
      <c r="K103" s="1">
        <f t="shared" si="63"/>
        <v>40000000</v>
      </c>
      <c r="L103">
        <f t="shared" si="95"/>
        <v>140000000</v>
      </c>
      <c r="M103" s="2">
        <f t="shared" si="64"/>
        <v>0.2857142857142857</v>
      </c>
    </row>
    <row r="104" spans="1:13">
      <c r="A104">
        <f t="shared" si="78"/>
        <v>2</v>
      </c>
      <c r="B104">
        <f t="shared" ref="B104:E104" si="128">B92</f>
        <v>7</v>
      </c>
      <c r="C104" t="str">
        <f t="shared" si="128"/>
        <v>PC</v>
      </c>
      <c r="D104">
        <f t="shared" si="128"/>
        <v>2</v>
      </c>
      <c r="E104" t="str">
        <f t="shared" si="128"/>
        <v>PC5</v>
      </c>
      <c r="F104">
        <f t="shared" ref="B104:G104" si="129">F35</f>
        <v>1</v>
      </c>
      <c r="G104">
        <f t="shared" si="94"/>
        <v>2</v>
      </c>
      <c r="H104">
        <v>15</v>
      </c>
      <c r="I104">
        <v>4</v>
      </c>
      <c r="J104">
        <f t="shared" si="62"/>
        <v>1E-4</v>
      </c>
      <c r="K104" s="1">
        <f t="shared" si="63"/>
        <v>7499999.9999999991</v>
      </c>
      <c r="L104">
        <f t="shared" si="95"/>
        <v>174999999.99999997</v>
      </c>
      <c r="M104" s="2">
        <f t="shared" si="64"/>
        <v>4.2857142857142858E-2</v>
      </c>
    </row>
    <row r="105" spans="1:13">
      <c r="A105">
        <f t="shared" si="78"/>
        <v>2</v>
      </c>
      <c r="B105">
        <f t="shared" ref="B105:E105" si="130">B93</f>
        <v>8</v>
      </c>
      <c r="C105" t="str">
        <f t="shared" si="130"/>
        <v>PC</v>
      </c>
      <c r="D105">
        <f t="shared" si="130"/>
        <v>2</v>
      </c>
      <c r="E105" t="str">
        <f t="shared" si="130"/>
        <v>PC5</v>
      </c>
      <c r="F105">
        <f t="shared" ref="B105:G105" si="131">F36</f>
        <v>2</v>
      </c>
      <c r="G105">
        <f t="shared" si="94"/>
        <v>2</v>
      </c>
      <c r="H105">
        <v>11</v>
      </c>
      <c r="I105">
        <v>4</v>
      </c>
      <c r="J105">
        <f t="shared" si="62"/>
        <v>1E-4</v>
      </c>
      <c r="K105" s="1">
        <f t="shared" si="63"/>
        <v>5499999.9999999991</v>
      </c>
      <c r="L105">
        <f t="shared" si="95"/>
        <v>209999999.99999997</v>
      </c>
      <c r="M105" s="2">
        <f t="shared" si="64"/>
        <v>2.6190476190476191E-2</v>
      </c>
    </row>
    <row r="106" spans="1:13">
      <c r="A106">
        <f t="shared" si="78"/>
        <v>2</v>
      </c>
      <c r="B106">
        <f t="shared" ref="B106:E106" si="132">B94</f>
        <v>9</v>
      </c>
      <c r="C106" t="str">
        <f t="shared" si="132"/>
        <v>PC</v>
      </c>
      <c r="D106">
        <f t="shared" si="132"/>
        <v>2</v>
      </c>
      <c r="E106" t="str">
        <f t="shared" si="132"/>
        <v>PC5</v>
      </c>
      <c r="F106">
        <f t="shared" ref="B106:G106" si="133">F37</f>
        <v>3</v>
      </c>
      <c r="G106">
        <f t="shared" si="94"/>
        <v>2</v>
      </c>
      <c r="H106">
        <v>16</v>
      </c>
      <c r="I106">
        <v>4</v>
      </c>
      <c r="J106">
        <f t="shared" si="62"/>
        <v>1E-4</v>
      </c>
      <c r="K106" s="1">
        <f t="shared" si="63"/>
        <v>7999999.9999999991</v>
      </c>
      <c r="L106">
        <f t="shared" si="95"/>
        <v>174999999.99999997</v>
      </c>
      <c r="M106" s="2">
        <f t="shared" si="64"/>
        <v>4.5714285714285714E-2</v>
      </c>
    </row>
    <row r="107" spans="1:13">
      <c r="A107">
        <f t="shared" si="78"/>
        <v>2</v>
      </c>
      <c r="B107">
        <f t="shared" ref="B107:E107" si="134">B95</f>
        <v>10</v>
      </c>
      <c r="C107" t="str">
        <f t="shared" si="134"/>
        <v>PC</v>
      </c>
      <c r="D107">
        <f t="shared" si="134"/>
        <v>3</v>
      </c>
      <c r="E107" t="str">
        <f t="shared" si="134"/>
        <v>PC6</v>
      </c>
      <c r="F107">
        <f t="shared" ref="B107:G107" si="135">F38</f>
        <v>1</v>
      </c>
      <c r="G107">
        <f t="shared" si="94"/>
        <v>2</v>
      </c>
      <c r="H107">
        <v>42</v>
      </c>
      <c r="I107">
        <v>4</v>
      </c>
      <c r="J107">
        <f t="shared" si="62"/>
        <v>1E-4</v>
      </c>
      <c r="K107" s="1">
        <f t="shared" si="63"/>
        <v>20999999.999999996</v>
      </c>
      <c r="L107">
        <f t="shared" si="95"/>
        <v>224999999.99999997</v>
      </c>
      <c r="M107" s="2">
        <f t="shared" si="64"/>
        <v>9.3333333333333324E-2</v>
      </c>
    </row>
    <row r="108" spans="1:13">
      <c r="A108">
        <f t="shared" si="78"/>
        <v>2</v>
      </c>
      <c r="B108">
        <f t="shared" ref="B108:E108" si="136">B96</f>
        <v>11</v>
      </c>
      <c r="C108" t="str">
        <f t="shared" si="136"/>
        <v>PC</v>
      </c>
      <c r="D108">
        <f t="shared" si="136"/>
        <v>3</v>
      </c>
      <c r="E108" t="str">
        <f t="shared" si="136"/>
        <v>PC6</v>
      </c>
      <c r="F108">
        <f t="shared" ref="B108:G108" si="137">F39</f>
        <v>2</v>
      </c>
      <c r="G108">
        <f t="shared" si="94"/>
        <v>2</v>
      </c>
      <c r="H108">
        <v>38</v>
      </c>
      <c r="I108">
        <v>4</v>
      </c>
      <c r="J108">
        <f t="shared" si="62"/>
        <v>1E-4</v>
      </c>
      <c r="K108" s="1">
        <f t="shared" si="63"/>
        <v>18999999.999999996</v>
      </c>
      <c r="L108">
        <f t="shared" si="95"/>
        <v>150000000</v>
      </c>
      <c r="M108" s="2">
        <f t="shared" si="64"/>
        <v>0.12666666666666665</v>
      </c>
    </row>
    <row r="109" spans="1:13">
      <c r="A109">
        <f t="shared" si="78"/>
        <v>2</v>
      </c>
      <c r="B109">
        <f t="shared" ref="B109:E109" si="138">B97</f>
        <v>12</v>
      </c>
      <c r="C109" t="str">
        <f t="shared" si="138"/>
        <v>PC</v>
      </c>
      <c r="D109">
        <f t="shared" si="138"/>
        <v>3</v>
      </c>
      <c r="E109" t="str">
        <f t="shared" si="138"/>
        <v>PC6</v>
      </c>
      <c r="F109">
        <f t="shared" ref="B109:G109" si="139">F40</f>
        <v>3</v>
      </c>
      <c r="G109">
        <f t="shared" si="94"/>
        <v>2</v>
      </c>
      <c r="H109">
        <v>41</v>
      </c>
      <c r="I109">
        <v>4</v>
      </c>
      <c r="J109">
        <f t="shared" si="62"/>
        <v>1E-4</v>
      </c>
      <c r="K109" s="1">
        <f t="shared" si="63"/>
        <v>20499999.999999996</v>
      </c>
      <c r="L109">
        <f t="shared" si="95"/>
        <v>135000000</v>
      </c>
      <c r="M109" s="2">
        <f t="shared" si="64"/>
        <v>0.15185185185185182</v>
      </c>
    </row>
    <row r="110" spans="1:13">
      <c r="A110">
        <f t="shared" si="78"/>
        <v>2</v>
      </c>
      <c r="B110">
        <f t="shared" ref="B110:E110" si="140">B98</f>
        <v>1</v>
      </c>
      <c r="C110" t="str">
        <f t="shared" si="140"/>
        <v>P</v>
      </c>
      <c r="D110">
        <f t="shared" si="140"/>
        <v>1</v>
      </c>
      <c r="E110" t="str">
        <f t="shared" si="140"/>
        <v>P1</v>
      </c>
      <c r="F110">
        <f t="shared" ref="B110:G110" si="141">F41</f>
        <v>1</v>
      </c>
      <c r="G110">
        <f t="shared" si="94"/>
        <v>3</v>
      </c>
      <c r="H110">
        <v>27</v>
      </c>
      <c r="I110">
        <v>-1</v>
      </c>
      <c r="J110">
        <f t="shared" si="62"/>
        <v>10</v>
      </c>
      <c r="K110" s="1">
        <f t="shared" si="63"/>
        <v>135</v>
      </c>
      <c r="L110">
        <f t="shared" si="95"/>
        <v>155000000</v>
      </c>
      <c r="M110" s="2">
        <f t="shared" si="64"/>
        <v>8.7096774193548392E-7</v>
      </c>
    </row>
    <row r="111" spans="1:13">
      <c r="A111">
        <f t="shared" si="78"/>
        <v>2</v>
      </c>
      <c r="B111">
        <f t="shared" ref="B111:E111" si="142">B99</f>
        <v>2</v>
      </c>
      <c r="C111" t="str">
        <f t="shared" si="142"/>
        <v>P</v>
      </c>
      <c r="D111">
        <f t="shared" si="142"/>
        <v>1</v>
      </c>
      <c r="E111" t="str">
        <f t="shared" si="142"/>
        <v>P1</v>
      </c>
      <c r="F111">
        <f t="shared" ref="B111:G111" si="143">F42</f>
        <v>2</v>
      </c>
      <c r="G111">
        <f t="shared" si="94"/>
        <v>3</v>
      </c>
      <c r="H111">
        <v>18</v>
      </c>
      <c r="I111">
        <v>-1</v>
      </c>
      <c r="J111">
        <f t="shared" si="62"/>
        <v>10</v>
      </c>
      <c r="K111" s="1">
        <f t="shared" si="63"/>
        <v>90</v>
      </c>
      <c r="L111">
        <f t="shared" si="95"/>
        <v>244999999.99999997</v>
      </c>
      <c r="M111" s="2">
        <f t="shared" si="64"/>
        <v>3.6734693877551025E-7</v>
      </c>
    </row>
    <row r="112" spans="1:13">
      <c r="A112">
        <f t="shared" si="78"/>
        <v>2</v>
      </c>
      <c r="B112">
        <f t="shared" ref="B112:E112" si="144">B100</f>
        <v>3</v>
      </c>
      <c r="C112" t="str">
        <f t="shared" si="144"/>
        <v>P</v>
      </c>
      <c r="D112">
        <f t="shared" si="144"/>
        <v>1</v>
      </c>
      <c r="E112" t="str">
        <f t="shared" si="144"/>
        <v>P1</v>
      </c>
      <c r="F112">
        <f t="shared" ref="B112:G112" si="145">F43</f>
        <v>3</v>
      </c>
      <c r="G112">
        <f t="shared" si="94"/>
        <v>3</v>
      </c>
      <c r="H112">
        <v>17</v>
      </c>
      <c r="I112">
        <v>-1</v>
      </c>
      <c r="J112">
        <f t="shared" si="62"/>
        <v>10</v>
      </c>
      <c r="K112" s="1">
        <f t="shared" si="63"/>
        <v>85</v>
      </c>
      <c r="L112">
        <f t="shared" si="95"/>
        <v>244999999.99999997</v>
      </c>
      <c r="M112" s="2">
        <f t="shared" si="64"/>
        <v>3.4693877551020411E-7</v>
      </c>
    </row>
    <row r="113" spans="1:13">
      <c r="A113">
        <f t="shared" si="78"/>
        <v>2</v>
      </c>
      <c r="B113">
        <f t="shared" ref="B113:E113" si="146">B101</f>
        <v>4</v>
      </c>
      <c r="C113" t="str">
        <f t="shared" si="146"/>
        <v>PC</v>
      </c>
      <c r="D113">
        <f t="shared" si="146"/>
        <v>1</v>
      </c>
      <c r="E113" t="str">
        <f t="shared" si="146"/>
        <v>PC4</v>
      </c>
      <c r="F113">
        <f t="shared" ref="B113:G113" si="147">F44</f>
        <v>1</v>
      </c>
      <c r="G113">
        <f t="shared" si="94"/>
        <v>3</v>
      </c>
      <c r="H113">
        <v>44</v>
      </c>
      <c r="I113">
        <v>4</v>
      </c>
      <c r="J113">
        <f t="shared" si="62"/>
        <v>1E-4</v>
      </c>
      <c r="K113" s="1">
        <f t="shared" si="63"/>
        <v>21999999.999999996</v>
      </c>
      <c r="L113">
        <f t="shared" si="95"/>
        <v>124999999.99999999</v>
      </c>
      <c r="M113" s="2">
        <f t="shared" si="64"/>
        <v>0.17599999999999999</v>
      </c>
    </row>
    <row r="114" spans="1:13">
      <c r="A114">
        <f t="shared" si="78"/>
        <v>2</v>
      </c>
      <c r="B114">
        <f t="shared" ref="B114:E114" si="148">B102</f>
        <v>5</v>
      </c>
      <c r="C114" t="str">
        <f t="shared" si="148"/>
        <v>PC</v>
      </c>
      <c r="D114">
        <f t="shared" si="148"/>
        <v>1</v>
      </c>
      <c r="E114" t="str">
        <f t="shared" si="148"/>
        <v>PC4</v>
      </c>
      <c r="F114">
        <f t="shared" ref="B114:G114" si="149">F45</f>
        <v>2</v>
      </c>
      <c r="G114">
        <f t="shared" si="94"/>
        <v>3</v>
      </c>
      <c r="H114">
        <v>8</v>
      </c>
      <c r="I114">
        <v>4</v>
      </c>
      <c r="J114">
        <f t="shared" si="62"/>
        <v>1E-4</v>
      </c>
      <c r="K114" s="1">
        <f t="shared" si="63"/>
        <v>3999999.9999999995</v>
      </c>
      <c r="L114">
        <f t="shared" si="95"/>
        <v>189999999.99999997</v>
      </c>
      <c r="M114" s="2">
        <f t="shared" si="64"/>
        <v>2.1052631578947368E-2</v>
      </c>
    </row>
    <row r="115" spans="1:13">
      <c r="A115">
        <f t="shared" si="78"/>
        <v>2</v>
      </c>
      <c r="B115">
        <f t="shared" ref="B115:E115" si="150">B103</f>
        <v>6</v>
      </c>
      <c r="C115" t="str">
        <f t="shared" si="150"/>
        <v>PC</v>
      </c>
      <c r="D115">
        <f t="shared" si="150"/>
        <v>1</v>
      </c>
      <c r="E115" t="str">
        <f t="shared" si="150"/>
        <v>PC4</v>
      </c>
      <c r="F115">
        <f t="shared" ref="B115:G115" si="151">F46</f>
        <v>3</v>
      </c>
      <c r="G115">
        <f t="shared" si="94"/>
        <v>3</v>
      </c>
      <c r="H115">
        <v>31</v>
      </c>
      <c r="I115">
        <v>4</v>
      </c>
      <c r="J115">
        <f t="shared" si="62"/>
        <v>1E-4</v>
      </c>
      <c r="K115" s="1">
        <f t="shared" si="63"/>
        <v>15499999.999999998</v>
      </c>
      <c r="L115">
        <f t="shared" si="95"/>
        <v>140000000</v>
      </c>
      <c r="M115" s="2">
        <f t="shared" si="64"/>
        <v>0.1107142857142857</v>
      </c>
    </row>
    <row r="116" spans="1:13">
      <c r="A116">
        <f t="shared" si="78"/>
        <v>2</v>
      </c>
      <c r="B116">
        <f t="shared" ref="B116:E116" si="152">B104</f>
        <v>7</v>
      </c>
      <c r="C116" t="str">
        <f t="shared" si="152"/>
        <v>PC</v>
      </c>
      <c r="D116">
        <f t="shared" si="152"/>
        <v>2</v>
      </c>
      <c r="E116" t="str">
        <f t="shared" si="152"/>
        <v>PC5</v>
      </c>
      <c r="F116">
        <f t="shared" ref="B116:G116" si="153">F47</f>
        <v>1</v>
      </c>
      <c r="G116">
        <f t="shared" si="94"/>
        <v>3</v>
      </c>
      <c r="H116">
        <v>37</v>
      </c>
      <c r="I116">
        <v>3</v>
      </c>
      <c r="J116">
        <f t="shared" si="62"/>
        <v>1E-3</v>
      </c>
      <c r="K116" s="1">
        <f t="shared" si="63"/>
        <v>1849999.9999999998</v>
      </c>
      <c r="L116">
        <f t="shared" si="95"/>
        <v>174999999.99999997</v>
      </c>
      <c r="M116" s="2">
        <f t="shared" si="64"/>
        <v>1.0571428571428572E-2</v>
      </c>
    </row>
    <row r="117" spans="1:13">
      <c r="A117">
        <f t="shared" si="78"/>
        <v>2</v>
      </c>
      <c r="B117">
        <f t="shared" ref="B117:E117" si="154">B105</f>
        <v>8</v>
      </c>
      <c r="C117" t="str">
        <f t="shared" si="154"/>
        <v>PC</v>
      </c>
      <c r="D117">
        <f t="shared" si="154"/>
        <v>2</v>
      </c>
      <c r="E117" t="str">
        <f t="shared" si="154"/>
        <v>PC5</v>
      </c>
      <c r="F117">
        <f t="shared" ref="B117:G117" si="155">F48</f>
        <v>2</v>
      </c>
      <c r="G117">
        <f t="shared" si="94"/>
        <v>3</v>
      </c>
      <c r="H117">
        <v>24</v>
      </c>
      <c r="I117">
        <v>3</v>
      </c>
      <c r="J117">
        <f t="shared" si="62"/>
        <v>1E-3</v>
      </c>
      <c r="K117" s="1">
        <f t="shared" si="63"/>
        <v>1200000</v>
      </c>
      <c r="L117">
        <f t="shared" si="95"/>
        <v>209999999.99999997</v>
      </c>
      <c r="M117" s="2">
        <f t="shared" si="64"/>
        <v>5.7142857142857151E-3</v>
      </c>
    </row>
    <row r="118" spans="1:13">
      <c r="A118">
        <f t="shared" si="78"/>
        <v>2</v>
      </c>
      <c r="B118">
        <f t="shared" ref="B118:E118" si="156">B106</f>
        <v>9</v>
      </c>
      <c r="C118" t="str">
        <f t="shared" si="156"/>
        <v>PC</v>
      </c>
      <c r="D118">
        <f t="shared" si="156"/>
        <v>2</v>
      </c>
      <c r="E118" t="str">
        <f t="shared" si="156"/>
        <v>PC5</v>
      </c>
      <c r="F118">
        <f t="shared" ref="B118:G118" si="157">F49</f>
        <v>3</v>
      </c>
      <c r="G118">
        <f t="shared" si="94"/>
        <v>3</v>
      </c>
      <c r="H118">
        <v>35</v>
      </c>
      <c r="I118">
        <v>3</v>
      </c>
      <c r="J118">
        <f t="shared" si="62"/>
        <v>1E-3</v>
      </c>
      <c r="K118" s="1">
        <f t="shared" si="63"/>
        <v>1749999.9999999998</v>
      </c>
      <c r="L118">
        <f t="shared" si="95"/>
        <v>174999999.99999997</v>
      </c>
      <c r="M118" s="2">
        <f t="shared" si="64"/>
        <v>0.01</v>
      </c>
    </row>
    <row r="119" spans="1:13">
      <c r="A119">
        <f t="shared" si="78"/>
        <v>2</v>
      </c>
      <c r="B119">
        <f t="shared" ref="B119:E119" si="158">B107</f>
        <v>10</v>
      </c>
      <c r="C119" t="str">
        <f t="shared" si="158"/>
        <v>PC</v>
      </c>
      <c r="D119">
        <f t="shared" si="158"/>
        <v>3</v>
      </c>
      <c r="E119" t="str">
        <f t="shared" si="158"/>
        <v>PC6</v>
      </c>
      <c r="F119">
        <f t="shared" ref="B119:G119" si="159">F50</f>
        <v>1</v>
      </c>
      <c r="G119">
        <f t="shared" si="94"/>
        <v>3</v>
      </c>
      <c r="H119">
        <v>24</v>
      </c>
      <c r="I119">
        <v>4</v>
      </c>
      <c r="J119">
        <f t="shared" si="62"/>
        <v>1E-4</v>
      </c>
      <c r="K119" s="1">
        <f t="shared" si="63"/>
        <v>11999999.999999998</v>
      </c>
      <c r="L119">
        <f t="shared" si="95"/>
        <v>224999999.99999997</v>
      </c>
      <c r="M119" s="2">
        <f t="shared" si="64"/>
        <v>5.333333333333333E-2</v>
      </c>
    </row>
    <row r="120" spans="1:13">
      <c r="A120">
        <f t="shared" si="78"/>
        <v>2</v>
      </c>
      <c r="B120">
        <f t="shared" ref="B120:E120" si="160">B108</f>
        <v>11</v>
      </c>
      <c r="C120" t="str">
        <f t="shared" si="160"/>
        <v>PC</v>
      </c>
      <c r="D120">
        <f t="shared" si="160"/>
        <v>3</v>
      </c>
      <c r="E120" t="str">
        <f t="shared" si="160"/>
        <v>PC6</v>
      </c>
      <c r="F120">
        <f t="shared" ref="B120:G120" si="161">F51</f>
        <v>2</v>
      </c>
      <c r="G120">
        <f t="shared" si="94"/>
        <v>3</v>
      </c>
      <c r="H120">
        <v>8</v>
      </c>
      <c r="I120">
        <v>4</v>
      </c>
      <c r="J120">
        <f t="shared" si="62"/>
        <v>1E-4</v>
      </c>
      <c r="K120" s="1">
        <f t="shared" si="63"/>
        <v>3999999.9999999995</v>
      </c>
      <c r="L120">
        <f t="shared" si="95"/>
        <v>150000000</v>
      </c>
      <c r="M120" s="2">
        <f t="shared" si="64"/>
        <v>2.6666666666666665E-2</v>
      </c>
    </row>
    <row r="121" spans="1:13">
      <c r="A121">
        <f t="shared" si="78"/>
        <v>2</v>
      </c>
      <c r="B121">
        <f t="shared" ref="B121:E121" si="162">B109</f>
        <v>12</v>
      </c>
      <c r="C121" t="str">
        <f t="shared" si="162"/>
        <v>PC</v>
      </c>
      <c r="D121">
        <f t="shared" si="162"/>
        <v>3</v>
      </c>
      <c r="E121" t="str">
        <f t="shared" si="162"/>
        <v>PC6</v>
      </c>
      <c r="F121">
        <f t="shared" ref="B121:G121" si="163">F52</f>
        <v>3</v>
      </c>
      <c r="G121">
        <f t="shared" si="94"/>
        <v>3</v>
      </c>
      <c r="H121">
        <v>17</v>
      </c>
      <c r="I121">
        <v>4</v>
      </c>
      <c r="J121">
        <f t="shared" si="62"/>
        <v>1E-4</v>
      </c>
      <c r="K121" s="1">
        <f t="shared" si="63"/>
        <v>8499999.9999999981</v>
      </c>
      <c r="L121">
        <f t="shared" si="95"/>
        <v>135000000</v>
      </c>
      <c r="M121" s="2">
        <f t="shared" si="64"/>
        <v>6.2962962962962943E-2</v>
      </c>
    </row>
    <row r="122" spans="1:13">
      <c r="A122">
        <f t="shared" si="78"/>
        <v>2</v>
      </c>
      <c r="B122">
        <f t="shared" ref="B122:E122" si="164">B110</f>
        <v>1</v>
      </c>
      <c r="C122" t="str">
        <f t="shared" si="164"/>
        <v>P</v>
      </c>
      <c r="D122">
        <f t="shared" si="164"/>
        <v>1</v>
      </c>
      <c r="E122" t="str">
        <f t="shared" si="164"/>
        <v>P1</v>
      </c>
      <c r="F122">
        <f t="shared" ref="B122:G122" si="165">F53</f>
        <v>1</v>
      </c>
      <c r="G122">
        <v>5</v>
      </c>
      <c r="H122">
        <v>2</v>
      </c>
      <c r="I122">
        <v>-1</v>
      </c>
      <c r="J122">
        <f t="shared" si="62"/>
        <v>10</v>
      </c>
      <c r="K122" s="1">
        <f t="shared" si="63"/>
        <v>10</v>
      </c>
      <c r="L122">
        <f t="shared" si="95"/>
        <v>155000000</v>
      </c>
      <c r="M122" s="2">
        <f t="shared" si="64"/>
        <v>6.451612903225807E-8</v>
      </c>
    </row>
    <row r="123" spans="1:13">
      <c r="A123">
        <f>A54+1</f>
        <v>2</v>
      </c>
      <c r="B123">
        <f t="shared" ref="B123:E123" si="166">B111</f>
        <v>2</v>
      </c>
      <c r="C123" t="str">
        <f t="shared" si="166"/>
        <v>P</v>
      </c>
      <c r="D123">
        <f t="shared" si="166"/>
        <v>1</v>
      </c>
      <c r="E123" t="str">
        <f t="shared" si="166"/>
        <v>P1</v>
      </c>
      <c r="F123">
        <f t="shared" ref="C123:G123" si="167">F54</f>
        <v>2</v>
      </c>
      <c r="G123">
        <v>5</v>
      </c>
      <c r="H123">
        <v>2</v>
      </c>
      <c r="I123">
        <v>-1</v>
      </c>
      <c r="J123">
        <f t="shared" si="62"/>
        <v>10</v>
      </c>
      <c r="K123" s="1">
        <f t="shared" si="63"/>
        <v>10</v>
      </c>
      <c r="L123">
        <f t="shared" si="95"/>
        <v>244999999.99999997</v>
      </c>
      <c r="M123" s="2">
        <f t="shared" si="64"/>
        <v>4.0816326530612247E-8</v>
      </c>
    </row>
    <row r="124" spans="1:13">
      <c r="A124">
        <f t="shared" si="78"/>
        <v>2</v>
      </c>
      <c r="B124">
        <f t="shared" ref="B124:E124" si="168">B112</f>
        <v>3</v>
      </c>
      <c r="C124" t="str">
        <f t="shared" si="168"/>
        <v>P</v>
      </c>
      <c r="D124">
        <f t="shared" si="168"/>
        <v>1</v>
      </c>
      <c r="E124" t="str">
        <f t="shared" si="168"/>
        <v>P1</v>
      </c>
      <c r="F124">
        <f t="shared" ref="B124:G124" si="169">F55</f>
        <v>3</v>
      </c>
      <c r="G124">
        <v>5</v>
      </c>
      <c r="H124">
        <v>2</v>
      </c>
      <c r="I124">
        <v>-1</v>
      </c>
      <c r="J124">
        <f t="shared" si="62"/>
        <v>10</v>
      </c>
      <c r="K124" s="1">
        <f t="shared" si="63"/>
        <v>10</v>
      </c>
      <c r="L124">
        <f t="shared" si="95"/>
        <v>244999999.99999997</v>
      </c>
      <c r="M124" s="2">
        <f t="shared" si="64"/>
        <v>4.0816326530612247E-8</v>
      </c>
    </row>
    <row r="125" spans="1:13">
      <c r="A125">
        <f t="shared" si="78"/>
        <v>2</v>
      </c>
      <c r="B125">
        <f t="shared" ref="B125:E125" si="170">B113</f>
        <v>4</v>
      </c>
      <c r="C125" t="str">
        <f t="shared" si="170"/>
        <v>PC</v>
      </c>
      <c r="D125">
        <f t="shared" si="170"/>
        <v>1</v>
      </c>
      <c r="E125" t="str">
        <f t="shared" si="170"/>
        <v>PC4</v>
      </c>
      <c r="F125">
        <f t="shared" ref="B125:G125" si="171">F56</f>
        <v>1</v>
      </c>
      <c r="G125">
        <v>5</v>
      </c>
      <c r="H125">
        <v>29</v>
      </c>
      <c r="I125">
        <v>4</v>
      </c>
      <c r="J125">
        <f t="shared" si="62"/>
        <v>1E-4</v>
      </c>
      <c r="K125" s="1">
        <f t="shared" si="63"/>
        <v>14499999.999999998</v>
      </c>
      <c r="L125">
        <f t="shared" si="95"/>
        <v>124999999.99999999</v>
      </c>
      <c r="M125" s="2">
        <f t="shared" si="64"/>
        <v>0.11599999999999999</v>
      </c>
    </row>
    <row r="126" spans="1:13">
      <c r="A126">
        <f t="shared" si="78"/>
        <v>2</v>
      </c>
      <c r="B126">
        <f t="shared" ref="B126:E126" si="172">B114</f>
        <v>5</v>
      </c>
      <c r="C126" t="str">
        <f t="shared" si="172"/>
        <v>PC</v>
      </c>
      <c r="D126">
        <f t="shared" si="172"/>
        <v>1</v>
      </c>
      <c r="E126" t="str">
        <f t="shared" si="172"/>
        <v>PC4</v>
      </c>
      <c r="F126">
        <f t="shared" ref="B126:G126" si="173">F57</f>
        <v>2</v>
      </c>
      <c r="G126">
        <v>5</v>
      </c>
      <c r="H126">
        <v>29</v>
      </c>
      <c r="I126">
        <v>4</v>
      </c>
      <c r="J126">
        <f t="shared" si="62"/>
        <v>1E-4</v>
      </c>
      <c r="K126" s="1">
        <f t="shared" si="63"/>
        <v>14499999.999999998</v>
      </c>
      <c r="L126">
        <f t="shared" si="95"/>
        <v>189999999.99999997</v>
      </c>
      <c r="M126" s="2">
        <f t="shared" si="64"/>
        <v>7.6315789473684212E-2</v>
      </c>
    </row>
    <row r="127" spans="1:13">
      <c r="A127">
        <f t="shared" si="78"/>
        <v>2</v>
      </c>
      <c r="B127">
        <f t="shared" ref="B127:E127" si="174">B115</f>
        <v>6</v>
      </c>
      <c r="C127" t="str">
        <f t="shared" si="174"/>
        <v>PC</v>
      </c>
      <c r="D127">
        <f t="shared" si="174"/>
        <v>1</v>
      </c>
      <c r="E127" t="str">
        <f t="shared" si="174"/>
        <v>PC4</v>
      </c>
      <c r="F127">
        <f t="shared" ref="B127:G127" si="175">F58</f>
        <v>3</v>
      </c>
      <c r="G127">
        <v>5</v>
      </c>
      <c r="H127">
        <v>18</v>
      </c>
      <c r="I127">
        <v>4</v>
      </c>
      <c r="J127">
        <f t="shared" si="62"/>
        <v>1E-4</v>
      </c>
      <c r="K127" s="1">
        <f t="shared" si="63"/>
        <v>8999999.9999999981</v>
      </c>
      <c r="L127">
        <f t="shared" si="95"/>
        <v>140000000</v>
      </c>
      <c r="M127" s="2">
        <f t="shared" si="64"/>
        <v>6.4285714285714265E-2</v>
      </c>
    </row>
    <row r="128" spans="1:13">
      <c r="A128">
        <f t="shared" si="78"/>
        <v>2</v>
      </c>
      <c r="B128">
        <f t="shared" ref="B128:E128" si="176">B116</f>
        <v>7</v>
      </c>
      <c r="C128" t="str">
        <f t="shared" si="176"/>
        <v>PC</v>
      </c>
      <c r="D128">
        <f t="shared" si="176"/>
        <v>2</v>
      </c>
      <c r="E128" t="str">
        <f t="shared" si="176"/>
        <v>PC5</v>
      </c>
      <c r="F128">
        <f t="shared" ref="B128:G128" si="177">F59</f>
        <v>1</v>
      </c>
      <c r="G128">
        <v>5</v>
      </c>
      <c r="H128">
        <v>16</v>
      </c>
      <c r="I128">
        <v>3</v>
      </c>
      <c r="J128">
        <f t="shared" si="62"/>
        <v>1E-3</v>
      </c>
      <c r="K128" s="1">
        <f t="shared" si="63"/>
        <v>799999.99999999988</v>
      </c>
      <c r="L128">
        <f t="shared" si="95"/>
        <v>174999999.99999997</v>
      </c>
      <c r="M128" s="2">
        <f t="shared" si="64"/>
        <v>4.5714285714285718E-3</v>
      </c>
    </row>
    <row r="129" spans="1:13">
      <c r="A129">
        <f t="shared" si="78"/>
        <v>2</v>
      </c>
      <c r="B129">
        <f t="shared" ref="B129:E129" si="178">B117</f>
        <v>8</v>
      </c>
      <c r="C129" t="str">
        <f t="shared" si="178"/>
        <v>PC</v>
      </c>
      <c r="D129">
        <f t="shared" si="178"/>
        <v>2</v>
      </c>
      <c r="E129" t="str">
        <f t="shared" si="178"/>
        <v>PC5</v>
      </c>
      <c r="F129">
        <f t="shared" ref="B129:G129" si="179">F60</f>
        <v>2</v>
      </c>
      <c r="G129">
        <v>5</v>
      </c>
      <c r="H129">
        <v>12</v>
      </c>
      <c r="I129">
        <v>3</v>
      </c>
      <c r="J129">
        <f t="shared" si="62"/>
        <v>1E-3</v>
      </c>
      <c r="K129" s="1">
        <f t="shared" si="63"/>
        <v>600000</v>
      </c>
      <c r="L129">
        <f t="shared" si="95"/>
        <v>209999999.99999997</v>
      </c>
      <c r="M129" s="2">
        <f t="shared" si="64"/>
        <v>2.8571428571428576E-3</v>
      </c>
    </row>
    <row r="130" spans="1:13">
      <c r="A130">
        <f t="shared" si="78"/>
        <v>2</v>
      </c>
      <c r="B130">
        <f t="shared" ref="B130:E130" si="180">B118</f>
        <v>9</v>
      </c>
      <c r="C130" t="str">
        <f t="shared" si="180"/>
        <v>PC</v>
      </c>
      <c r="D130">
        <f t="shared" si="180"/>
        <v>2</v>
      </c>
      <c r="E130" t="str">
        <f t="shared" si="180"/>
        <v>PC5</v>
      </c>
      <c r="F130">
        <f t="shared" ref="B130:G130" si="181">F61</f>
        <v>3</v>
      </c>
      <c r="G130">
        <v>5</v>
      </c>
      <c r="H130">
        <v>14</v>
      </c>
      <c r="I130">
        <v>3</v>
      </c>
      <c r="J130">
        <f t="shared" si="62"/>
        <v>1E-3</v>
      </c>
      <c r="K130" s="1">
        <f t="shared" si="63"/>
        <v>700000</v>
      </c>
      <c r="L130">
        <f t="shared" si="95"/>
        <v>174999999.99999997</v>
      </c>
      <c r="M130" s="2">
        <f t="shared" si="64"/>
        <v>4.000000000000001E-3</v>
      </c>
    </row>
    <row r="131" spans="1:13">
      <c r="A131">
        <f t="shared" si="78"/>
        <v>2</v>
      </c>
      <c r="B131">
        <f t="shared" ref="B131:E131" si="182">B119</f>
        <v>10</v>
      </c>
      <c r="C131" t="str">
        <f t="shared" si="182"/>
        <v>PC</v>
      </c>
      <c r="D131">
        <f t="shared" si="182"/>
        <v>3</v>
      </c>
      <c r="E131" t="str">
        <f t="shared" si="182"/>
        <v>PC6</v>
      </c>
      <c r="F131">
        <f t="shared" ref="B131:G131" si="183">F62</f>
        <v>1</v>
      </c>
      <c r="G131">
        <v>5</v>
      </c>
      <c r="H131">
        <v>48</v>
      </c>
      <c r="I131">
        <v>3</v>
      </c>
      <c r="J131">
        <f t="shared" ref="J131:J194" si="184">1/10^I131</f>
        <v>1E-3</v>
      </c>
      <c r="K131" s="1">
        <f t="shared" ref="K131:K194" si="185">H131/(J131*0.02)</f>
        <v>2400000</v>
      </c>
      <c r="L131">
        <f t="shared" si="95"/>
        <v>224999999.99999997</v>
      </c>
      <c r="M131" s="2">
        <f t="shared" ref="M131:M194" si="186">K131/L131</f>
        <v>1.0666666666666668E-2</v>
      </c>
    </row>
    <row r="132" spans="1:13">
      <c r="A132">
        <f t="shared" si="78"/>
        <v>2</v>
      </c>
      <c r="B132">
        <f t="shared" ref="B132:E132" si="187">B120</f>
        <v>11</v>
      </c>
      <c r="C132" t="str">
        <f t="shared" si="187"/>
        <v>PC</v>
      </c>
      <c r="D132">
        <f t="shared" si="187"/>
        <v>3</v>
      </c>
      <c r="E132" t="str">
        <f t="shared" si="187"/>
        <v>PC6</v>
      </c>
      <c r="F132">
        <f t="shared" ref="B132:G132" si="188">F63</f>
        <v>2</v>
      </c>
      <c r="G132">
        <v>5</v>
      </c>
      <c r="H132">
        <v>50</v>
      </c>
      <c r="I132">
        <v>3</v>
      </c>
      <c r="J132">
        <f t="shared" si="184"/>
        <v>1E-3</v>
      </c>
      <c r="K132" s="1">
        <f t="shared" si="185"/>
        <v>2500000</v>
      </c>
      <c r="L132">
        <f t="shared" si="95"/>
        <v>150000000</v>
      </c>
      <c r="M132" s="2">
        <f t="shared" si="186"/>
        <v>1.6666666666666666E-2</v>
      </c>
    </row>
    <row r="133" spans="1:13">
      <c r="A133">
        <f t="shared" si="78"/>
        <v>2</v>
      </c>
      <c r="B133">
        <f t="shared" ref="B133:E133" si="189">B121</f>
        <v>12</v>
      </c>
      <c r="C133" t="str">
        <f t="shared" si="189"/>
        <v>PC</v>
      </c>
      <c r="D133">
        <f t="shared" si="189"/>
        <v>3</v>
      </c>
      <c r="E133" t="str">
        <f t="shared" si="189"/>
        <v>PC6</v>
      </c>
      <c r="F133">
        <f t="shared" ref="B133:G133" si="190">F64</f>
        <v>3</v>
      </c>
      <c r="G133">
        <v>5</v>
      </c>
      <c r="H133">
        <v>54</v>
      </c>
      <c r="I133">
        <v>3</v>
      </c>
      <c r="J133">
        <f t="shared" si="184"/>
        <v>1E-3</v>
      </c>
      <c r="K133" s="1">
        <f t="shared" si="185"/>
        <v>2700000</v>
      </c>
      <c r="L133">
        <f t="shared" si="95"/>
        <v>135000000</v>
      </c>
      <c r="M133" s="2">
        <f t="shared" si="186"/>
        <v>0.02</v>
      </c>
    </row>
    <row r="134" spans="1:13">
      <c r="A134">
        <f t="shared" si="78"/>
        <v>2</v>
      </c>
      <c r="B134">
        <f t="shared" ref="B134:E134" si="191">B122</f>
        <v>1</v>
      </c>
      <c r="C134" t="str">
        <f t="shared" si="191"/>
        <v>P</v>
      </c>
      <c r="D134">
        <f t="shared" si="191"/>
        <v>1</v>
      </c>
      <c r="E134" t="str">
        <f t="shared" si="191"/>
        <v>P1</v>
      </c>
      <c r="F134">
        <f t="shared" ref="B134:G134" si="192">F65</f>
        <v>1</v>
      </c>
      <c r="G134">
        <v>7</v>
      </c>
      <c r="H134">
        <v>2</v>
      </c>
      <c r="I134">
        <v>-1</v>
      </c>
      <c r="J134">
        <f t="shared" si="184"/>
        <v>10</v>
      </c>
      <c r="K134" s="1">
        <f t="shared" si="185"/>
        <v>10</v>
      </c>
      <c r="L134">
        <f t="shared" si="95"/>
        <v>155000000</v>
      </c>
      <c r="M134" s="2">
        <f t="shared" si="186"/>
        <v>6.451612903225807E-8</v>
      </c>
    </row>
    <row r="135" spans="1:13">
      <c r="A135">
        <f t="shared" si="78"/>
        <v>2</v>
      </c>
      <c r="B135">
        <f t="shared" ref="B135:E135" si="193">B123</f>
        <v>2</v>
      </c>
      <c r="C135" t="str">
        <f t="shared" si="193"/>
        <v>P</v>
      </c>
      <c r="D135">
        <f t="shared" si="193"/>
        <v>1</v>
      </c>
      <c r="E135" t="str">
        <f t="shared" si="193"/>
        <v>P1</v>
      </c>
      <c r="F135">
        <f t="shared" ref="B135:G135" si="194">F66</f>
        <v>2</v>
      </c>
      <c r="G135">
        <v>7</v>
      </c>
      <c r="H135">
        <v>1</v>
      </c>
      <c r="I135">
        <v>-1</v>
      </c>
      <c r="J135">
        <f t="shared" si="184"/>
        <v>10</v>
      </c>
      <c r="K135" s="1">
        <f t="shared" si="185"/>
        <v>5</v>
      </c>
      <c r="L135">
        <f t="shared" si="95"/>
        <v>244999999.99999997</v>
      </c>
      <c r="M135" s="2">
        <f t="shared" si="186"/>
        <v>2.0408163265306123E-8</v>
      </c>
    </row>
    <row r="136" spans="1:13">
      <c r="A136">
        <f>A67+1</f>
        <v>2</v>
      </c>
      <c r="B136">
        <f t="shared" ref="B136:E136" si="195">B124</f>
        <v>3</v>
      </c>
      <c r="C136" t="str">
        <f t="shared" si="195"/>
        <v>P</v>
      </c>
      <c r="D136">
        <f t="shared" si="195"/>
        <v>1</v>
      </c>
      <c r="E136" t="str">
        <f t="shared" si="195"/>
        <v>P1</v>
      </c>
      <c r="F136">
        <f t="shared" ref="C136:G136" si="196">F67</f>
        <v>3</v>
      </c>
      <c r="G136">
        <v>7</v>
      </c>
      <c r="H136">
        <v>3</v>
      </c>
      <c r="I136">
        <v>-1</v>
      </c>
      <c r="J136">
        <f t="shared" si="184"/>
        <v>10</v>
      </c>
      <c r="K136" s="1">
        <f t="shared" si="185"/>
        <v>15</v>
      </c>
      <c r="L136">
        <f t="shared" si="95"/>
        <v>244999999.99999997</v>
      </c>
      <c r="M136" s="2">
        <f t="shared" si="186"/>
        <v>6.122448979591838E-8</v>
      </c>
    </row>
    <row r="137" spans="1:13">
      <c r="A137">
        <f t="shared" si="78"/>
        <v>2</v>
      </c>
      <c r="B137">
        <f t="shared" ref="B137:E137" si="197">B125</f>
        <v>4</v>
      </c>
      <c r="C137" t="str">
        <f t="shared" si="197"/>
        <v>PC</v>
      </c>
      <c r="D137">
        <f t="shared" si="197"/>
        <v>1</v>
      </c>
      <c r="E137" t="str">
        <f t="shared" si="197"/>
        <v>PC4</v>
      </c>
      <c r="F137">
        <f t="shared" ref="B137:G137" si="198">F68</f>
        <v>1</v>
      </c>
      <c r="G137">
        <v>7</v>
      </c>
      <c r="H137" s="3">
        <v>300</v>
      </c>
      <c r="I137" s="3">
        <v>2</v>
      </c>
      <c r="J137">
        <f t="shared" si="184"/>
        <v>0.01</v>
      </c>
      <c r="K137" s="1">
        <f t="shared" si="185"/>
        <v>1500000</v>
      </c>
      <c r="L137">
        <f t="shared" si="95"/>
        <v>124999999.99999999</v>
      </c>
      <c r="M137" s="2">
        <f t="shared" si="186"/>
        <v>1.2000000000000002E-2</v>
      </c>
    </row>
    <row r="138" spans="1:13">
      <c r="A138">
        <f t="shared" ref="A138:A201" si="199">A69+1</f>
        <v>2</v>
      </c>
      <c r="B138">
        <f t="shared" ref="B138:E138" si="200">B126</f>
        <v>5</v>
      </c>
      <c r="C138" t="str">
        <f t="shared" si="200"/>
        <v>PC</v>
      </c>
      <c r="D138">
        <f t="shared" si="200"/>
        <v>1</v>
      </c>
      <c r="E138" t="str">
        <f t="shared" si="200"/>
        <v>PC4</v>
      </c>
      <c r="F138">
        <f t="shared" ref="B138:G138" si="201">F69</f>
        <v>2</v>
      </c>
      <c r="G138">
        <v>7</v>
      </c>
      <c r="H138" s="3">
        <v>300</v>
      </c>
      <c r="I138" s="3">
        <v>2</v>
      </c>
      <c r="J138">
        <f t="shared" si="184"/>
        <v>0.01</v>
      </c>
      <c r="K138" s="1">
        <f t="shared" si="185"/>
        <v>1500000</v>
      </c>
      <c r="L138">
        <f t="shared" si="95"/>
        <v>189999999.99999997</v>
      </c>
      <c r="M138" s="2">
        <f t="shared" si="186"/>
        <v>7.8947368421052651E-3</v>
      </c>
    </row>
    <row r="139" spans="1:13">
      <c r="A139">
        <f t="shared" si="199"/>
        <v>2</v>
      </c>
      <c r="B139">
        <f t="shared" ref="B139:E139" si="202">B127</f>
        <v>6</v>
      </c>
      <c r="C139" t="str">
        <f t="shared" si="202"/>
        <v>PC</v>
      </c>
      <c r="D139">
        <f t="shared" si="202"/>
        <v>1</v>
      </c>
      <c r="E139" t="str">
        <f t="shared" si="202"/>
        <v>PC4</v>
      </c>
      <c r="F139">
        <f t="shared" ref="B139:G139" si="203">F70</f>
        <v>3</v>
      </c>
      <c r="G139">
        <v>7</v>
      </c>
      <c r="H139" s="3">
        <v>300</v>
      </c>
      <c r="I139" s="3">
        <v>2</v>
      </c>
      <c r="J139">
        <f t="shared" si="184"/>
        <v>0.01</v>
      </c>
      <c r="K139" s="1">
        <f t="shared" si="185"/>
        <v>1500000</v>
      </c>
      <c r="L139">
        <f t="shared" si="95"/>
        <v>140000000</v>
      </c>
      <c r="M139" s="2">
        <f t="shared" si="186"/>
        <v>1.0714285714285714E-2</v>
      </c>
    </row>
    <row r="140" spans="1:13">
      <c r="A140">
        <f t="shared" si="199"/>
        <v>2</v>
      </c>
      <c r="B140">
        <f t="shared" ref="B140:E140" si="204">B128</f>
        <v>7</v>
      </c>
      <c r="C140" t="str">
        <f t="shared" si="204"/>
        <v>PC</v>
      </c>
      <c r="D140">
        <f t="shared" si="204"/>
        <v>2</v>
      </c>
      <c r="E140" t="str">
        <f t="shared" si="204"/>
        <v>PC5</v>
      </c>
      <c r="F140">
        <f t="shared" ref="B140:G140" si="205">F71</f>
        <v>1</v>
      </c>
      <c r="G140">
        <v>7</v>
      </c>
      <c r="H140">
        <v>86</v>
      </c>
      <c r="I140">
        <v>2</v>
      </c>
      <c r="J140">
        <f t="shared" si="184"/>
        <v>0.01</v>
      </c>
      <c r="K140" s="1">
        <f t="shared" si="185"/>
        <v>430000</v>
      </c>
      <c r="L140">
        <f t="shared" si="95"/>
        <v>174999999.99999997</v>
      </c>
      <c r="M140" s="2">
        <f t="shared" si="186"/>
        <v>2.4571428571428574E-3</v>
      </c>
    </row>
    <row r="141" spans="1:13">
      <c r="A141">
        <f t="shared" si="199"/>
        <v>2</v>
      </c>
      <c r="B141">
        <f>B129</f>
        <v>8</v>
      </c>
      <c r="C141" t="str">
        <f>C129</f>
        <v>PC</v>
      </c>
      <c r="D141">
        <f>D129</f>
        <v>2</v>
      </c>
      <c r="E141" t="str">
        <f t="shared" ref="E141:E204" si="206">E129</f>
        <v>PC5</v>
      </c>
      <c r="F141">
        <f t="shared" ref="B141:G141" si="207">F72</f>
        <v>2</v>
      </c>
      <c r="G141">
        <v>7</v>
      </c>
      <c r="H141">
        <v>77</v>
      </c>
      <c r="I141">
        <v>2</v>
      </c>
      <c r="J141">
        <f t="shared" si="184"/>
        <v>0.01</v>
      </c>
      <c r="K141" s="1">
        <f t="shared" si="185"/>
        <v>385000</v>
      </c>
      <c r="L141">
        <f t="shared" si="95"/>
        <v>209999999.99999997</v>
      </c>
      <c r="M141" s="2">
        <f t="shared" si="186"/>
        <v>1.8333333333333335E-3</v>
      </c>
    </row>
    <row r="142" spans="1:13">
      <c r="A142">
        <f t="shared" si="199"/>
        <v>2</v>
      </c>
      <c r="B142">
        <f t="shared" ref="B142:D142" si="208">B130</f>
        <v>9</v>
      </c>
      <c r="C142" t="str">
        <f t="shared" si="208"/>
        <v>PC</v>
      </c>
      <c r="D142">
        <f t="shared" si="208"/>
        <v>2</v>
      </c>
      <c r="E142" t="str">
        <f t="shared" si="206"/>
        <v>PC5</v>
      </c>
      <c r="F142">
        <f t="shared" ref="B142:G142" si="209">F73</f>
        <v>3</v>
      </c>
      <c r="G142">
        <v>7</v>
      </c>
      <c r="H142">
        <v>74</v>
      </c>
      <c r="I142">
        <v>2</v>
      </c>
      <c r="J142">
        <f t="shared" si="184"/>
        <v>0.01</v>
      </c>
      <c r="K142" s="1">
        <f t="shared" si="185"/>
        <v>370000</v>
      </c>
      <c r="L142">
        <f t="shared" si="95"/>
        <v>174999999.99999997</v>
      </c>
      <c r="M142" s="2">
        <f t="shared" si="186"/>
        <v>2.1142857142857148E-3</v>
      </c>
    </row>
    <row r="143" spans="1:13">
      <c r="A143">
        <v>2</v>
      </c>
      <c r="B143">
        <f t="shared" ref="B143:D143" si="210">B131</f>
        <v>10</v>
      </c>
      <c r="C143" t="str">
        <f t="shared" si="210"/>
        <v>PC</v>
      </c>
      <c r="D143">
        <f t="shared" si="210"/>
        <v>3</v>
      </c>
      <c r="E143" t="str">
        <f t="shared" si="206"/>
        <v>PC6</v>
      </c>
      <c r="F143">
        <f t="shared" ref="B143:G143" si="211">F74</f>
        <v>1</v>
      </c>
      <c r="G143">
        <v>7</v>
      </c>
      <c r="H143">
        <v>160</v>
      </c>
      <c r="I143">
        <v>2</v>
      </c>
      <c r="J143">
        <f t="shared" si="184"/>
        <v>0.01</v>
      </c>
      <c r="K143" s="1">
        <f t="shared" si="185"/>
        <v>800000</v>
      </c>
      <c r="L143">
        <f t="shared" si="95"/>
        <v>224999999.99999997</v>
      </c>
      <c r="M143" s="2">
        <f t="shared" si="186"/>
        <v>3.5555555555555562E-3</v>
      </c>
    </row>
    <row r="144" spans="1:13">
      <c r="A144">
        <v>2</v>
      </c>
      <c r="B144">
        <f t="shared" ref="B144:D144" si="212">B132</f>
        <v>11</v>
      </c>
      <c r="C144" t="str">
        <f t="shared" si="212"/>
        <v>PC</v>
      </c>
      <c r="D144">
        <f t="shared" si="212"/>
        <v>3</v>
      </c>
      <c r="E144" t="str">
        <f t="shared" si="206"/>
        <v>PC6</v>
      </c>
      <c r="F144">
        <f t="shared" ref="F134:F145" si="213">F141</f>
        <v>2</v>
      </c>
      <c r="G144">
        <v>7</v>
      </c>
      <c r="H144">
        <v>168</v>
      </c>
      <c r="I144">
        <v>2</v>
      </c>
      <c r="J144">
        <f t="shared" si="184"/>
        <v>0.01</v>
      </c>
      <c r="K144" s="1">
        <f t="shared" si="185"/>
        <v>840000</v>
      </c>
      <c r="L144">
        <f t="shared" si="95"/>
        <v>150000000</v>
      </c>
      <c r="M144" s="2">
        <f t="shared" si="186"/>
        <v>5.5999999999999999E-3</v>
      </c>
    </row>
    <row r="145" spans="1:13">
      <c r="A145">
        <v>2</v>
      </c>
      <c r="B145">
        <f t="shared" ref="B145:D145" si="214">B133</f>
        <v>12</v>
      </c>
      <c r="C145" t="str">
        <f t="shared" si="214"/>
        <v>PC</v>
      </c>
      <c r="D145">
        <f t="shared" si="214"/>
        <v>3</v>
      </c>
      <c r="E145" t="str">
        <f t="shared" si="206"/>
        <v>PC6</v>
      </c>
      <c r="F145">
        <f t="shared" si="213"/>
        <v>3</v>
      </c>
      <c r="G145">
        <v>7</v>
      </c>
      <c r="H145">
        <v>172</v>
      </c>
      <c r="I145">
        <v>2</v>
      </c>
      <c r="J145">
        <f t="shared" si="184"/>
        <v>0.01</v>
      </c>
      <c r="K145" s="1">
        <f t="shared" si="185"/>
        <v>860000</v>
      </c>
      <c r="L145">
        <f t="shared" si="95"/>
        <v>135000000</v>
      </c>
      <c r="M145" s="2">
        <f t="shared" si="186"/>
        <v>6.37037037037037E-3</v>
      </c>
    </row>
    <row r="146" spans="1:13">
      <c r="A146">
        <v>3</v>
      </c>
      <c r="B146">
        <v>1</v>
      </c>
      <c r="C146" t="s">
        <v>13</v>
      </c>
      <c r="D146">
        <v>1</v>
      </c>
      <c r="E146" t="str">
        <f t="shared" si="206"/>
        <v>P1</v>
      </c>
      <c r="F146">
        <f>F143</f>
        <v>1</v>
      </c>
      <c r="G146">
        <v>0</v>
      </c>
      <c r="H146">
        <v>39</v>
      </c>
      <c r="I146">
        <v>5</v>
      </c>
      <c r="J146">
        <f t="shared" si="184"/>
        <v>1.0000000000000001E-5</v>
      </c>
      <c r="K146" s="1">
        <f t="shared" si="185"/>
        <v>194999999.99999997</v>
      </c>
      <c r="L146">
        <v>194999999.99999997</v>
      </c>
      <c r="M146" s="2">
        <f t="shared" si="186"/>
        <v>1</v>
      </c>
    </row>
    <row r="147" spans="1:13">
      <c r="A147">
        <v>3</v>
      </c>
      <c r="B147">
        <v>2</v>
      </c>
      <c r="C147" t="s">
        <v>13</v>
      </c>
      <c r="D147">
        <f t="shared" ref="D147:D148" si="215">D114</f>
        <v>1</v>
      </c>
      <c r="E147" t="str">
        <f t="shared" si="206"/>
        <v>P1</v>
      </c>
      <c r="F147">
        <f t="shared" ref="F147:F199" si="216">F144</f>
        <v>2</v>
      </c>
      <c r="G147">
        <v>0</v>
      </c>
      <c r="H147">
        <v>49</v>
      </c>
      <c r="I147">
        <v>5</v>
      </c>
      <c r="J147">
        <f t="shared" si="184"/>
        <v>1.0000000000000001E-5</v>
      </c>
      <c r="K147" s="1">
        <f t="shared" si="185"/>
        <v>244999999.99999997</v>
      </c>
      <c r="L147">
        <v>244999999.99999997</v>
      </c>
      <c r="M147" s="2">
        <f t="shared" si="186"/>
        <v>1</v>
      </c>
    </row>
    <row r="148" spans="1:13">
      <c r="A148">
        <v>3</v>
      </c>
      <c r="B148">
        <v>3</v>
      </c>
      <c r="C148" t="s">
        <v>13</v>
      </c>
      <c r="D148">
        <f t="shared" si="215"/>
        <v>1</v>
      </c>
      <c r="E148" t="str">
        <f t="shared" si="206"/>
        <v>P1</v>
      </c>
      <c r="F148">
        <f t="shared" si="216"/>
        <v>3</v>
      </c>
      <c r="G148">
        <v>0</v>
      </c>
      <c r="H148">
        <v>36</v>
      </c>
      <c r="I148">
        <v>5</v>
      </c>
      <c r="J148">
        <f t="shared" si="184"/>
        <v>1.0000000000000001E-5</v>
      </c>
      <c r="K148" s="1">
        <f t="shared" si="185"/>
        <v>179999999.99999997</v>
      </c>
      <c r="L148">
        <v>179999999.99999997</v>
      </c>
      <c r="M148" s="2">
        <f t="shared" si="186"/>
        <v>1</v>
      </c>
    </row>
    <row r="149" spans="1:13">
      <c r="A149">
        <v>3</v>
      </c>
      <c r="B149">
        <v>4</v>
      </c>
      <c r="C149" t="s">
        <v>15</v>
      </c>
      <c r="D149">
        <v>1</v>
      </c>
      <c r="E149" t="s">
        <v>16</v>
      </c>
      <c r="F149">
        <f t="shared" si="216"/>
        <v>1</v>
      </c>
      <c r="G149">
        <v>0</v>
      </c>
      <c r="H149">
        <v>64</v>
      </c>
      <c r="I149">
        <v>5</v>
      </c>
      <c r="J149">
        <f t="shared" si="184"/>
        <v>1.0000000000000001E-5</v>
      </c>
      <c r="K149" s="1">
        <f t="shared" si="185"/>
        <v>320000000</v>
      </c>
      <c r="L149">
        <v>320000000</v>
      </c>
      <c r="M149" s="2">
        <f t="shared" si="186"/>
        <v>1</v>
      </c>
    </row>
    <row r="150" spans="1:13">
      <c r="A150">
        <v>3</v>
      </c>
      <c r="B150">
        <v>5</v>
      </c>
      <c r="C150" t="s">
        <v>15</v>
      </c>
      <c r="D150">
        <v>1</v>
      </c>
      <c r="E150" t="s">
        <v>16</v>
      </c>
      <c r="F150">
        <f t="shared" si="216"/>
        <v>2</v>
      </c>
      <c r="G150">
        <v>0</v>
      </c>
      <c r="H150">
        <v>57</v>
      </c>
      <c r="I150">
        <v>5</v>
      </c>
      <c r="J150">
        <f t="shared" si="184"/>
        <v>1.0000000000000001E-5</v>
      </c>
      <c r="K150" s="1">
        <f t="shared" si="185"/>
        <v>285000000</v>
      </c>
      <c r="L150">
        <v>285000000</v>
      </c>
      <c r="M150" s="2">
        <f t="shared" si="186"/>
        <v>1</v>
      </c>
    </row>
    <row r="151" spans="1:13">
      <c r="A151">
        <v>3</v>
      </c>
      <c r="B151">
        <v>6</v>
      </c>
      <c r="C151" t="s">
        <v>15</v>
      </c>
      <c r="D151">
        <v>1</v>
      </c>
      <c r="E151" t="s">
        <v>16</v>
      </c>
      <c r="F151">
        <f t="shared" si="216"/>
        <v>3</v>
      </c>
      <c r="G151">
        <v>0</v>
      </c>
      <c r="H151">
        <v>36</v>
      </c>
      <c r="I151">
        <v>5</v>
      </c>
      <c r="J151">
        <f t="shared" si="184"/>
        <v>1.0000000000000001E-5</v>
      </c>
      <c r="K151" s="1">
        <f t="shared" si="185"/>
        <v>179999999.99999997</v>
      </c>
      <c r="L151">
        <v>179999999.99999997</v>
      </c>
      <c r="M151" s="2">
        <f t="shared" si="186"/>
        <v>1</v>
      </c>
    </row>
    <row r="152" spans="1:13">
      <c r="A152">
        <v>3</v>
      </c>
      <c r="B152">
        <v>7</v>
      </c>
      <c r="C152" t="s">
        <v>15</v>
      </c>
      <c r="D152">
        <v>2</v>
      </c>
      <c r="E152" t="s">
        <v>17</v>
      </c>
      <c r="F152">
        <f t="shared" si="216"/>
        <v>1</v>
      </c>
      <c r="G152">
        <v>0</v>
      </c>
      <c r="H152">
        <v>26</v>
      </c>
      <c r="I152">
        <v>5</v>
      </c>
      <c r="J152">
        <f t="shared" si="184"/>
        <v>1.0000000000000001E-5</v>
      </c>
      <c r="K152" s="1">
        <f t="shared" si="185"/>
        <v>129999999.99999999</v>
      </c>
      <c r="L152">
        <v>129999999.99999999</v>
      </c>
      <c r="M152" s="2">
        <f t="shared" si="186"/>
        <v>1</v>
      </c>
    </row>
    <row r="153" spans="1:13">
      <c r="A153">
        <v>3</v>
      </c>
      <c r="B153">
        <v>8</v>
      </c>
      <c r="C153" t="s">
        <v>15</v>
      </c>
      <c r="D153">
        <v>2</v>
      </c>
      <c r="E153" t="s">
        <v>17</v>
      </c>
      <c r="F153">
        <f t="shared" si="216"/>
        <v>2</v>
      </c>
      <c r="G153">
        <v>0</v>
      </c>
      <c r="H153">
        <v>26</v>
      </c>
      <c r="I153">
        <v>5</v>
      </c>
      <c r="J153">
        <f t="shared" si="184"/>
        <v>1.0000000000000001E-5</v>
      </c>
      <c r="K153" s="1">
        <f t="shared" si="185"/>
        <v>129999999.99999999</v>
      </c>
      <c r="L153">
        <v>129999999.99999999</v>
      </c>
      <c r="M153" s="2">
        <f t="shared" si="186"/>
        <v>1</v>
      </c>
    </row>
    <row r="154" spans="1:13">
      <c r="A154">
        <v>3</v>
      </c>
      <c r="B154">
        <v>9</v>
      </c>
      <c r="C154" t="s">
        <v>15</v>
      </c>
      <c r="D154">
        <v>2</v>
      </c>
      <c r="E154" t="s">
        <v>17</v>
      </c>
      <c r="F154">
        <f t="shared" si="216"/>
        <v>3</v>
      </c>
      <c r="G154">
        <v>0</v>
      </c>
      <c r="H154">
        <v>26</v>
      </c>
      <c r="I154">
        <v>5</v>
      </c>
      <c r="J154">
        <f t="shared" si="184"/>
        <v>1.0000000000000001E-5</v>
      </c>
      <c r="K154" s="1">
        <f t="shared" si="185"/>
        <v>129999999.99999999</v>
      </c>
      <c r="L154">
        <v>129999999.99999999</v>
      </c>
      <c r="M154" s="2">
        <f t="shared" si="186"/>
        <v>1</v>
      </c>
    </row>
    <row r="155" spans="1:13">
      <c r="A155">
        <v>3</v>
      </c>
      <c r="B155">
        <v>10</v>
      </c>
      <c r="C155" t="s">
        <v>15</v>
      </c>
      <c r="D155">
        <v>3</v>
      </c>
      <c r="E155" t="s">
        <v>18</v>
      </c>
      <c r="F155">
        <f t="shared" si="216"/>
        <v>1</v>
      </c>
      <c r="G155">
        <v>0</v>
      </c>
      <c r="H155">
        <v>59</v>
      </c>
      <c r="I155">
        <v>5</v>
      </c>
      <c r="J155">
        <f t="shared" si="184"/>
        <v>1.0000000000000001E-5</v>
      </c>
      <c r="K155" s="1">
        <f t="shared" si="185"/>
        <v>295000000</v>
      </c>
      <c r="L155">
        <v>295000000</v>
      </c>
      <c r="M155" s="2">
        <f t="shared" si="186"/>
        <v>1</v>
      </c>
    </row>
    <row r="156" spans="1:13">
      <c r="A156">
        <v>3</v>
      </c>
      <c r="B156">
        <v>11</v>
      </c>
      <c r="C156" t="s">
        <v>15</v>
      </c>
      <c r="D156">
        <v>3</v>
      </c>
      <c r="E156" t="s">
        <v>18</v>
      </c>
      <c r="F156">
        <f t="shared" si="216"/>
        <v>2</v>
      </c>
      <c r="G156">
        <v>0</v>
      </c>
      <c r="H156">
        <v>42</v>
      </c>
      <c r="I156">
        <v>5</v>
      </c>
      <c r="J156">
        <f t="shared" si="184"/>
        <v>1.0000000000000001E-5</v>
      </c>
      <c r="K156" s="1">
        <f t="shared" si="185"/>
        <v>209999999.99999997</v>
      </c>
      <c r="L156">
        <v>209999999.99999997</v>
      </c>
      <c r="M156" s="2">
        <f t="shared" si="186"/>
        <v>1</v>
      </c>
    </row>
    <row r="157" spans="1:13">
      <c r="A157">
        <v>3</v>
      </c>
      <c r="B157">
        <v>12</v>
      </c>
      <c r="C157" t="s">
        <v>15</v>
      </c>
      <c r="D157">
        <v>3</v>
      </c>
      <c r="E157" t="s">
        <v>18</v>
      </c>
      <c r="F157">
        <f t="shared" si="216"/>
        <v>3</v>
      </c>
      <c r="G157">
        <v>0</v>
      </c>
      <c r="H157">
        <v>43</v>
      </c>
      <c r="I157">
        <v>5</v>
      </c>
      <c r="J157">
        <f t="shared" si="184"/>
        <v>1.0000000000000001E-5</v>
      </c>
      <c r="K157" s="1">
        <f t="shared" si="185"/>
        <v>214999999.99999997</v>
      </c>
      <c r="L157">
        <v>214999999.99999997</v>
      </c>
      <c r="M157" s="2">
        <f t="shared" si="186"/>
        <v>1</v>
      </c>
    </row>
    <row r="158" spans="1:13">
      <c r="A158">
        <v>3</v>
      </c>
      <c r="B158">
        <v>13</v>
      </c>
      <c r="C158" t="s">
        <v>15</v>
      </c>
      <c r="D158">
        <v>4</v>
      </c>
      <c r="E158" t="s">
        <v>22</v>
      </c>
      <c r="F158">
        <f t="shared" si="216"/>
        <v>1</v>
      </c>
      <c r="G158">
        <v>0</v>
      </c>
      <c r="H158">
        <v>44</v>
      </c>
      <c r="I158">
        <v>5</v>
      </c>
      <c r="J158">
        <f t="shared" si="184"/>
        <v>1.0000000000000001E-5</v>
      </c>
      <c r="K158" s="1">
        <f t="shared" si="185"/>
        <v>219999999.99999997</v>
      </c>
      <c r="L158">
        <v>219999999.99999997</v>
      </c>
      <c r="M158" s="2">
        <f t="shared" si="186"/>
        <v>1</v>
      </c>
    </row>
    <row r="159" spans="1:13">
      <c r="A159">
        <v>3</v>
      </c>
      <c r="B159">
        <v>14</v>
      </c>
      <c r="C159" t="s">
        <v>15</v>
      </c>
      <c r="D159">
        <v>4</v>
      </c>
      <c r="E159" t="s">
        <v>22</v>
      </c>
      <c r="F159">
        <f t="shared" si="216"/>
        <v>2</v>
      </c>
      <c r="G159">
        <v>0</v>
      </c>
      <c r="H159">
        <v>32</v>
      </c>
      <c r="I159">
        <v>5</v>
      </c>
      <c r="J159">
        <f t="shared" si="184"/>
        <v>1.0000000000000001E-5</v>
      </c>
      <c r="K159" s="1">
        <f t="shared" si="185"/>
        <v>160000000</v>
      </c>
      <c r="L159">
        <v>160000000</v>
      </c>
      <c r="M159" s="2">
        <f t="shared" si="186"/>
        <v>1</v>
      </c>
    </row>
    <row r="160" spans="1:13">
      <c r="A160">
        <v>3</v>
      </c>
      <c r="B160">
        <v>15</v>
      </c>
      <c r="C160" t="s">
        <v>15</v>
      </c>
      <c r="D160">
        <v>4</v>
      </c>
      <c r="E160" t="s">
        <v>22</v>
      </c>
      <c r="F160">
        <f t="shared" si="216"/>
        <v>3</v>
      </c>
      <c r="G160">
        <v>0</v>
      </c>
      <c r="H160">
        <v>26</v>
      </c>
      <c r="I160">
        <v>5</v>
      </c>
      <c r="J160">
        <f t="shared" si="184"/>
        <v>1.0000000000000001E-5</v>
      </c>
      <c r="K160" s="1">
        <f t="shared" si="185"/>
        <v>129999999.99999999</v>
      </c>
      <c r="L160">
        <v>129999999.99999999</v>
      </c>
      <c r="M160" s="2">
        <f t="shared" si="186"/>
        <v>1</v>
      </c>
    </row>
    <row r="161" spans="1:13">
      <c r="A161">
        <v>3</v>
      </c>
      <c r="B161">
        <v>16</v>
      </c>
      <c r="C161" t="s">
        <v>15</v>
      </c>
      <c r="D161">
        <v>5</v>
      </c>
      <c r="E161" t="s">
        <v>23</v>
      </c>
      <c r="F161">
        <f t="shared" si="216"/>
        <v>1</v>
      </c>
      <c r="G161">
        <v>0</v>
      </c>
      <c r="H161">
        <v>40</v>
      </c>
      <c r="I161">
        <v>5</v>
      </c>
      <c r="J161">
        <f t="shared" si="184"/>
        <v>1.0000000000000001E-5</v>
      </c>
      <c r="K161" s="1">
        <f t="shared" si="185"/>
        <v>199999999.99999997</v>
      </c>
      <c r="L161">
        <v>199999999.99999997</v>
      </c>
      <c r="M161" s="2">
        <f t="shared" si="186"/>
        <v>1</v>
      </c>
    </row>
    <row r="162" spans="1:13">
      <c r="A162">
        <v>3</v>
      </c>
      <c r="B162">
        <v>17</v>
      </c>
      <c r="C162" t="s">
        <v>15</v>
      </c>
      <c r="D162">
        <v>5</v>
      </c>
      <c r="E162" t="s">
        <v>23</v>
      </c>
      <c r="F162">
        <f t="shared" si="216"/>
        <v>2</v>
      </c>
      <c r="G162">
        <v>0</v>
      </c>
      <c r="H162">
        <v>39</v>
      </c>
      <c r="I162">
        <v>5</v>
      </c>
      <c r="J162">
        <f t="shared" si="184"/>
        <v>1.0000000000000001E-5</v>
      </c>
      <c r="K162" s="1">
        <f t="shared" si="185"/>
        <v>194999999.99999997</v>
      </c>
      <c r="L162">
        <v>194999999.99999997</v>
      </c>
      <c r="M162" s="2">
        <f t="shared" si="186"/>
        <v>1</v>
      </c>
    </row>
    <row r="163" spans="1:13">
      <c r="A163">
        <v>3</v>
      </c>
      <c r="B163">
        <v>18</v>
      </c>
      <c r="C163" t="s">
        <v>15</v>
      </c>
      <c r="D163">
        <v>5</v>
      </c>
      <c r="E163" t="s">
        <v>23</v>
      </c>
      <c r="F163">
        <f t="shared" si="216"/>
        <v>3</v>
      </c>
      <c r="G163">
        <v>0</v>
      </c>
      <c r="H163">
        <v>33</v>
      </c>
      <c r="I163">
        <v>5</v>
      </c>
      <c r="J163">
        <f t="shared" si="184"/>
        <v>1.0000000000000001E-5</v>
      </c>
      <c r="K163" s="1">
        <f t="shared" si="185"/>
        <v>165000000</v>
      </c>
      <c r="L163">
        <v>165000000</v>
      </c>
      <c r="M163" s="2">
        <f t="shared" si="186"/>
        <v>1</v>
      </c>
    </row>
    <row r="164" spans="1:13">
      <c r="A164">
        <v>3</v>
      </c>
      <c r="B164">
        <v>19</v>
      </c>
      <c r="C164" t="str">
        <f t="shared" ref="C164:G164" si="217">C140</f>
        <v>PC</v>
      </c>
      <c r="D164">
        <v>6</v>
      </c>
      <c r="E164" t="s">
        <v>24</v>
      </c>
      <c r="F164">
        <f t="shared" si="217"/>
        <v>1</v>
      </c>
      <c r="G164">
        <v>0</v>
      </c>
      <c r="H164">
        <v>37</v>
      </c>
      <c r="I164">
        <v>5</v>
      </c>
      <c r="J164">
        <f t="shared" si="184"/>
        <v>1.0000000000000001E-5</v>
      </c>
      <c r="K164" s="1">
        <f t="shared" si="185"/>
        <v>184999999.99999997</v>
      </c>
      <c r="L164">
        <v>184999999.99999997</v>
      </c>
      <c r="M164" s="2">
        <f t="shared" si="186"/>
        <v>1</v>
      </c>
    </row>
    <row r="165" spans="1:13">
      <c r="A165">
        <v>3</v>
      </c>
      <c r="B165">
        <v>20</v>
      </c>
      <c r="C165" t="str">
        <f t="shared" ref="B165:F165" si="218">C141</f>
        <v>PC</v>
      </c>
      <c r="D165">
        <v>6</v>
      </c>
      <c r="E165" t="s">
        <v>24</v>
      </c>
      <c r="F165">
        <f t="shared" si="218"/>
        <v>2</v>
      </c>
      <c r="G165">
        <v>0</v>
      </c>
      <c r="H165">
        <v>40</v>
      </c>
      <c r="I165">
        <v>5</v>
      </c>
      <c r="J165">
        <f t="shared" si="184"/>
        <v>1.0000000000000001E-5</v>
      </c>
      <c r="K165" s="1">
        <f t="shared" si="185"/>
        <v>199999999.99999997</v>
      </c>
      <c r="L165">
        <v>199999999.99999997</v>
      </c>
      <c r="M165" s="2">
        <f t="shared" si="186"/>
        <v>1</v>
      </c>
    </row>
    <row r="166" spans="1:13">
      <c r="A166">
        <v>3</v>
      </c>
      <c r="B166">
        <v>21</v>
      </c>
      <c r="C166" t="str">
        <f t="shared" ref="B166:F166" si="219">C142</f>
        <v>PC</v>
      </c>
      <c r="D166">
        <v>6</v>
      </c>
      <c r="E166" t="s">
        <v>24</v>
      </c>
      <c r="F166">
        <f t="shared" si="219"/>
        <v>3</v>
      </c>
      <c r="G166">
        <v>0</v>
      </c>
      <c r="H166">
        <v>37</v>
      </c>
      <c r="I166">
        <v>5</v>
      </c>
      <c r="J166">
        <f t="shared" si="184"/>
        <v>1.0000000000000001E-5</v>
      </c>
      <c r="K166" s="1">
        <f t="shared" si="185"/>
        <v>184999999.99999997</v>
      </c>
      <c r="L166">
        <v>184999999.99999997</v>
      </c>
      <c r="M166" s="2">
        <f t="shared" si="186"/>
        <v>1</v>
      </c>
    </row>
    <row r="167" spans="1:13">
      <c r="A167">
        <v>3</v>
      </c>
      <c r="B167">
        <v>22</v>
      </c>
      <c r="C167" t="str">
        <f t="shared" ref="B167:F167" si="220">C143</f>
        <v>PC</v>
      </c>
      <c r="D167">
        <v>7</v>
      </c>
      <c r="E167" t="s">
        <v>25</v>
      </c>
      <c r="F167">
        <f t="shared" si="220"/>
        <v>1</v>
      </c>
      <c r="G167">
        <v>0</v>
      </c>
      <c r="H167">
        <v>48</v>
      </c>
      <c r="I167">
        <v>5</v>
      </c>
      <c r="J167">
        <f t="shared" si="184"/>
        <v>1.0000000000000001E-5</v>
      </c>
      <c r="K167" s="1">
        <f t="shared" si="185"/>
        <v>239999999.99999997</v>
      </c>
      <c r="L167">
        <v>239999999.99999997</v>
      </c>
      <c r="M167" s="2">
        <f t="shared" si="186"/>
        <v>1</v>
      </c>
    </row>
    <row r="168" spans="1:13">
      <c r="A168">
        <v>3</v>
      </c>
      <c r="B168">
        <v>23</v>
      </c>
      <c r="C168" t="str">
        <f t="shared" ref="B168:F168" si="221">C144</f>
        <v>PC</v>
      </c>
      <c r="D168">
        <v>7</v>
      </c>
      <c r="E168" t="s">
        <v>25</v>
      </c>
      <c r="F168">
        <f t="shared" si="221"/>
        <v>2</v>
      </c>
      <c r="G168">
        <v>0</v>
      </c>
      <c r="H168">
        <v>53</v>
      </c>
      <c r="I168">
        <v>5</v>
      </c>
      <c r="J168">
        <f t="shared" si="184"/>
        <v>1.0000000000000001E-5</v>
      </c>
      <c r="K168" s="1">
        <f t="shared" si="185"/>
        <v>264999999.99999997</v>
      </c>
      <c r="L168">
        <v>264999999.99999997</v>
      </c>
      <c r="M168" s="2">
        <f t="shared" si="186"/>
        <v>1</v>
      </c>
    </row>
    <row r="169" spans="1:13">
      <c r="A169">
        <v>3</v>
      </c>
      <c r="B169">
        <v>24</v>
      </c>
      <c r="C169" t="str">
        <f t="shared" ref="B169:F169" si="222">C145</f>
        <v>PC</v>
      </c>
      <c r="D169">
        <v>7</v>
      </c>
      <c r="E169" t="s">
        <v>25</v>
      </c>
      <c r="F169">
        <f t="shared" si="222"/>
        <v>3</v>
      </c>
      <c r="G169">
        <v>0</v>
      </c>
      <c r="H169">
        <v>34</v>
      </c>
      <c r="I169">
        <v>5</v>
      </c>
      <c r="J169">
        <f t="shared" si="184"/>
        <v>1.0000000000000001E-5</v>
      </c>
      <c r="K169" s="1">
        <f t="shared" si="185"/>
        <v>170000000</v>
      </c>
      <c r="L169">
        <v>170000000</v>
      </c>
      <c r="M169" s="2">
        <f t="shared" si="186"/>
        <v>1</v>
      </c>
    </row>
    <row r="170" spans="1:13">
      <c r="A170">
        <v>3</v>
      </c>
      <c r="B170">
        <f>B146</f>
        <v>1</v>
      </c>
      <c r="C170" t="str">
        <f t="shared" ref="C170:D170" si="223">C146</f>
        <v>P</v>
      </c>
      <c r="D170">
        <f t="shared" si="223"/>
        <v>1</v>
      </c>
      <c r="E170" t="str">
        <f>E146</f>
        <v>P1</v>
      </c>
      <c r="F170">
        <f t="shared" ref="B170:F170" si="224">F146</f>
        <v>1</v>
      </c>
      <c r="G170">
        <f>G146+1</f>
        <v>1</v>
      </c>
      <c r="H170">
        <v>11</v>
      </c>
      <c r="I170">
        <v>1</v>
      </c>
      <c r="J170">
        <f t="shared" si="184"/>
        <v>0.1</v>
      </c>
      <c r="K170" s="1">
        <f t="shared" si="185"/>
        <v>5500</v>
      </c>
      <c r="L170">
        <f>L146</f>
        <v>194999999.99999997</v>
      </c>
      <c r="M170" s="2">
        <f t="shared" si="186"/>
        <v>2.820512820512821E-5</v>
      </c>
    </row>
    <row r="171" spans="1:13">
      <c r="A171">
        <v>3</v>
      </c>
      <c r="B171">
        <f t="shared" ref="B171:E171" si="225">B147</f>
        <v>2</v>
      </c>
      <c r="C171" t="str">
        <f t="shared" si="225"/>
        <v>P</v>
      </c>
      <c r="D171">
        <f t="shared" si="225"/>
        <v>1</v>
      </c>
      <c r="E171" t="str">
        <f t="shared" si="225"/>
        <v>P1</v>
      </c>
      <c r="F171">
        <f t="shared" ref="B171:F171" si="226">F147</f>
        <v>2</v>
      </c>
      <c r="G171">
        <f t="shared" ref="G171:G234" si="227">G147+1</f>
        <v>1</v>
      </c>
      <c r="H171">
        <v>6</v>
      </c>
      <c r="I171">
        <v>1</v>
      </c>
      <c r="J171">
        <f t="shared" si="184"/>
        <v>0.1</v>
      </c>
      <c r="K171" s="1">
        <f t="shared" si="185"/>
        <v>3000</v>
      </c>
      <c r="L171">
        <f t="shared" ref="L171:L234" si="228">L147</f>
        <v>244999999.99999997</v>
      </c>
      <c r="M171" s="2">
        <f t="shared" si="186"/>
        <v>1.2244897959183674E-5</v>
      </c>
    </row>
    <row r="172" spans="1:13">
      <c r="A172">
        <v>3</v>
      </c>
      <c r="B172">
        <f t="shared" ref="B172:E172" si="229">B148</f>
        <v>3</v>
      </c>
      <c r="C172" t="str">
        <f t="shared" si="229"/>
        <v>P</v>
      </c>
      <c r="D172">
        <f t="shared" si="229"/>
        <v>1</v>
      </c>
      <c r="E172" t="str">
        <f t="shared" si="229"/>
        <v>P1</v>
      </c>
      <c r="F172">
        <f t="shared" ref="B172:F172" si="230">F148</f>
        <v>3</v>
      </c>
      <c r="G172">
        <f t="shared" si="227"/>
        <v>1</v>
      </c>
      <c r="H172">
        <v>24</v>
      </c>
      <c r="I172">
        <v>2</v>
      </c>
      <c r="J172">
        <f t="shared" si="184"/>
        <v>0.01</v>
      </c>
      <c r="K172" s="1">
        <f t="shared" si="185"/>
        <v>120000</v>
      </c>
      <c r="L172">
        <f t="shared" si="228"/>
        <v>179999999.99999997</v>
      </c>
      <c r="M172" s="2">
        <f t="shared" si="186"/>
        <v>6.6666666666666675E-4</v>
      </c>
    </row>
    <row r="173" spans="1:13">
      <c r="A173">
        <v>3</v>
      </c>
      <c r="B173">
        <f t="shared" ref="B173:E173" si="231">B149</f>
        <v>4</v>
      </c>
      <c r="C173" t="str">
        <f t="shared" si="231"/>
        <v>PC</v>
      </c>
      <c r="D173">
        <f t="shared" si="231"/>
        <v>1</v>
      </c>
      <c r="E173" t="str">
        <f t="shared" si="231"/>
        <v>PC1</v>
      </c>
      <c r="F173">
        <f t="shared" ref="B173:F173" si="232">F149</f>
        <v>1</v>
      </c>
      <c r="G173">
        <f t="shared" si="227"/>
        <v>1</v>
      </c>
      <c r="H173">
        <v>48</v>
      </c>
      <c r="I173">
        <v>1</v>
      </c>
      <c r="J173">
        <f t="shared" si="184"/>
        <v>0.1</v>
      </c>
      <c r="K173" s="1">
        <f t="shared" si="185"/>
        <v>24000</v>
      </c>
      <c r="L173">
        <f t="shared" si="228"/>
        <v>320000000</v>
      </c>
      <c r="M173" s="2">
        <f t="shared" si="186"/>
        <v>7.4999999999999993E-5</v>
      </c>
    </row>
    <row r="174" spans="1:13">
      <c r="A174">
        <v>3</v>
      </c>
      <c r="B174">
        <f t="shared" ref="B174:E174" si="233">B150</f>
        <v>5</v>
      </c>
      <c r="C174" t="str">
        <f t="shared" si="233"/>
        <v>PC</v>
      </c>
      <c r="D174">
        <f t="shared" si="233"/>
        <v>1</v>
      </c>
      <c r="E174" t="str">
        <f t="shared" si="233"/>
        <v>PC1</v>
      </c>
      <c r="F174">
        <f t="shared" ref="B174:F174" si="234">F150</f>
        <v>2</v>
      </c>
      <c r="G174">
        <f t="shared" si="227"/>
        <v>1</v>
      </c>
      <c r="H174">
        <v>32</v>
      </c>
      <c r="I174">
        <v>1</v>
      </c>
      <c r="J174">
        <f t="shared" si="184"/>
        <v>0.1</v>
      </c>
      <c r="K174" s="1">
        <f t="shared" si="185"/>
        <v>16000</v>
      </c>
      <c r="L174">
        <f t="shared" si="228"/>
        <v>285000000</v>
      </c>
      <c r="M174" s="2">
        <f t="shared" si="186"/>
        <v>5.6140350877192984E-5</v>
      </c>
    </row>
    <row r="175" spans="1:13">
      <c r="A175">
        <v>3</v>
      </c>
      <c r="B175">
        <f t="shared" ref="B175:E175" si="235">B151</f>
        <v>6</v>
      </c>
      <c r="C175" t="str">
        <f t="shared" si="235"/>
        <v>PC</v>
      </c>
      <c r="D175">
        <f t="shared" si="235"/>
        <v>1</v>
      </c>
      <c r="E175" t="str">
        <f t="shared" si="235"/>
        <v>PC1</v>
      </c>
      <c r="F175">
        <f t="shared" ref="B175:F175" si="236">F151</f>
        <v>3</v>
      </c>
      <c r="G175">
        <f t="shared" si="227"/>
        <v>1</v>
      </c>
      <c r="H175">
        <v>26</v>
      </c>
      <c r="I175">
        <v>2</v>
      </c>
      <c r="J175">
        <f t="shared" si="184"/>
        <v>0.01</v>
      </c>
      <c r="K175" s="1">
        <f t="shared" si="185"/>
        <v>130000</v>
      </c>
      <c r="L175">
        <f t="shared" si="228"/>
        <v>179999999.99999997</v>
      </c>
      <c r="M175" s="2">
        <f t="shared" si="186"/>
        <v>7.222222222222223E-4</v>
      </c>
    </row>
    <row r="176" spans="1:13">
      <c r="A176">
        <v>3</v>
      </c>
      <c r="B176">
        <f t="shared" ref="B176:E176" si="237">B152</f>
        <v>7</v>
      </c>
      <c r="C176" t="str">
        <f t="shared" si="237"/>
        <v>PC</v>
      </c>
      <c r="D176">
        <f t="shared" si="237"/>
        <v>2</v>
      </c>
      <c r="E176" t="str">
        <f t="shared" si="237"/>
        <v>PC2</v>
      </c>
      <c r="F176">
        <f t="shared" ref="B176:F176" si="238">F152</f>
        <v>1</v>
      </c>
      <c r="G176">
        <f t="shared" si="227"/>
        <v>1</v>
      </c>
      <c r="H176">
        <v>30</v>
      </c>
      <c r="I176">
        <v>4</v>
      </c>
      <c r="J176">
        <f t="shared" si="184"/>
        <v>1E-4</v>
      </c>
      <c r="K176" s="1">
        <f t="shared" si="185"/>
        <v>14999999.999999998</v>
      </c>
      <c r="L176">
        <f t="shared" si="228"/>
        <v>129999999.99999999</v>
      </c>
      <c r="M176" s="2">
        <f t="shared" si="186"/>
        <v>0.11538461538461538</v>
      </c>
    </row>
    <row r="177" spans="1:13">
      <c r="A177">
        <v>3</v>
      </c>
      <c r="B177">
        <f t="shared" ref="B177:E177" si="239">B153</f>
        <v>8</v>
      </c>
      <c r="C177" t="str">
        <f t="shared" si="239"/>
        <v>PC</v>
      </c>
      <c r="D177">
        <f t="shared" si="239"/>
        <v>2</v>
      </c>
      <c r="E177" t="str">
        <f t="shared" si="239"/>
        <v>PC2</v>
      </c>
      <c r="F177">
        <f t="shared" ref="B177:F177" si="240">F153</f>
        <v>2</v>
      </c>
      <c r="G177">
        <f t="shared" si="227"/>
        <v>1</v>
      </c>
      <c r="H177">
        <v>29</v>
      </c>
      <c r="I177">
        <v>4</v>
      </c>
      <c r="J177">
        <f t="shared" si="184"/>
        <v>1E-4</v>
      </c>
      <c r="K177" s="1">
        <f t="shared" si="185"/>
        <v>14499999.999999998</v>
      </c>
      <c r="L177">
        <f t="shared" si="228"/>
        <v>129999999.99999999</v>
      </c>
      <c r="M177" s="2">
        <f t="shared" si="186"/>
        <v>0.11153846153846153</v>
      </c>
    </row>
    <row r="178" spans="1:13">
      <c r="A178">
        <v>3</v>
      </c>
      <c r="B178">
        <f t="shared" ref="B178:E178" si="241">B154</f>
        <v>9</v>
      </c>
      <c r="C178" t="str">
        <f t="shared" si="241"/>
        <v>PC</v>
      </c>
      <c r="D178">
        <f t="shared" si="241"/>
        <v>2</v>
      </c>
      <c r="E178" t="str">
        <f t="shared" si="241"/>
        <v>PC2</v>
      </c>
      <c r="F178">
        <f t="shared" ref="B178:F178" si="242">F154</f>
        <v>3</v>
      </c>
      <c r="G178">
        <f t="shared" si="227"/>
        <v>1</v>
      </c>
      <c r="H178">
        <v>29</v>
      </c>
      <c r="I178">
        <v>4</v>
      </c>
      <c r="J178">
        <f t="shared" si="184"/>
        <v>1E-4</v>
      </c>
      <c r="K178" s="1">
        <f t="shared" si="185"/>
        <v>14499999.999999998</v>
      </c>
      <c r="L178">
        <f t="shared" si="228"/>
        <v>129999999.99999999</v>
      </c>
      <c r="M178" s="2">
        <f t="shared" si="186"/>
        <v>0.11153846153846153</v>
      </c>
    </row>
    <row r="179" spans="1:13">
      <c r="A179">
        <v>3</v>
      </c>
      <c r="B179">
        <f t="shared" ref="B179:E179" si="243">B155</f>
        <v>10</v>
      </c>
      <c r="C179" t="str">
        <f t="shared" si="243"/>
        <v>PC</v>
      </c>
      <c r="D179">
        <f t="shared" si="243"/>
        <v>3</v>
      </c>
      <c r="E179" t="str">
        <f t="shared" si="243"/>
        <v>PC3</v>
      </c>
      <c r="F179">
        <f t="shared" ref="B179:F179" si="244">F155</f>
        <v>1</v>
      </c>
      <c r="G179">
        <f t="shared" si="227"/>
        <v>1</v>
      </c>
      <c r="H179">
        <v>70</v>
      </c>
      <c r="I179">
        <v>1</v>
      </c>
      <c r="J179">
        <f t="shared" si="184"/>
        <v>0.1</v>
      </c>
      <c r="K179" s="1">
        <f t="shared" si="185"/>
        <v>35000</v>
      </c>
      <c r="L179">
        <f t="shared" si="228"/>
        <v>295000000</v>
      </c>
      <c r="M179" s="2">
        <f t="shared" si="186"/>
        <v>1.1864406779661017E-4</v>
      </c>
    </row>
    <row r="180" spans="1:13">
      <c r="A180">
        <v>3</v>
      </c>
      <c r="B180">
        <f t="shared" ref="B180:E180" si="245">B156</f>
        <v>11</v>
      </c>
      <c r="C180" t="str">
        <f t="shared" si="245"/>
        <v>PC</v>
      </c>
      <c r="D180">
        <f t="shared" si="245"/>
        <v>3</v>
      </c>
      <c r="E180" t="str">
        <f t="shared" si="245"/>
        <v>PC3</v>
      </c>
      <c r="F180">
        <f t="shared" ref="B180:F180" si="246">F156</f>
        <v>2</v>
      </c>
      <c r="G180">
        <f t="shared" si="227"/>
        <v>1</v>
      </c>
      <c r="H180">
        <v>80</v>
      </c>
      <c r="I180">
        <v>1</v>
      </c>
      <c r="J180">
        <f t="shared" si="184"/>
        <v>0.1</v>
      </c>
      <c r="K180" s="1">
        <f t="shared" si="185"/>
        <v>40000</v>
      </c>
      <c r="L180">
        <f t="shared" si="228"/>
        <v>209999999.99999997</v>
      </c>
      <c r="M180" s="2">
        <f t="shared" si="186"/>
        <v>1.9047619047619051E-4</v>
      </c>
    </row>
    <row r="181" spans="1:13">
      <c r="A181">
        <v>3</v>
      </c>
      <c r="B181">
        <f t="shared" ref="B181:E181" si="247">B157</f>
        <v>12</v>
      </c>
      <c r="C181" t="str">
        <f t="shared" si="247"/>
        <v>PC</v>
      </c>
      <c r="D181">
        <f t="shared" si="247"/>
        <v>3</v>
      </c>
      <c r="E181" t="str">
        <f t="shared" si="247"/>
        <v>PC3</v>
      </c>
      <c r="F181">
        <f t="shared" ref="B181:F181" si="248">F157</f>
        <v>3</v>
      </c>
      <c r="G181">
        <f t="shared" si="227"/>
        <v>1</v>
      </c>
      <c r="H181">
        <v>63</v>
      </c>
      <c r="I181">
        <v>1</v>
      </c>
      <c r="J181">
        <f t="shared" si="184"/>
        <v>0.1</v>
      </c>
      <c r="K181" s="1">
        <f t="shared" si="185"/>
        <v>31500</v>
      </c>
      <c r="L181">
        <f t="shared" si="228"/>
        <v>214999999.99999997</v>
      </c>
      <c r="M181" s="2">
        <f t="shared" si="186"/>
        <v>1.4651162790697676E-4</v>
      </c>
    </row>
    <row r="182" spans="1:13">
      <c r="A182">
        <v>3</v>
      </c>
      <c r="B182">
        <f t="shared" ref="B182:E182" si="249">B158</f>
        <v>13</v>
      </c>
      <c r="C182" t="str">
        <f t="shared" si="249"/>
        <v>PC</v>
      </c>
      <c r="D182">
        <f t="shared" si="249"/>
        <v>4</v>
      </c>
      <c r="E182" t="str">
        <f t="shared" si="249"/>
        <v>PC7</v>
      </c>
      <c r="F182">
        <f t="shared" ref="B182:F182" si="250">F158</f>
        <v>1</v>
      </c>
      <c r="G182">
        <f t="shared" si="227"/>
        <v>1</v>
      </c>
      <c r="H182">
        <v>19</v>
      </c>
      <c r="I182">
        <v>3</v>
      </c>
      <c r="J182">
        <f t="shared" si="184"/>
        <v>1E-3</v>
      </c>
      <c r="K182" s="1">
        <f t="shared" si="185"/>
        <v>949999.99999999988</v>
      </c>
      <c r="L182">
        <f t="shared" si="228"/>
        <v>219999999.99999997</v>
      </c>
      <c r="M182" s="2">
        <f t="shared" si="186"/>
        <v>4.3181818181818182E-3</v>
      </c>
    </row>
    <row r="183" spans="1:13">
      <c r="A183">
        <v>3</v>
      </c>
      <c r="B183">
        <f t="shared" ref="B183:E183" si="251">B159</f>
        <v>14</v>
      </c>
      <c r="C183" t="str">
        <f t="shared" si="251"/>
        <v>PC</v>
      </c>
      <c r="D183">
        <f t="shared" si="251"/>
        <v>4</v>
      </c>
      <c r="E183" t="str">
        <f t="shared" si="251"/>
        <v>PC7</v>
      </c>
      <c r="F183">
        <f t="shared" ref="B183:F183" si="252">F159</f>
        <v>2</v>
      </c>
      <c r="G183">
        <f t="shared" si="227"/>
        <v>1</v>
      </c>
      <c r="H183">
        <v>22</v>
      </c>
      <c r="I183">
        <v>3</v>
      </c>
      <c r="J183">
        <f t="shared" si="184"/>
        <v>1E-3</v>
      </c>
      <c r="K183" s="1">
        <f t="shared" si="185"/>
        <v>1100000</v>
      </c>
      <c r="L183">
        <f t="shared" si="228"/>
        <v>160000000</v>
      </c>
      <c r="M183" s="2">
        <f t="shared" si="186"/>
        <v>6.875E-3</v>
      </c>
    </row>
    <row r="184" spans="1:13">
      <c r="A184">
        <v>3</v>
      </c>
      <c r="B184">
        <f t="shared" ref="B184:E184" si="253">B160</f>
        <v>15</v>
      </c>
      <c r="C184" t="str">
        <f t="shared" si="253"/>
        <v>PC</v>
      </c>
      <c r="D184">
        <f t="shared" si="253"/>
        <v>4</v>
      </c>
      <c r="E184" t="str">
        <f t="shared" si="253"/>
        <v>PC7</v>
      </c>
      <c r="F184">
        <f t="shared" ref="B184:F184" si="254">F160</f>
        <v>3</v>
      </c>
      <c r="G184">
        <f t="shared" si="227"/>
        <v>1</v>
      </c>
      <c r="H184">
        <v>23</v>
      </c>
      <c r="I184">
        <v>3</v>
      </c>
      <c r="J184">
        <f t="shared" si="184"/>
        <v>1E-3</v>
      </c>
      <c r="K184" s="1">
        <f t="shared" si="185"/>
        <v>1150000</v>
      </c>
      <c r="L184">
        <f t="shared" si="228"/>
        <v>129999999.99999999</v>
      </c>
      <c r="M184" s="2">
        <f t="shared" si="186"/>
        <v>8.8461538461538473E-3</v>
      </c>
    </row>
    <row r="185" spans="1:13">
      <c r="A185">
        <v>3</v>
      </c>
      <c r="B185">
        <f t="shared" ref="B185:E185" si="255">B161</f>
        <v>16</v>
      </c>
      <c r="C185" t="str">
        <f t="shared" si="255"/>
        <v>PC</v>
      </c>
      <c r="D185">
        <f t="shared" si="255"/>
        <v>5</v>
      </c>
      <c r="E185" t="str">
        <f t="shared" si="255"/>
        <v>PC8</v>
      </c>
      <c r="F185">
        <f t="shared" ref="B185:F185" si="256">F161</f>
        <v>1</v>
      </c>
      <c r="G185">
        <f t="shared" si="227"/>
        <v>1</v>
      </c>
      <c r="H185">
        <v>43</v>
      </c>
      <c r="I185">
        <v>3</v>
      </c>
      <c r="J185">
        <f t="shared" si="184"/>
        <v>1E-3</v>
      </c>
      <c r="K185" s="1">
        <f t="shared" si="185"/>
        <v>2150000</v>
      </c>
      <c r="L185">
        <f t="shared" si="228"/>
        <v>199999999.99999997</v>
      </c>
      <c r="M185" s="2">
        <f t="shared" si="186"/>
        <v>1.0750000000000001E-2</v>
      </c>
    </row>
    <row r="186" spans="1:13">
      <c r="A186">
        <v>3</v>
      </c>
      <c r="B186">
        <f t="shared" ref="B186:E186" si="257">B162</f>
        <v>17</v>
      </c>
      <c r="C186" t="str">
        <f t="shared" si="257"/>
        <v>PC</v>
      </c>
      <c r="D186">
        <f t="shared" si="257"/>
        <v>5</v>
      </c>
      <c r="E186" t="str">
        <f t="shared" si="257"/>
        <v>PC8</v>
      </c>
      <c r="F186">
        <f t="shared" ref="B186:F186" si="258">F162</f>
        <v>2</v>
      </c>
      <c r="G186">
        <f t="shared" si="227"/>
        <v>1</v>
      </c>
      <c r="H186">
        <v>54</v>
      </c>
      <c r="I186">
        <v>3</v>
      </c>
      <c r="J186">
        <f t="shared" si="184"/>
        <v>1E-3</v>
      </c>
      <c r="K186" s="1">
        <f t="shared" si="185"/>
        <v>2700000</v>
      </c>
      <c r="L186">
        <f t="shared" si="228"/>
        <v>194999999.99999997</v>
      </c>
      <c r="M186" s="2">
        <f t="shared" si="186"/>
        <v>1.3846153846153848E-2</v>
      </c>
    </row>
    <row r="187" spans="1:13">
      <c r="A187">
        <v>3</v>
      </c>
      <c r="B187">
        <f t="shared" ref="B187:E187" si="259">B163</f>
        <v>18</v>
      </c>
      <c r="C187" t="str">
        <f t="shared" si="259"/>
        <v>PC</v>
      </c>
      <c r="D187">
        <f t="shared" si="259"/>
        <v>5</v>
      </c>
      <c r="E187" t="str">
        <f t="shared" si="259"/>
        <v>PC8</v>
      </c>
      <c r="F187">
        <f t="shared" ref="B187:F187" si="260">F163</f>
        <v>3</v>
      </c>
      <c r="G187">
        <f t="shared" si="227"/>
        <v>1</v>
      </c>
      <c r="H187">
        <v>50</v>
      </c>
      <c r="I187">
        <v>3</v>
      </c>
      <c r="J187">
        <f t="shared" si="184"/>
        <v>1E-3</v>
      </c>
      <c r="K187" s="1">
        <f t="shared" si="185"/>
        <v>2500000</v>
      </c>
      <c r="L187">
        <f t="shared" si="228"/>
        <v>165000000</v>
      </c>
      <c r="M187" s="2">
        <f t="shared" si="186"/>
        <v>1.5151515151515152E-2</v>
      </c>
    </row>
    <row r="188" spans="1:13">
      <c r="A188">
        <v>3</v>
      </c>
      <c r="B188">
        <f t="shared" ref="B188:E188" si="261">B164</f>
        <v>19</v>
      </c>
      <c r="C188" t="str">
        <f t="shared" si="261"/>
        <v>PC</v>
      </c>
      <c r="D188">
        <f t="shared" si="261"/>
        <v>6</v>
      </c>
      <c r="E188" t="str">
        <f t="shared" si="261"/>
        <v>PC9</v>
      </c>
      <c r="F188">
        <f t="shared" ref="B188:F188" si="262">F164</f>
        <v>1</v>
      </c>
      <c r="G188">
        <f t="shared" si="227"/>
        <v>1</v>
      </c>
      <c r="H188">
        <v>85</v>
      </c>
      <c r="I188">
        <v>1</v>
      </c>
      <c r="J188">
        <f t="shared" si="184"/>
        <v>0.1</v>
      </c>
      <c r="K188" s="1">
        <f t="shared" si="185"/>
        <v>42500</v>
      </c>
      <c r="L188">
        <f t="shared" si="228"/>
        <v>184999999.99999997</v>
      </c>
      <c r="M188" s="2">
        <f t="shared" si="186"/>
        <v>2.2972972972972976E-4</v>
      </c>
    </row>
    <row r="189" spans="1:13">
      <c r="A189">
        <v>3</v>
      </c>
      <c r="B189">
        <f t="shared" ref="B189:E189" si="263">B165</f>
        <v>20</v>
      </c>
      <c r="C189" t="str">
        <f t="shared" si="263"/>
        <v>PC</v>
      </c>
      <c r="D189">
        <f t="shared" si="263"/>
        <v>6</v>
      </c>
      <c r="E189" t="str">
        <f t="shared" si="263"/>
        <v>PC9</v>
      </c>
      <c r="F189">
        <f t="shared" ref="B189:F189" si="264">F165</f>
        <v>2</v>
      </c>
      <c r="G189">
        <f t="shared" si="227"/>
        <v>1</v>
      </c>
      <c r="H189">
        <v>84</v>
      </c>
      <c r="I189">
        <v>1</v>
      </c>
      <c r="J189">
        <f t="shared" si="184"/>
        <v>0.1</v>
      </c>
      <c r="K189" s="1">
        <f t="shared" si="185"/>
        <v>42000</v>
      </c>
      <c r="L189">
        <f t="shared" si="228"/>
        <v>199999999.99999997</v>
      </c>
      <c r="M189" s="2">
        <f t="shared" si="186"/>
        <v>2.1000000000000004E-4</v>
      </c>
    </row>
    <row r="190" spans="1:13">
      <c r="A190">
        <v>3</v>
      </c>
      <c r="B190">
        <f t="shared" ref="B190:E190" si="265">B166</f>
        <v>21</v>
      </c>
      <c r="C190" t="str">
        <f t="shared" si="265"/>
        <v>PC</v>
      </c>
      <c r="D190">
        <f t="shared" si="265"/>
        <v>6</v>
      </c>
      <c r="E190" t="str">
        <f t="shared" si="265"/>
        <v>PC9</v>
      </c>
      <c r="F190">
        <f t="shared" ref="B190:F190" si="266">F166</f>
        <v>3</v>
      </c>
      <c r="G190">
        <f t="shared" si="227"/>
        <v>1</v>
      </c>
      <c r="H190">
        <v>92</v>
      </c>
      <c r="I190">
        <v>1</v>
      </c>
      <c r="J190">
        <f t="shared" si="184"/>
        <v>0.1</v>
      </c>
      <c r="K190" s="1">
        <f t="shared" si="185"/>
        <v>46000</v>
      </c>
      <c r="L190">
        <f t="shared" si="228"/>
        <v>184999999.99999997</v>
      </c>
      <c r="M190" s="2">
        <f t="shared" si="186"/>
        <v>2.486486486486487E-4</v>
      </c>
    </row>
    <row r="191" spans="1:13">
      <c r="A191">
        <v>3</v>
      </c>
      <c r="B191">
        <f t="shared" ref="B191:E191" si="267">B167</f>
        <v>22</v>
      </c>
      <c r="C191" t="str">
        <f t="shared" si="267"/>
        <v>PC</v>
      </c>
      <c r="D191">
        <f t="shared" si="267"/>
        <v>7</v>
      </c>
      <c r="E191" t="str">
        <f t="shared" si="267"/>
        <v>PC10</v>
      </c>
      <c r="F191">
        <f t="shared" ref="B191:F191" si="268">F167</f>
        <v>1</v>
      </c>
      <c r="G191">
        <f t="shared" si="227"/>
        <v>1</v>
      </c>
      <c r="H191">
        <v>41</v>
      </c>
      <c r="I191">
        <v>4</v>
      </c>
      <c r="J191">
        <f t="shared" si="184"/>
        <v>1E-4</v>
      </c>
      <c r="K191" s="1">
        <f t="shared" si="185"/>
        <v>20499999.999999996</v>
      </c>
      <c r="L191">
        <f t="shared" si="228"/>
        <v>239999999.99999997</v>
      </c>
      <c r="M191" s="2">
        <f t="shared" si="186"/>
        <v>8.5416666666666669E-2</v>
      </c>
    </row>
    <row r="192" spans="1:13">
      <c r="A192">
        <v>3</v>
      </c>
      <c r="B192">
        <f t="shared" ref="B192:E192" si="269">B168</f>
        <v>23</v>
      </c>
      <c r="C192" t="str">
        <f t="shared" si="269"/>
        <v>PC</v>
      </c>
      <c r="D192">
        <f t="shared" si="269"/>
        <v>7</v>
      </c>
      <c r="E192" t="str">
        <f t="shared" si="269"/>
        <v>PC10</v>
      </c>
      <c r="F192">
        <f t="shared" ref="B192:F192" si="270">F168</f>
        <v>2</v>
      </c>
      <c r="G192">
        <f t="shared" si="227"/>
        <v>1</v>
      </c>
      <c r="H192">
        <v>41</v>
      </c>
      <c r="I192">
        <v>4</v>
      </c>
      <c r="J192">
        <f t="shared" si="184"/>
        <v>1E-4</v>
      </c>
      <c r="K192" s="1">
        <f t="shared" si="185"/>
        <v>20499999.999999996</v>
      </c>
      <c r="L192">
        <f t="shared" si="228"/>
        <v>264999999.99999997</v>
      </c>
      <c r="M192" s="2">
        <f t="shared" si="186"/>
        <v>7.7358490566037733E-2</v>
      </c>
    </row>
    <row r="193" spans="1:13">
      <c r="A193">
        <v>3</v>
      </c>
      <c r="B193">
        <f t="shared" ref="B193:E193" si="271">B169</f>
        <v>24</v>
      </c>
      <c r="C193" t="str">
        <f t="shared" si="271"/>
        <v>PC</v>
      </c>
      <c r="D193">
        <f t="shared" si="271"/>
        <v>7</v>
      </c>
      <c r="E193" t="str">
        <f t="shared" si="271"/>
        <v>PC10</v>
      </c>
      <c r="F193">
        <f t="shared" ref="B193:F193" si="272">F169</f>
        <v>3</v>
      </c>
      <c r="G193">
        <f t="shared" si="227"/>
        <v>1</v>
      </c>
      <c r="H193">
        <v>34</v>
      </c>
      <c r="I193">
        <v>4</v>
      </c>
      <c r="J193">
        <f t="shared" si="184"/>
        <v>1E-4</v>
      </c>
      <c r="K193" s="1">
        <f t="shared" si="185"/>
        <v>16999999.999999996</v>
      </c>
      <c r="L193">
        <f t="shared" si="228"/>
        <v>170000000</v>
      </c>
      <c r="M193" s="2">
        <f t="shared" si="186"/>
        <v>9.9999999999999978E-2</v>
      </c>
    </row>
    <row r="194" spans="1:13">
      <c r="A194">
        <v>3</v>
      </c>
      <c r="B194">
        <f t="shared" ref="B194:E194" si="273">B170</f>
        <v>1</v>
      </c>
      <c r="C194" t="str">
        <f t="shared" si="273"/>
        <v>P</v>
      </c>
      <c r="D194">
        <f t="shared" si="273"/>
        <v>1</v>
      </c>
      <c r="E194" t="str">
        <f t="shared" si="273"/>
        <v>P1</v>
      </c>
      <c r="F194">
        <f t="shared" ref="B194:F194" si="274">F170</f>
        <v>1</v>
      </c>
      <c r="G194">
        <f t="shared" si="227"/>
        <v>2</v>
      </c>
      <c r="H194">
        <v>50</v>
      </c>
      <c r="I194">
        <v>-1</v>
      </c>
      <c r="J194">
        <f t="shared" si="184"/>
        <v>10</v>
      </c>
      <c r="K194" s="1">
        <f t="shared" si="185"/>
        <v>250</v>
      </c>
      <c r="L194">
        <f t="shared" si="228"/>
        <v>194999999.99999997</v>
      </c>
      <c r="M194" s="2">
        <f t="shared" si="186"/>
        <v>1.2820512820512822E-6</v>
      </c>
    </row>
    <row r="195" spans="1:13">
      <c r="A195">
        <v>3</v>
      </c>
      <c r="B195">
        <f t="shared" ref="B195:E195" si="275">B171</f>
        <v>2</v>
      </c>
      <c r="C195" t="str">
        <f t="shared" si="275"/>
        <v>P</v>
      </c>
      <c r="D195">
        <f t="shared" si="275"/>
        <v>1</v>
      </c>
      <c r="E195" t="str">
        <f t="shared" si="275"/>
        <v>P1</v>
      </c>
      <c r="F195">
        <f t="shared" ref="B195:F195" si="276">F171</f>
        <v>2</v>
      </c>
      <c r="G195">
        <f t="shared" si="227"/>
        <v>2</v>
      </c>
      <c r="H195">
        <v>46</v>
      </c>
      <c r="I195">
        <v>-1</v>
      </c>
      <c r="J195">
        <f t="shared" ref="J195:J258" si="277">1/10^I195</f>
        <v>10</v>
      </c>
      <c r="K195" s="1">
        <f t="shared" ref="K195:K258" si="278">H195/(J195*0.02)</f>
        <v>230</v>
      </c>
      <c r="L195">
        <f t="shared" si="228"/>
        <v>244999999.99999997</v>
      </c>
      <c r="M195" s="2">
        <f t="shared" ref="M195:M258" si="279">K195/L195</f>
        <v>9.3877551020408169E-7</v>
      </c>
    </row>
    <row r="196" spans="1:13">
      <c r="A196">
        <v>3</v>
      </c>
      <c r="B196">
        <f t="shared" ref="B196:E196" si="280">B172</f>
        <v>3</v>
      </c>
      <c r="C196" t="str">
        <f t="shared" si="280"/>
        <v>P</v>
      </c>
      <c r="D196">
        <f t="shared" si="280"/>
        <v>1</v>
      </c>
      <c r="E196" t="str">
        <f t="shared" si="280"/>
        <v>P1</v>
      </c>
      <c r="F196">
        <f t="shared" ref="B196:F196" si="281">F172</f>
        <v>3</v>
      </c>
      <c r="G196">
        <f t="shared" si="227"/>
        <v>2</v>
      </c>
      <c r="H196">
        <v>33</v>
      </c>
      <c r="I196">
        <v>-1</v>
      </c>
      <c r="J196">
        <f t="shared" si="277"/>
        <v>10</v>
      </c>
      <c r="K196" s="1">
        <f t="shared" si="278"/>
        <v>165</v>
      </c>
      <c r="L196">
        <f t="shared" si="228"/>
        <v>179999999.99999997</v>
      </c>
      <c r="M196" s="2">
        <f t="shared" si="279"/>
        <v>9.1666666666666685E-7</v>
      </c>
    </row>
    <row r="197" spans="1:13">
      <c r="A197">
        <v>3</v>
      </c>
      <c r="B197">
        <f t="shared" ref="B197:E197" si="282">B173</f>
        <v>4</v>
      </c>
      <c r="C197" t="str">
        <f t="shared" si="282"/>
        <v>PC</v>
      </c>
      <c r="D197">
        <f t="shared" si="282"/>
        <v>1</v>
      </c>
      <c r="E197" t="str">
        <f t="shared" si="282"/>
        <v>PC1</v>
      </c>
      <c r="F197">
        <f t="shared" ref="B197:F197" si="283">F173</f>
        <v>1</v>
      </c>
      <c r="G197">
        <f t="shared" si="227"/>
        <v>2</v>
      </c>
      <c r="H197">
        <v>57</v>
      </c>
      <c r="I197">
        <v>0</v>
      </c>
      <c r="J197">
        <f t="shared" si="277"/>
        <v>1</v>
      </c>
      <c r="K197" s="1">
        <f t="shared" si="278"/>
        <v>2850</v>
      </c>
      <c r="L197">
        <f t="shared" si="228"/>
        <v>320000000</v>
      </c>
      <c r="M197" s="2">
        <f t="shared" si="279"/>
        <v>8.9062499999999996E-6</v>
      </c>
    </row>
    <row r="198" spans="1:13">
      <c r="A198">
        <v>3</v>
      </c>
      <c r="B198">
        <f t="shared" ref="B198:E198" si="284">B174</f>
        <v>5</v>
      </c>
      <c r="C198" t="str">
        <f t="shared" si="284"/>
        <v>PC</v>
      </c>
      <c r="D198">
        <f t="shared" si="284"/>
        <v>1</v>
      </c>
      <c r="E198" t="str">
        <f t="shared" si="284"/>
        <v>PC1</v>
      </c>
      <c r="F198">
        <f t="shared" ref="B198:F198" si="285">F174</f>
        <v>2</v>
      </c>
      <c r="G198">
        <f t="shared" si="227"/>
        <v>2</v>
      </c>
      <c r="H198">
        <v>61</v>
      </c>
      <c r="I198">
        <v>0</v>
      </c>
      <c r="J198">
        <f t="shared" si="277"/>
        <v>1</v>
      </c>
      <c r="K198" s="1">
        <f t="shared" si="278"/>
        <v>3050</v>
      </c>
      <c r="L198">
        <f t="shared" si="228"/>
        <v>285000000</v>
      </c>
      <c r="M198" s="2">
        <f t="shared" si="279"/>
        <v>1.0701754385964912E-5</v>
      </c>
    </row>
    <row r="199" spans="1:13">
      <c r="A199">
        <v>3</v>
      </c>
      <c r="B199">
        <f t="shared" ref="B199:E199" si="286">B175</f>
        <v>6</v>
      </c>
      <c r="C199" t="str">
        <f t="shared" si="286"/>
        <v>PC</v>
      </c>
      <c r="D199">
        <f t="shared" si="286"/>
        <v>1</v>
      </c>
      <c r="E199" t="str">
        <f t="shared" si="286"/>
        <v>PC1</v>
      </c>
      <c r="F199">
        <f t="shared" ref="B199:F199" si="287">F175</f>
        <v>3</v>
      </c>
      <c r="G199">
        <f t="shared" si="227"/>
        <v>2</v>
      </c>
      <c r="H199">
        <v>60</v>
      </c>
      <c r="I199">
        <v>0</v>
      </c>
      <c r="J199">
        <f t="shared" si="277"/>
        <v>1</v>
      </c>
      <c r="K199" s="1">
        <f t="shared" si="278"/>
        <v>3000</v>
      </c>
      <c r="L199">
        <f t="shared" si="228"/>
        <v>179999999.99999997</v>
      </c>
      <c r="M199" s="2">
        <f t="shared" si="279"/>
        <v>1.6666666666666671E-5</v>
      </c>
    </row>
    <row r="200" spans="1:13">
      <c r="A200">
        <v>3</v>
      </c>
      <c r="B200">
        <f t="shared" ref="B200:E200" si="288">B176</f>
        <v>7</v>
      </c>
      <c r="C200" t="str">
        <f t="shared" si="288"/>
        <v>PC</v>
      </c>
      <c r="D200">
        <f t="shared" si="288"/>
        <v>2</v>
      </c>
      <c r="E200" t="str">
        <f t="shared" si="288"/>
        <v>PC2</v>
      </c>
      <c r="F200">
        <f t="shared" ref="B200:F200" si="289">F176</f>
        <v>1</v>
      </c>
      <c r="G200">
        <f t="shared" si="227"/>
        <v>2</v>
      </c>
      <c r="H200">
        <v>21</v>
      </c>
      <c r="I200">
        <v>4</v>
      </c>
      <c r="J200">
        <f t="shared" si="277"/>
        <v>1E-4</v>
      </c>
      <c r="K200" s="1">
        <f t="shared" si="278"/>
        <v>10499999.999999998</v>
      </c>
      <c r="L200">
        <f t="shared" si="228"/>
        <v>129999999.99999999</v>
      </c>
      <c r="M200" s="2">
        <f t="shared" si="279"/>
        <v>8.076923076923076E-2</v>
      </c>
    </row>
    <row r="201" spans="1:13">
      <c r="A201">
        <v>3</v>
      </c>
      <c r="B201">
        <f t="shared" ref="B201:E201" si="290">B177</f>
        <v>8</v>
      </c>
      <c r="C201" t="str">
        <f t="shared" si="290"/>
        <v>PC</v>
      </c>
      <c r="D201">
        <f t="shared" si="290"/>
        <v>2</v>
      </c>
      <c r="E201" t="str">
        <f t="shared" si="290"/>
        <v>PC2</v>
      </c>
      <c r="F201">
        <f t="shared" ref="B201:F201" si="291">F177</f>
        <v>2</v>
      </c>
      <c r="G201">
        <f t="shared" si="227"/>
        <v>2</v>
      </c>
      <c r="H201">
        <v>12</v>
      </c>
      <c r="I201">
        <v>4</v>
      </c>
      <c r="J201">
        <f t="shared" si="277"/>
        <v>1E-4</v>
      </c>
      <c r="K201" s="1">
        <f t="shared" si="278"/>
        <v>5999999.9999999991</v>
      </c>
      <c r="L201">
        <f t="shared" si="228"/>
        <v>129999999.99999999</v>
      </c>
      <c r="M201" s="2">
        <f t="shared" si="279"/>
        <v>4.6153846153846149E-2</v>
      </c>
    </row>
    <row r="202" spans="1:13">
      <c r="A202">
        <v>3</v>
      </c>
      <c r="B202">
        <f t="shared" ref="B202:E202" si="292">B178</f>
        <v>9</v>
      </c>
      <c r="C202" t="str">
        <f t="shared" si="292"/>
        <v>PC</v>
      </c>
      <c r="D202">
        <f t="shared" si="292"/>
        <v>2</v>
      </c>
      <c r="E202" t="str">
        <f t="shared" si="292"/>
        <v>PC2</v>
      </c>
      <c r="F202">
        <f t="shared" ref="B202:F202" si="293">F178</f>
        <v>3</v>
      </c>
      <c r="G202">
        <f t="shared" si="227"/>
        <v>2</v>
      </c>
      <c r="H202">
        <v>14</v>
      </c>
      <c r="I202">
        <v>4</v>
      </c>
      <c r="J202">
        <f t="shared" si="277"/>
        <v>1E-4</v>
      </c>
      <c r="K202" s="1">
        <f t="shared" si="278"/>
        <v>6999999.9999999991</v>
      </c>
      <c r="L202">
        <f t="shared" si="228"/>
        <v>129999999.99999999</v>
      </c>
      <c r="M202" s="2">
        <f t="shared" si="279"/>
        <v>5.3846153846153842E-2</v>
      </c>
    </row>
    <row r="203" spans="1:13">
      <c r="A203">
        <v>3</v>
      </c>
      <c r="B203">
        <f t="shared" ref="B203:E203" si="294">B179</f>
        <v>10</v>
      </c>
      <c r="C203" t="str">
        <f t="shared" si="294"/>
        <v>PC</v>
      </c>
      <c r="D203">
        <f t="shared" si="294"/>
        <v>3</v>
      </c>
      <c r="E203" t="str">
        <f t="shared" si="294"/>
        <v>PC3</v>
      </c>
      <c r="F203">
        <f t="shared" ref="B203:F203" si="295">F179</f>
        <v>1</v>
      </c>
      <c r="G203">
        <f t="shared" si="227"/>
        <v>2</v>
      </c>
      <c r="H203">
        <v>24</v>
      </c>
      <c r="I203">
        <v>1</v>
      </c>
      <c r="J203">
        <f t="shared" si="277"/>
        <v>0.1</v>
      </c>
      <c r="K203" s="1">
        <f t="shared" si="278"/>
        <v>12000</v>
      </c>
      <c r="L203">
        <f t="shared" si="228"/>
        <v>295000000</v>
      </c>
      <c r="M203" s="2">
        <f t="shared" si="279"/>
        <v>4.0677966101694917E-5</v>
      </c>
    </row>
    <row r="204" spans="1:13">
      <c r="A204">
        <v>3</v>
      </c>
      <c r="B204">
        <f t="shared" ref="B204:E204" si="296">B180</f>
        <v>11</v>
      </c>
      <c r="C204" t="str">
        <f t="shared" si="296"/>
        <v>PC</v>
      </c>
      <c r="D204">
        <f t="shared" si="296"/>
        <v>3</v>
      </c>
      <c r="E204" t="str">
        <f t="shared" si="296"/>
        <v>PC3</v>
      </c>
      <c r="F204">
        <f t="shared" ref="B204:F204" si="297">F180</f>
        <v>2</v>
      </c>
      <c r="G204">
        <f t="shared" si="227"/>
        <v>2</v>
      </c>
      <c r="H204">
        <v>26</v>
      </c>
      <c r="I204">
        <v>1</v>
      </c>
      <c r="J204">
        <f t="shared" si="277"/>
        <v>0.1</v>
      </c>
      <c r="K204" s="1">
        <f t="shared" si="278"/>
        <v>13000</v>
      </c>
      <c r="L204">
        <f t="shared" si="228"/>
        <v>209999999.99999997</v>
      </c>
      <c r="M204" s="2">
        <f t="shared" si="279"/>
        <v>6.1904761904761919E-5</v>
      </c>
    </row>
    <row r="205" spans="1:13">
      <c r="A205">
        <v>3</v>
      </c>
      <c r="B205">
        <f t="shared" ref="B205:E205" si="298">B181</f>
        <v>12</v>
      </c>
      <c r="C205" t="str">
        <f t="shared" si="298"/>
        <v>PC</v>
      </c>
      <c r="D205">
        <f t="shared" si="298"/>
        <v>3</v>
      </c>
      <c r="E205" t="str">
        <f t="shared" si="298"/>
        <v>PC3</v>
      </c>
      <c r="F205">
        <f t="shared" ref="B205:F205" si="299">F181</f>
        <v>3</v>
      </c>
      <c r="G205">
        <f t="shared" si="227"/>
        <v>2</v>
      </c>
      <c r="H205">
        <v>25</v>
      </c>
      <c r="I205">
        <v>1</v>
      </c>
      <c r="J205">
        <f t="shared" si="277"/>
        <v>0.1</v>
      </c>
      <c r="K205" s="1">
        <f t="shared" si="278"/>
        <v>12500</v>
      </c>
      <c r="L205">
        <f t="shared" si="228"/>
        <v>214999999.99999997</v>
      </c>
      <c r="M205" s="2">
        <f t="shared" si="279"/>
        <v>5.813953488372094E-5</v>
      </c>
    </row>
    <row r="206" spans="1:13">
      <c r="A206">
        <v>3</v>
      </c>
      <c r="B206">
        <f t="shared" ref="B206:E206" si="300">B182</f>
        <v>13</v>
      </c>
      <c r="C206" t="str">
        <f t="shared" si="300"/>
        <v>PC</v>
      </c>
      <c r="D206">
        <f t="shared" si="300"/>
        <v>4</v>
      </c>
      <c r="E206" t="str">
        <f t="shared" si="300"/>
        <v>PC7</v>
      </c>
      <c r="F206">
        <f t="shared" ref="B206:F206" si="301">F182</f>
        <v>1</v>
      </c>
      <c r="G206">
        <f t="shared" si="227"/>
        <v>2</v>
      </c>
      <c r="H206">
        <v>15</v>
      </c>
      <c r="I206">
        <v>3</v>
      </c>
      <c r="J206">
        <f t="shared" si="277"/>
        <v>1E-3</v>
      </c>
      <c r="K206" s="1">
        <f t="shared" si="278"/>
        <v>749999.99999999988</v>
      </c>
      <c r="L206">
        <f t="shared" si="228"/>
        <v>219999999.99999997</v>
      </c>
      <c r="M206" s="2">
        <f t="shared" si="279"/>
        <v>3.4090909090909089E-3</v>
      </c>
    </row>
    <row r="207" spans="1:13">
      <c r="A207">
        <v>3</v>
      </c>
      <c r="B207">
        <f t="shared" ref="B207:E207" si="302">B183</f>
        <v>14</v>
      </c>
      <c r="C207" t="str">
        <f t="shared" si="302"/>
        <v>PC</v>
      </c>
      <c r="D207">
        <f t="shared" si="302"/>
        <v>4</v>
      </c>
      <c r="E207" t="str">
        <f t="shared" si="302"/>
        <v>PC7</v>
      </c>
      <c r="F207">
        <f t="shared" ref="B207:F207" si="303">F183</f>
        <v>2</v>
      </c>
      <c r="G207">
        <f t="shared" si="227"/>
        <v>2</v>
      </c>
      <c r="H207">
        <v>17</v>
      </c>
      <c r="I207">
        <v>3</v>
      </c>
      <c r="J207">
        <f t="shared" si="277"/>
        <v>1E-3</v>
      </c>
      <c r="K207" s="1">
        <f t="shared" si="278"/>
        <v>849999.99999999988</v>
      </c>
      <c r="L207">
        <f t="shared" si="228"/>
        <v>160000000</v>
      </c>
      <c r="M207" s="2">
        <f t="shared" si="279"/>
        <v>5.3124999999999995E-3</v>
      </c>
    </row>
    <row r="208" spans="1:13">
      <c r="A208">
        <v>3</v>
      </c>
      <c r="B208">
        <f t="shared" ref="B208:E208" si="304">B184</f>
        <v>15</v>
      </c>
      <c r="C208" t="str">
        <f t="shared" si="304"/>
        <v>PC</v>
      </c>
      <c r="D208">
        <f t="shared" si="304"/>
        <v>4</v>
      </c>
      <c r="E208" t="str">
        <f t="shared" si="304"/>
        <v>PC7</v>
      </c>
      <c r="F208">
        <f t="shared" ref="B208:F208" si="305">F184</f>
        <v>3</v>
      </c>
      <c r="G208">
        <f t="shared" si="227"/>
        <v>2</v>
      </c>
      <c r="H208">
        <v>19</v>
      </c>
      <c r="I208">
        <v>3</v>
      </c>
      <c r="J208">
        <f t="shared" si="277"/>
        <v>1E-3</v>
      </c>
      <c r="K208" s="1">
        <f t="shared" si="278"/>
        <v>949999.99999999988</v>
      </c>
      <c r="L208">
        <f t="shared" si="228"/>
        <v>129999999.99999999</v>
      </c>
      <c r="M208" s="2">
        <f t="shared" si="279"/>
        <v>7.3076923076923076E-3</v>
      </c>
    </row>
    <row r="209" spans="1:13">
      <c r="A209">
        <v>3</v>
      </c>
      <c r="B209">
        <f t="shared" ref="B209:E209" si="306">B185</f>
        <v>16</v>
      </c>
      <c r="C209" t="str">
        <f t="shared" si="306"/>
        <v>PC</v>
      </c>
      <c r="D209">
        <f t="shared" si="306"/>
        <v>5</v>
      </c>
      <c r="E209" t="str">
        <f t="shared" si="306"/>
        <v>PC8</v>
      </c>
      <c r="F209">
        <f t="shared" ref="B209:F209" si="307">F185</f>
        <v>1</v>
      </c>
      <c r="G209">
        <f t="shared" si="227"/>
        <v>2</v>
      </c>
      <c r="H209">
        <v>2</v>
      </c>
      <c r="I209">
        <v>3</v>
      </c>
      <c r="J209">
        <f t="shared" si="277"/>
        <v>1E-3</v>
      </c>
      <c r="K209" s="1">
        <f t="shared" si="278"/>
        <v>99999.999999999985</v>
      </c>
      <c r="L209">
        <f t="shared" si="228"/>
        <v>199999999.99999997</v>
      </c>
      <c r="M209" s="2">
        <f t="shared" si="279"/>
        <v>5.0000000000000001E-4</v>
      </c>
    </row>
    <row r="210" spans="1:13">
      <c r="A210">
        <v>3</v>
      </c>
      <c r="B210">
        <f t="shared" ref="B210:E210" si="308">B186</f>
        <v>17</v>
      </c>
      <c r="C210" t="str">
        <f t="shared" si="308"/>
        <v>PC</v>
      </c>
      <c r="D210">
        <f t="shared" si="308"/>
        <v>5</v>
      </c>
      <c r="E210" t="str">
        <f t="shared" si="308"/>
        <v>PC8</v>
      </c>
      <c r="F210">
        <f t="shared" ref="B210:F210" si="309">F186</f>
        <v>2</v>
      </c>
      <c r="G210">
        <f t="shared" si="227"/>
        <v>2</v>
      </c>
      <c r="H210">
        <v>1</v>
      </c>
      <c r="I210">
        <v>3</v>
      </c>
      <c r="J210">
        <f t="shared" si="277"/>
        <v>1E-3</v>
      </c>
      <c r="K210" s="1">
        <f t="shared" si="278"/>
        <v>49999.999999999993</v>
      </c>
      <c r="L210">
        <f t="shared" si="228"/>
        <v>194999999.99999997</v>
      </c>
      <c r="M210" s="2">
        <f t="shared" si="279"/>
        <v>2.5641025641025641E-4</v>
      </c>
    </row>
    <row r="211" spans="1:13">
      <c r="A211">
        <v>3</v>
      </c>
      <c r="B211">
        <f t="shared" ref="B211:E211" si="310">B187</f>
        <v>18</v>
      </c>
      <c r="C211" t="str">
        <f t="shared" si="310"/>
        <v>PC</v>
      </c>
      <c r="D211">
        <f t="shared" si="310"/>
        <v>5</v>
      </c>
      <c r="E211" t="str">
        <f t="shared" si="310"/>
        <v>PC8</v>
      </c>
      <c r="F211">
        <f t="shared" ref="B211:F211" si="311">F187</f>
        <v>3</v>
      </c>
      <c r="G211">
        <f t="shared" si="227"/>
        <v>2</v>
      </c>
      <c r="H211">
        <v>40</v>
      </c>
      <c r="I211">
        <v>3</v>
      </c>
      <c r="J211">
        <f t="shared" si="277"/>
        <v>1E-3</v>
      </c>
      <c r="K211" s="1">
        <f t="shared" si="278"/>
        <v>1999999.9999999998</v>
      </c>
      <c r="L211">
        <f t="shared" si="228"/>
        <v>165000000</v>
      </c>
      <c r="M211" s="2">
        <f t="shared" si="279"/>
        <v>1.2121212121212119E-2</v>
      </c>
    </row>
    <row r="212" spans="1:13">
      <c r="A212">
        <v>3</v>
      </c>
      <c r="B212">
        <f t="shared" ref="B212:E212" si="312">B188</f>
        <v>19</v>
      </c>
      <c r="C212" t="str">
        <f t="shared" si="312"/>
        <v>PC</v>
      </c>
      <c r="D212">
        <f t="shared" si="312"/>
        <v>6</v>
      </c>
      <c r="E212" t="str">
        <f t="shared" si="312"/>
        <v>PC9</v>
      </c>
      <c r="F212">
        <f t="shared" ref="B212:F212" si="313">F188</f>
        <v>1</v>
      </c>
      <c r="G212">
        <f t="shared" si="227"/>
        <v>2</v>
      </c>
      <c r="H212">
        <v>41</v>
      </c>
      <c r="I212">
        <v>1</v>
      </c>
      <c r="J212">
        <f t="shared" si="277"/>
        <v>0.1</v>
      </c>
      <c r="K212" s="1">
        <f t="shared" si="278"/>
        <v>20500</v>
      </c>
      <c r="L212">
        <f t="shared" si="228"/>
        <v>184999999.99999997</v>
      </c>
      <c r="M212" s="2">
        <f t="shared" si="279"/>
        <v>1.1081081081081083E-4</v>
      </c>
    </row>
    <row r="213" spans="1:13">
      <c r="A213">
        <v>3</v>
      </c>
      <c r="B213">
        <f t="shared" ref="B213:E213" si="314">B189</f>
        <v>20</v>
      </c>
      <c r="C213" t="str">
        <f t="shared" si="314"/>
        <v>PC</v>
      </c>
      <c r="D213">
        <f t="shared" si="314"/>
        <v>6</v>
      </c>
      <c r="E213" t="str">
        <f t="shared" si="314"/>
        <v>PC9</v>
      </c>
      <c r="F213">
        <f t="shared" ref="B213:F213" si="315">F189</f>
        <v>2</v>
      </c>
      <c r="G213">
        <f t="shared" si="227"/>
        <v>2</v>
      </c>
      <c r="H213">
        <v>52</v>
      </c>
      <c r="I213">
        <v>1</v>
      </c>
      <c r="J213">
        <f t="shared" si="277"/>
        <v>0.1</v>
      </c>
      <c r="K213" s="1">
        <f t="shared" si="278"/>
        <v>26000</v>
      </c>
      <c r="L213">
        <f t="shared" si="228"/>
        <v>199999999.99999997</v>
      </c>
      <c r="M213" s="2">
        <f t="shared" si="279"/>
        <v>1.3000000000000002E-4</v>
      </c>
    </row>
    <row r="214" spans="1:13">
      <c r="A214">
        <v>3</v>
      </c>
      <c r="B214">
        <f t="shared" ref="B214:E214" si="316">B190</f>
        <v>21</v>
      </c>
      <c r="C214" t="str">
        <f t="shared" si="316"/>
        <v>PC</v>
      </c>
      <c r="D214">
        <f t="shared" si="316"/>
        <v>6</v>
      </c>
      <c r="E214" t="str">
        <f t="shared" si="316"/>
        <v>PC9</v>
      </c>
      <c r="F214">
        <f t="shared" ref="B214:F214" si="317">F190</f>
        <v>3</v>
      </c>
      <c r="G214">
        <f t="shared" si="227"/>
        <v>2</v>
      </c>
      <c r="H214">
        <v>51</v>
      </c>
      <c r="I214">
        <v>1</v>
      </c>
      <c r="J214">
        <f t="shared" si="277"/>
        <v>0.1</v>
      </c>
      <c r="K214" s="1">
        <f t="shared" si="278"/>
        <v>25500</v>
      </c>
      <c r="L214">
        <f t="shared" si="228"/>
        <v>184999999.99999997</v>
      </c>
      <c r="M214" s="2">
        <f t="shared" si="279"/>
        <v>1.3783783783783785E-4</v>
      </c>
    </row>
    <row r="215" spans="1:13">
      <c r="A215">
        <v>3</v>
      </c>
      <c r="B215">
        <f t="shared" ref="B215:E215" si="318">B191</f>
        <v>22</v>
      </c>
      <c r="C215" t="str">
        <f t="shared" si="318"/>
        <v>PC</v>
      </c>
      <c r="D215">
        <f t="shared" si="318"/>
        <v>7</v>
      </c>
      <c r="E215" t="str">
        <f t="shared" si="318"/>
        <v>PC10</v>
      </c>
      <c r="F215">
        <f t="shared" ref="B215:F215" si="319">F191</f>
        <v>1</v>
      </c>
      <c r="G215">
        <f t="shared" si="227"/>
        <v>2</v>
      </c>
      <c r="H215">
        <v>10</v>
      </c>
      <c r="I215">
        <v>4</v>
      </c>
      <c r="J215">
        <f t="shared" si="277"/>
        <v>1E-4</v>
      </c>
      <c r="K215" s="1">
        <f t="shared" si="278"/>
        <v>4999999.9999999991</v>
      </c>
      <c r="L215">
        <f t="shared" si="228"/>
        <v>239999999.99999997</v>
      </c>
      <c r="M215" s="2">
        <f t="shared" si="279"/>
        <v>2.0833333333333332E-2</v>
      </c>
    </row>
    <row r="216" spans="1:13">
      <c r="A216">
        <v>3</v>
      </c>
      <c r="B216">
        <f t="shared" ref="B216:E216" si="320">B192</f>
        <v>23</v>
      </c>
      <c r="C216" t="str">
        <f t="shared" si="320"/>
        <v>PC</v>
      </c>
      <c r="D216">
        <f t="shared" si="320"/>
        <v>7</v>
      </c>
      <c r="E216" t="str">
        <f t="shared" si="320"/>
        <v>PC10</v>
      </c>
      <c r="F216">
        <f t="shared" ref="B216:F216" si="321">F192</f>
        <v>2</v>
      </c>
      <c r="G216">
        <f t="shared" si="227"/>
        <v>2</v>
      </c>
      <c r="H216">
        <v>8</v>
      </c>
      <c r="I216">
        <v>4</v>
      </c>
      <c r="J216">
        <f t="shared" si="277"/>
        <v>1E-4</v>
      </c>
      <c r="K216" s="1">
        <f t="shared" si="278"/>
        <v>3999999.9999999995</v>
      </c>
      <c r="L216">
        <f t="shared" si="228"/>
        <v>264999999.99999997</v>
      </c>
      <c r="M216" s="2">
        <f t="shared" si="279"/>
        <v>1.509433962264151E-2</v>
      </c>
    </row>
    <row r="217" spans="1:13">
      <c r="A217">
        <v>3</v>
      </c>
      <c r="B217">
        <f t="shared" ref="B217:E217" si="322">B193</f>
        <v>24</v>
      </c>
      <c r="C217" t="str">
        <f t="shared" si="322"/>
        <v>PC</v>
      </c>
      <c r="D217">
        <f t="shared" si="322"/>
        <v>7</v>
      </c>
      <c r="E217" t="str">
        <f t="shared" si="322"/>
        <v>PC10</v>
      </c>
      <c r="F217">
        <f t="shared" ref="B217:F217" si="323">F193</f>
        <v>3</v>
      </c>
      <c r="G217">
        <f t="shared" si="227"/>
        <v>2</v>
      </c>
      <c r="H217">
        <v>25</v>
      </c>
      <c r="I217">
        <v>4</v>
      </c>
      <c r="J217">
        <f t="shared" si="277"/>
        <v>1E-4</v>
      </c>
      <c r="K217" s="1">
        <f t="shared" si="278"/>
        <v>12499999.999999998</v>
      </c>
      <c r="L217">
        <f t="shared" si="228"/>
        <v>170000000</v>
      </c>
      <c r="M217" s="2">
        <f t="shared" si="279"/>
        <v>7.3529411764705871E-2</v>
      </c>
    </row>
    <row r="218" spans="1:13">
      <c r="A218">
        <v>3</v>
      </c>
      <c r="B218">
        <f t="shared" ref="B218:E218" si="324">B194</f>
        <v>1</v>
      </c>
      <c r="C218" t="str">
        <f t="shared" si="324"/>
        <v>P</v>
      </c>
      <c r="D218">
        <f t="shared" si="324"/>
        <v>1</v>
      </c>
      <c r="E218" t="str">
        <f t="shared" si="324"/>
        <v>P1</v>
      </c>
      <c r="F218">
        <f t="shared" ref="B218:F218" si="325">F194</f>
        <v>1</v>
      </c>
      <c r="G218">
        <f t="shared" si="227"/>
        <v>3</v>
      </c>
      <c r="H218">
        <v>4</v>
      </c>
      <c r="I218">
        <v>-1</v>
      </c>
      <c r="J218">
        <f t="shared" si="277"/>
        <v>10</v>
      </c>
      <c r="K218" s="1">
        <f t="shared" si="278"/>
        <v>20</v>
      </c>
      <c r="L218">
        <f t="shared" si="228"/>
        <v>194999999.99999997</v>
      </c>
      <c r="M218" s="2">
        <f t="shared" si="279"/>
        <v>1.0256410256410259E-7</v>
      </c>
    </row>
    <row r="219" spans="1:13">
      <c r="A219">
        <v>3</v>
      </c>
      <c r="B219">
        <f t="shared" ref="B219:E219" si="326">B195</f>
        <v>2</v>
      </c>
      <c r="C219" t="str">
        <f t="shared" si="326"/>
        <v>P</v>
      </c>
      <c r="D219">
        <f t="shared" si="326"/>
        <v>1</v>
      </c>
      <c r="E219" t="str">
        <f t="shared" si="326"/>
        <v>P1</v>
      </c>
      <c r="F219">
        <f t="shared" ref="B219:F219" si="327">F195</f>
        <v>2</v>
      </c>
      <c r="G219">
        <f t="shared" si="227"/>
        <v>3</v>
      </c>
      <c r="H219">
        <v>16</v>
      </c>
      <c r="I219">
        <v>-1</v>
      </c>
      <c r="J219">
        <f t="shared" si="277"/>
        <v>10</v>
      </c>
      <c r="K219" s="1">
        <f t="shared" si="278"/>
        <v>80</v>
      </c>
      <c r="L219">
        <f t="shared" si="228"/>
        <v>244999999.99999997</v>
      </c>
      <c r="M219" s="2">
        <f t="shared" si="279"/>
        <v>3.2653061224489797E-7</v>
      </c>
    </row>
    <row r="220" spans="1:13">
      <c r="A220">
        <v>3</v>
      </c>
      <c r="B220">
        <f t="shared" ref="B220:E220" si="328">B196</f>
        <v>3</v>
      </c>
      <c r="C220" t="str">
        <f t="shared" si="328"/>
        <v>P</v>
      </c>
      <c r="D220">
        <f t="shared" si="328"/>
        <v>1</v>
      </c>
      <c r="E220" t="str">
        <f t="shared" si="328"/>
        <v>P1</v>
      </c>
      <c r="F220">
        <f t="shared" ref="B220:F220" si="329">F196</f>
        <v>3</v>
      </c>
      <c r="G220">
        <f t="shared" si="227"/>
        <v>3</v>
      </c>
      <c r="H220">
        <v>11</v>
      </c>
      <c r="I220">
        <v>-1</v>
      </c>
      <c r="J220">
        <f t="shared" si="277"/>
        <v>10</v>
      </c>
      <c r="K220" s="1">
        <f t="shared" si="278"/>
        <v>55</v>
      </c>
      <c r="L220">
        <f t="shared" si="228"/>
        <v>179999999.99999997</v>
      </c>
      <c r="M220" s="2">
        <f t="shared" si="279"/>
        <v>3.0555555555555558E-7</v>
      </c>
    </row>
    <row r="221" spans="1:13">
      <c r="A221">
        <v>3</v>
      </c>
      <c r="B221">
        <f t="shared" ref="B221:E221" si="330">B197</f>
        <v>4</v>
      </c>
      <c r="C221" t="str">
        <f t="shared" si="330"/>
        <v>PC</v>
      </c>
      <c r="D221">
        <f t="shared" si="330"/>
        <v>1</v>
      </c>
      <c r="E221" t="str">
        <f t="shared" si="330"/>
        <v>PC1</v>
      </c>
      <c r="F221">
        <f t="shared" ref="B221:F221" si="331">F197</f>
        <v>1</v>
      </c>
      <c r="G221">
        <f t="shared" si="227"/>
        <v>3</v>
      </c>
      <c r="H221">
        <v>38</v>
      </c>
      <c r="I221">
        <v>0</v>
      </c>
      <c r="J221">
        <f t="shared" si="277"/>
        <v>1</v>
      </c>
      <c r="K221" s="1">
        <f t="shared" si="278"/>
        <v>1900</v>
      </c>
      <c r="L221">
        <f t="shared" si="228"/>
        <v>320000000</v>
      </c>
      <c r="M221" s="2">
        <f t="shared" si="279"/>
        <v>5.9375000000000003E-6</v>
      </c>
    </row>
    <row r="222" spans="1:13">
      <c r="A222">
        <v>3</v>
      </c>
      <c r="B222">
        <f t="shared" ref="B222:E222" si="332">B198</f>
        <v>5</v>
      </c>
      <c r="C222" t="str">
        <f t="shared" si="332"/>
        <v>PC</v>
      </c>
      <c r="D222">
        <f t="shared" si="332"/>
        <v>1</v>
      </c>
      <c r="E222" t="str">
        <f t="shared" si="332"/>
        <v>PC1</v>
      </c>
      <c r="F222">
        <f t="shared" ref="B222:F222" si="333">F198</f>
        <v>2</v>
      </c>
      <c r="G222">
        <f t="shared" si="227"/>
        <v>3</v>
      </c>
      <c r="H222">
        <v>35</v>
      </c>
      <c r="I222">
        <v>0</v>
      </c>
      <c r="J222">
        <f t="shared" si="277"/>
        <v>1</v>
      </c>
      <c r="K222" s="1">
        <f t="shared" si="278"/>
        <v>1750</v>
      </c>
      <c r="L222">
        <f t="shared" si="228"/>
        <v>285000000</v>
      </c>
      <c r="M222" s="2">
        <f t="shared" si="279"/>
        <v>6.1403508771929822E-6</v>
      </c>
    </row>
    <row r="223" spans="1:13">
      <c r="A223">
        <v>3</v>
      </c>
      <c r="B223">
        <f t="shared" ref="B223:E223" si="334">B199</f>
        <v>6</v>
      </c>
      <c r="C223" t="str">
        <f t="shared" si="334"/>
        <v>PC</v>
      </c>
      <c r="D223">
        <f t="shared" si="334"/>
        <v>1</v>
      </c>
      <c r="E223" t="str">
        <f t="shared" si="334"/>
        <v>PC1</v>
      </c>
      <c r="F223">
        <f t="shared" ref="B223:F223" si="335">F199</f>
        <v>3</v>
      </c>
      <c r="G223">
        <f t="shared" si="227"/>
        <v>3</v>
      </c>
      <c r="H223">
        <v>31</v>
      </c>
      <c r="I223">
        <v>0</v>
      </c>
      <c r="J223">
        <f t="shared" si="277"/>
        <v>1</v>
      </c>
      <c r="K223" s="1">
        <f t="shared" si="278"/>
        <v>1550</v>
      </c>
      <c r="L223">
        <f t="shared" si="228"/>
        <v>179999999.99999997</v>
      </c>
      <c r="M223" s="2">
        <f t="shared" si="279"/>
        <v>8.6111111111111119E-6</v>
      </c>
    </row>
    <row r="224" spans="1:13">
      <c r="A224">
        <v>3</v>
      </c>
      <c r="B224">
        <f t="shared" ref="B224:E224" si="336">B200</f>
        <v>7</v>
      </c>
      <c r="C224" t="str">
        <f t="shared" si="336"/>
        <v>PC</v>
      </c>
      <c r="D224">
        <f t="shared" si="336"/>
        <v>2</v>
      </c>
      <c r="E224" t="str">
        <f t="shared" si="336"/>
        <v>PC2</v>
      </c>
      <c r="F224">
        <f t="shared" ref="B224:F224" si="337">F200</f>
        <v>1</v>
      </c>
      <c r="G224">
        <f t="shared" si="227"/>
        <v>3</v>
      </c>
      <c r="H224">
        <v>27</v>
      </c>
      <c r="I224">
        <v>3</v>
      </c>
      <c r="J224">
        <f t="shared" si="277"/>
        <v>1E-3</v>
      </c>
      <c r="K224" s="1">
        <f t="shared" si="278"/>
        <v>1350000</v>
      </c>
      <c r="L224">
        <f t="shared" si="228"/>
        <v>129999999.99999999</v>
      </c>
      <c r="M224" s="2">
        <f t="shared" si="279"/>
        <v>1.0384615384615386E-2</v>
      </c>
    </row>
    <row r="225" spans="1:13">
      <c r="A225">
        <v>3</v>
      </c>
      <c r="B225">
        <f t="shared" ref="B225:E225" si="338">B201</f>
        <v>8</v>
      </c>
      <c r="C225" t="str">
        <f t="shared" si="338"/>
        <v>PC</v>
      </c>
      <c r="D225">
        <f t="shared" si="338"/>
        <v>2</v>
      </c>
      <c r="E225" t="str">
        <f t="shared" si="338"/>
        <v>PC2</v>
      </c>
      <c r="F225">
        <f t="shared" ref="B225:F225" si="339">F201</f>
        <v>2</v>
      </c>
      <c r="G225">
        <f t="shared" si="227"/>
        <v>3</v>
      </c>
      <c r="H225">
        <v>29</v>
      </c>
      <c r="I225">
        <v>3</v>
      </c>
      <c r="J225">
        <f t="shared" si="277"/>
        <v>1E-3</v>
      </c>
      <c r="K225" s="1">
        <f t="shared" si="278"/>
        <v>1449999.9999999998</v>
      </c>
      <c r="L225">
        <f t="shared" si="228"/>
        <v>129999999.99999999</v>
      </c>
      <c r="M225" s="2">
        <f t="shared" si="279"/>
        <v>1.1153846153846153E-2</v>
      </c>
    </row>
    <row r="226" spans="1:13">
      <c r="A226">
        <v>3</v>
      </c>
      <c r="B226">
        <f t="shared" ref="B226:E226" si="340">B202</f>
        <v>9</v>
      </c>
      <c r="C226" t="str">
        <f t="shared" si="340"/>
        <v>PC</v>
      </c>
      <c r="D226">
        <f t="shared" si="340"/>
        <v>2</v>
      </c>
      <c r="E226" t="str">
        <f t="shared" si="340"/>
        <v>PC2</v>
      </c>
      <c r="F226">
        <f t="shared" ref="B226:F226" si="341">F202</f>
        <v>3</v>
      </c>
      <c r="G226">
        <f t="shared" si="227"/>
        <v>3</v>
      </c>
      <c r="H226">
        <v>36</v>
      </c>
      <c r="I226">
        <v>3</v>
      </c>
      <c r="J226">
        <f t="shared" si="277"/>
        <v>1E-3</v>
      </c>
      <c r="K226" s="1">
        <f t="shared" si="278"/>
        <v>1799999.9999999998</v>
      </c>
      <c r="L226">
        <f t="shared" si="228"/>
        <v>129999999.99999999</v>
      </c>
      <c r="M226" s="2">
        <f t="shared" si="279"/>
        <v>1.3846153846153847E-2</v>
      </c>
    </row>
    <row r="227" spans="1:13">
      <c r="A227">
        <v>3</v>
      </c>
      <c r="B227">
        <f t="shared" ref="B227:E227" si="342">B203</f>
        <v>10</v>
      </c>
      <c r="C227" t="str">
        <f t="shared" si="342"/>
        <v>PC</v>
      </c>
      <c r="D227">
        <f t="shared" si="342"/>
        <v>3</v>
      </c>
      <c r="E227" t="str">
        <f t="shared" si="342"/>
        <v>PC3</v>
      </c>
      <c r="F227">
        <f t="shared" ref="B227:F227" si="343">F203</f>
        <v>1</v>
      </c>
      <c r="G227">
        <f t="shared" si="227"/>
        <v>3</v>
      </c>
      <c r="H227">
        <v>13</v>
      </c>
      <c r="I227">
        <v>1</v>
      </c>
      <c r="J227">
        <f t="shared" si="277"/>
        <v>0.1</v>
      </c>
      <c r="K227" s="1">
        <f t="shared" si="278"/>
        <v>6500</v>
      </c>
      <c r="L227">
        <f t="shared" si="228"/>
        <v>295000000</v>
      </c>
      <c r="M227" s="2">
        <f t="shared" si="279"/>
        <v>2.2033898305084744E-5</v>
      </c>
    </row>
    <row r="228" spans="1:13">
      <c r="A228">
        <v>3</v>
      </c>
      <c r="B228">
        <f t="shared" ref="B228:E228" si="344">B204</f>
        <v>11</v>
      </c>
      <c r="C228" t="str">
        <f t="shared" si="344"/>
        <v>PC</v>
      </c>
      <c r="D228">
        <f t="shared" si="344"/>
        <v>3</v>
      </c>
      <c r="E228" t="str">
        <f t="shared" si="344"/>
        <v>PC3</v>
      </c>
      <c r="F228">
        <f t="shared" ref="B228:F228" si="345">F204</f>
        <v>2</v>
      </c>
      <c r="G228">
        <f t="shared" si="227"/>
        <v>3</v>
      </c>
      <c r="H228">
        <v>16</v>
      </c>
      <c r="I228">
        <v>1</v>
      </c>
      <c r="J228">
        <f t="shared" si="277"/>
        <v>0.1</v>
      </c>
      <c r="K228" s="1">
        <f t="shared" si="278"/>
        <v>8000</v>
      </c>
      <c r="L228">
        <f t="shared" si="228"/>
        <v>209999999.99999997</v>
      </c>
      <c r="M228" s="2">
        <f t="shared" si="279"/>
        <v>3.8095238095238099E-5</v>
      </c>
    </row>
    <row r="229" spans="1:13">
      <c r="A229">
        <v>3</v>
      </c>
      <c r="B229">
        <f t="shared" ref="B229:E229" si="346">B205</f>
        <v>12</v>
      </c>
      <c r="C229" t="str">
        <f t="shared" si="346"/>
        <v>PC</v>
      </c>
      <c r="D229">
        <f t="shared" si="346"/>
        <v>3</v>
      </c>
      <c r="E229" t="str">
        <f t="shared" si="346"/>
        <v>PC3</v>
      </c>
      <c r="F229">
        <f t="shared" ref="B229:F229" si="347">F205</f>
        <v>3</v>
      </c>
      <c r="G229">
        <f t="shared" si="227"/>
        <v>3</v>
      </c>
      <c r="H229">
        <v>17</v>
      </c>
      <c r="I229">
        <v>1</v>
      </c>
      <c r="J229">
        <f t="shared" si="277"/>
        <v>0.1</v>
      </c>
      <c r="K229" s="1">
        <f t="shared" si="278"/>
        <v>8500</v>
      </c>
      <c r="L229">
        <f t="shared" si="228"/>
        <v>214999999.99999997</v>
      </c>
      <c r="M229" s="2">
        <f t="shared" si="279"/>
        <v>3.953488372093024E-5</v>
      </c>
    </row>
    <row r="230" spans="1:13">
      <c r="A230">
        <v>3</v>
      </c>
      <c r="B230">
        <f t="shared" ref="B230:E230" si="348">B206</f>
        <v>13</v>
      </c>
      <c r="C230" t="str">
        <f t="shared" si="348"/>
        <v>PC</v>
      </c>
      <c r="D230">
        <f t="shared" si="348"/>
        <v>4</v>
      </c>
      <c r="E230" t="str">
        <f t="shared" si="348"/>
        <v>PC7</v>
      </c>
      <c r="F230">
        <f t="shared" ref="B230:F230" si="349">F206</f>
        <v>1</v>
      </c>
      <c r="G230">
        <f t="shared" si="227"/>
        <v>3</v>
      </c>
      <c r="H230">
        <v>50</v>
      </c>
      <c r="I230">
        <v>2</v>
      </c>
      <c r="J230">
        <f t="shared" si="277"/>
        <v>0.01</v>
      </c>
      <c r="K230" s="1">
        <f t="shared" si="278"/>
        <v>250000</v>
      </c>
      <c r="L230">
        <f t="shared" si="228"/>
        <v>219999999.99999997</v>
      </c>
      <c r="M230" s="2">
        <f t="shared" si="279"/>
        <v>1.1363636363636365E-3</v>
      </c>
    </row>
    <row r="231" spans="1:13">
      <c r="A231">
        <v>3</v>
      </c>
      <c r="B231">
        <f t="shared" ref="B231:E231" si="350">B207</f>
        <v>14</v>
      </c>
      <c r="C231" t="str">
        <f t="shared" si="350"/>
        <v>PC</v>
      </c>
      <c r="D231">
        <f t="shared" si="350"/>
        <v>4</v>
      </c>
      <c r="E231" t="str">
        <f t="shared" si="350"/>
        <v>PC7</v>
      </c>
      <c r="F231">
        <f t="shared" ref="B231:F231" si="351">F207</f>
        <v>2</v>
      </c>
      <c r="G231">
        <f t="shared" si="227"/>
        <v>3</v>
      </c>
      <c r="H231">
        <v>49</v>
      </c>
      <c r="I231">
        <v>2</v>
      </c>
      <c r="J231">
        <f t="shared" si="277"/>
        <v>0.01</v>
      </c>
      <c r="K231" s="1">
        <f t="shared" si="278"/>
        <v>245000</v>
      </c>
      <c r="L231">
        <f t="shared" si="228"/>
        <v>160000000</v>
      </c>
      <c r="M231" s="2">
        <f t="shared" si="279"/>
        <v>1.5312500000000001E-3</v>
      </c>
    </row>
    <row r="232" spans="1:13">
      <c r="A232">
        <v>3</v>
      </c>
      <c r="B232">
        <f t="shared" ref="B232:E232" si="352">B208</f>
        <v>15</v>
      </c>
      <c r="C232" t="str">
        <f t="shared" si="352"/>
        <v>PC</v>
      </c>
      <c r="D232">
        <f t="shared" si="352"/>
        <v>4</v>
      </c>
      <c r="E232" t="str">
        <f t="shared" si="352"/>
        <v>PC7</v>
      </c>
      <c r="F232">
        <f t="shared" ref="B232:F232" si="353">F208</f>
        <v>3</v>
      </c>
      <c r="G232">
        <f t="shared" si="227"/>
        <v>3</v>
      </c>
      <c r="H232">
        <v>42</v>
      </c>
      <c r="I232">
        <v>2</v>
      </c>
      <c r="J232">
        <f t="shared" si="277"/>
        <v>0.01</v>
      </c>
      <c r="K232" s="1">
        <f t="shared" si="278"/>
        <v>210000</v>
      </c>
      <c r="L232">
        <f t="shared" si="228"/>
        <v>129999999.99999999</v>
      </c>
      <c r="M232" s="2">
        <f t="shared" si="279"/>
        <v>1.6153846153846155E-3</v>
      </c>
    </row>
    <row r="233" spans="1:13">
      <c r="A233">
        <v>3</v>
      </c>
      <c r="B233">
        <f t="shared" ref="B233:E233" si="354">B209</f>
        <v>16</v>
      </c>
      <c r="C233" t="str">
        <f t="shared" si="354"/>
        <v>PC</v>
      </c>
      <c r="D233">
        <f t="shared" si="354"/>
        <v>5</v>
      </c>
      <c r="E233" t="str">
        <f t="shared" si="354"/>
        <v>PC8</v>
      </c>
      <c r="F233">
        <f t="shared" ref="B233:F233" si="355">F209</f>
        <v>1</v>
      </c>
      <c r="G233">
        <f t="shared" si="227"/>
        <v>3</v>
      </c>
      <c r="H233">
        <v>12</v>
      </c>
      <c r="I233">
        <v>3</v>
      </c>
      <c r="J233">
        <f t="shared" si="277"/>
        <v>1E-3</v>
      </c>
      <c r="K233" s="1">
        <f t="shared" si="278"/>
        <v>600000</v>
      </c>
      <c r="L233">
        <f t="shared" si="228"/>
        <v>199999999.99999997</v>
      </c>
      <c r="M233" s="2">
        <f t="shared" si="279"/>
        <v>3.0000000000000005E-3</v>
      </c>
    </row>
    <row r="234" spans="1:13">
      <c r="A234">
        <v>3</v>
      </c>
      <c r="B234">
        <f t="shared" ref="B234:E234" si="356">B210</f>
        <v>17</v>
      </c>
      <c r="C234" t="str">
        <f t="shared" si="356"/>
        <v>PC</v>
      </c>
      <c r="D234">
        <f t="shared" si="356"/>
        <v>5</v>
      </c>
      <c r="E234" t="str">
        <f t="shared" si="356"/>
        <v>PC8</v>
      </c>
      <c r="F234">
        <f t="shared" ref="B234:F234" si="357">F210</f>
        <v>2</v>
      </c>
      <c r="G234">
        <f t="shared" si="227"/>
        <v>3</v>
      </c>
      <c r="H234">
        <v>16</v>
      </c>
      <c r="I234">
        <v>3</v>
      </c>
      <c r="J234">
        <f t="shared" si="277"/>
        <v>1E-3</v>
      </c>
      <c r="K234" s="1">
        <f t="shared" si="278"/>
        <v>799999.99999999988</v>
      </c>
      <c r="L234">
        <f t="shared" si="228"/>
        <v>194999999.99999997</v>
      </c>
      <c r="M234" s="2">
        <f t="shared" si="279"/>
        <v>4.1025641025641026E-3</v>
      </c>
    </row>
    <row r="235" spans="1:13">
      <c r="A235">
        <v>3</v>
      </c>
      <c r="B235">
        <f t="shared" ref="B235:E235" si="358">B211</f>
        <v>18</v>
      </c>
      <c r="C235" t="str">
        <f t="shared" si="358"/>
        <v>PC</v>
      </c>
      <c r="D235">
        <f t="shared" si="358"/>
        <v>5</v>
      </c>
      <c r="E235" t="str">
        <f t="shared" si="358"/>
        <v>PC8</v>
      </c>
      <c r="F235">
        <f t="shared" ref="B235:F235" si="359">F211</f>
        <v>3</v>
      </c>
      <c r="G235">
        <f t="shared" ref="G235:G283" si="360">G211+1</f>
        <v>3</v>
      </c>
      <c r="H235">
        <v>14</v>
      </c>
      <c r="I235">
        <v>3</v>
      </c>
      <c r="J235">
        <f t="shared" si="277"/>
        <v>1E-3</v>
      </c>
      <c r="K235" s="1">
        <f t="shared" si="278"/>
        <v>700000</v>
      </c>
      <c r="L235">
        <f t="shared" ref="L235:L289" si="361">L211</f>
        <v>165000000</v>
      </c>
      <c r="M235" s="2">
        <f t="shared" si="279"/>
        <v>4.2424242424242429E-3</v>
      </c>
    </row>
    <row r="236" spans="1:13">
      <c r="A236">
        <v>3</v>
      </c>
      <c r="B236">
        <f t="shared" ref="B236:E236" si="362">B212</f>
        <v>19</v>
      </c>
      <c r="C236" t="str">
        <f t="shared" si="362"/>
        <v>PC</v>
      </c>
      <c r="D236">
        <f t="shared" si="362"/>
        <v>6</v>
      </c>
      <c r="E236" t="str">
        <f t="shared" si="362"/>
        <v>PC9</v>
      </c>
      <c r="F236">
        <f t="shared" ref="B236:F236" si="363">F212</f>
        <v>1</v>
      </c>
      <c r="G236">
        <f t="shared" si="360"/>
        <v>3</v>
      </c>
      <c r="H236">
        <v>12</v>
      </c>
      <c r="I236">
        <v>3</v>
      </c>
      <c r="J236">
        <f t="shared" si="277"/>
        <v>1E-3</v>
      </c>
      <c r="K236" s="1">
        <f t="shared" si="278"/>
        <v>600000</v>
      </c>
      <c r="L236">
        <f t="shared" si="361"/>
        <v>184999999.99999997</v>
      </c>
      <c r="M236" s="2">
        <f t="shared" si="279"/>
        <v>3.2432432432432439E-3</v>
      </c>
    </row>
    <row r="237" spans="1:13">
      <c r="A237">
        <v>3</v>
      </c>
      <c r="B237">
        <f t="shared" ref="B237:E237" si="364">B213</f>
        <v>20</v>
      </c>
      <c r="C237" t="str">
        <f t="shared" si="364"/>
        <v>PC</v>
      </c>
      <c r="D237">
        <f t="shared" si="364"/>
        <v>6</v>
      </c>
      <c r="E237" t="str">
        <f t="shared" si="364"/>
        <v>PC9</v>
      </c>
      <c r="F237">
        <f t="shared" ref="B237:F237" si="365">F213</f>
        <v>2</v>
      </c>
      <c r="G237">
        <f t="shared" si="360"/>
        <v>3</v>
      </c>
      <c r="H237">
        <v>40</v>
      </c>
      <c r="I237">
        <v>1</v>
      </c>
      <c r="J237">
        <f t="shared" si="277"/>
        <v>0.1</v>
      </c>
      <c r="K237" s="1">
        <f t="shared" si="278"/>
        <v>20000</v>
      </c>
      <c r="L237">
        <f t="shared" si="361"/>
        <v>199999999.99999997</v>
      </c>
      <c r="M237" s="2">
        <f t="shared" si="279"/>
        <v>1.0000000000000002E-4</v>
      </c>
    </row>
    <row r="238" spans="1:13">
      <c r="A238">
        <v>3</v>
      </c>
      <c r="B238">
        <f t="shared" ref="B238:E238" si="366">B214</f>
        <v>21</v>
      </c>
      <c r="C238" t="str">
        <f t="shared" si="366"/>
        <v>PC</v>
      </c>
      <c r="D238">
        <f t="shared" si="366"/>
        <v>6</v>
      </c>
      <c r="E238" t="str">
        <f t="shared" si="366"/>
        <v>PC9</v>
      </c>
      <c r="F238">
        <f t="shared" ref="B238:F238" si="367">F214</f>
        <v>3</v>
      </c>
      <c r="G238">
        <f t="shared" si="360"/>
        <v>3</v>
      </c>
      <c r="H238">
        <v>37</v>
      </c>
      <c r="I238">
        <v>1</v>
      </c>
      <c r="J238">
        <f t="shared" si="277"/>
        <v>0.1</v>
      </c>
      <c r="K238" s="1">
        <f t="shared" si="278"/>
        <v>18500</v>
      </c>
      <c r="L238">
        <f t="shared" si="361"/>
        <v>184999999.99999997</v>
      </c>
      <c r="M238" s="2">
        <f t="shared" si="279"/>
        <v>1.0000000000000002E-4</v>
      </c>
    </row>
    <row r="239" spans="1:13">
      <c r="A239">
        <v>3</v>
      </c>
      <c r="B239">
        <f t="shared" ref="B239:E239" si="368">B215</f>
        <v>22</v>
      </c>
      <c r="C239" t="str">
        <f t="shared" si="368"/>
        <v>PC</v>
      </c>
      <c r="D239">
        <f t="shared" si="368"/>
        <v>7</v>
      </c>
      <c r="E239" t="str">
        <f t="shared" si="368"/>
        <v>PC10</v>
      </c>
      <c r="F239">
        <f t="shared" ref="B239:F239" si="369">F215</f>
        <v>1</v>
      </c>
      <c r="G239">
        <f t="shared" si="360"/>
        <v>3</v>
      </c>
      <c r="H239">
        <v>22</v>
      </c>
      <c r="I239">
        <v>4</v>
      </c>
      <c r="J239">
        <f t="shared" si="277"/>
        <v>1E-4</v>
      </c>
      <c r="K239" s="1">
        <f t="shared" si="278"/>
        <v>10999999.999999998</v>
      </c>
      <c r="L239">
        <f t="shared" si="361"/>
        <v>239999999.99999997</v>
      </c>
      <c r="M239" s="2">
        <f t="shared" si="279"/>
        <v>4.583333333333333E-2</v>
      </c>
    </row>
    <row r="240" spans="1:13">
      <c r="A240">
        <v>3</v>
      </c>
      <c r="B240">
        <f t="shared" ref="B240:E240" si="370">B216</f>
        <v>23</v>
      </c>
      <c r="C240" t="str">
        <f t="shared" si="370"/>
        <v>PC</v>
      </c>
      <c r="D240">
        <f t="shared" si="370"/>
        <v>7</v>
      </c>
      <c r="E240" t="str">
        <f t="shared" si="370"/>
        <v>PC10</v>
      </c>
      <c r="F240">
        <f t="shared" ref="B240:F240" si="371">F216</f>
        <v>2</v>
      </c>
      <c r="G240">
        <f t="shared" si="360"/>
        <v>3</v>
      </c>
      <c r="H240">
        <v>11</v>
      </c>
      <c r="I240">
        <v>4</v>
      </c>
      <c r="J240">
        <f t="shared" si="277"/>
        <v>1E-4</v>
      </c>
      <c r="K240" s="1">
        <f t="shared" si="278"/>
        <v>5499999.9999999991</v>
      </c>
      <c r="L240">
        <f t="shared" si="361"/>
        <v>264999999.99999997</v>
      </c>
      <c r="M240" s="2">
        <f t="shared" si="279"/>
        <v>2.0754716981132074E-2</v>
      </c>
    </row>
    <row r="241" spans="1:13">
      <c r="A241">
        <v>3</v>
      </c>
      <c r="B241">
        <f t="shared" ref="B241:E241" si="372">B217</f>
        <v>24</v>
      </c>
      <c r="C241" t="str">
        <f t="shared" si="372"/>
        <v>PC</v>
      </c>
      <c r="D241">
        <f t="shared" si="372"/>
        <v>7</v>
      </c>
      <c r="E241" t="str">
        <f t="shared" si="372"/>
        <v>PC10</v>
      </c>
      <c r="F241">
        <f t="shared" ref="B241:F241" si="373">F217</f>
        <v>3</v>
      </c>
      <c r="G241">
        <f t="shared" si="360"/>
        <v>3</v>
      </c>
      <c r="H241">
        <v>17</v>
      </c>
      <c r="I241">
        <v>4</v>
      </c>
      <c r="J241">
        <f t="shared" si="277"/>
        <v>1E-4</v>
      </c>
      <c r="K241" s="1">
        <f t="shared" si="278"/>
        <v>8499999.9999999981</v>
      </c>
      <c r="L241">
        <f t="shared" si="361"/>
        <v>170000000</v>
      </c>
      <c r="M241" s="2">
        <f t="shared" si="279"/>
        <v>4.9999999999999989E-2</v>
      </c>
    </row>
    <row r="242" spans="1:13">
      <c r="A242">
        <v>3</v>
      </c>
      <c r="B242">
        <f t="shared" ref="B242:E242" si="374">B218</f>
        <v>1</v>
      </c>
      <c r="C242" t="str">
        <f t="shared" si="374"/>
        <v>P</v>
      </c>
      <c r="D242">
        <f t="shared" si="374"/>
        <v>1</v>
      </c>
      <c r="E242" t="str">
        <f t="shared" si="374"/>
        <v>P1</v>
      </c>
      <c r="F242">
        <f t="shared" ref="B242:F242" si="375">F218</f>
        <v>1</v>
      </c>
      <c r="G242">
        <v>5</v>
      </c>
      <c r="H242">
        <v>1</v>
      </c>
      <c r="I242">
        <v>-1</v>
      </c>
      <c r="J242">
        <f t="shared" si="277"/>
        <v>10</v>
      </c>
      <c r="K242" s="1">
        <f t="shared" si="278"/>
        <v>5</v>
      </c>
      <c r="L242">
        <f t="shared" si="361"/>
        <v>194999999.99999997</v>
      </c>
      <c r="M242" s="2">
        <f t="shared" si="279"/>
        <v>2.5641025641025646E-8</v>
      </c>
    </row>
    <row r="243" spans="1:13">
      <c r="A243">
        <v>3</v>
      </c>
      <c r="B243">
        <f t="shared" ref="B243:E243" si="376">B219</f>
        <v>2</v>
      </c>
      <c r="C243" t="str">
        <f t="shared" si="376"/>
        <v>P</v>
      </c>
      <c r="D243">
        <f t="shared" si="376"/>
        <v>1</v>
      </c>
      <c r="E243" t="str">
        <f t="shared" si="376"/>
        <v>P1</v>
      </c>
      <c r="F243">
        <f t="shared" ref="B243:F243" si="377">F219</f>
        <v>2</v>
      </c>
      <c r="G243">
        <v>5</v>
      </c>
      <c r="H243">
        <v>2</v>
      </c>
      <c r="I243">
        <v>-1</v>
      </c>
      <c r="J243">
        <f t="shared" si="277"/>
        <v>10</v>
      </c>
      <c r="K243" s="1">
        <f t="shared" si="278"/>
        <v>10</v>
      </c>
      <c r="L243">
        <f t="shared" si="361"/>
        <v>244999999.99999997</v>
      </c>
      <c r="M243" s="2">
        <f t="shared" si="279"/>
        <v>4.0816326530612247E-8</v>
      </c>
    </row>
    <row r="244" spans="1:13">
      <c r="A244">
        <v>3</v>
      </c>
      <c r="B244">
        <f t="shared" ref="B244:E244" si="378">B220</f>
        <v>3</v>
      </c>
      <c r="C244" t="str">
        <f t="shared" si="378"/>
        <v>P</v>
      </c>
      <c r="D244">
        <f t="shared" si="378"/>
        <v>1</v>
      </c>
      <c r="E244" t="str">
        <f t="shared" si="378"/>
        <v>P1</v>
      </c>
      <c r="F244">
        <f t="shared" ref="B244:F244" si="379">F220</f>
        <v>3</v>
      </c>
      <c r="G244">
        <v>5</v>
      </c>
      <c r="H244">
        <v>4</v>
      </c>
      <c r="I244">
        <v>-1</v>
      </c>
      <c r="J244">
        <f t="shared" si="277"/>
        <v>10</v>
      </c>
      <c r="K244" s="1">
        <f t="shared" si="278"/>
        <v>20</v>
      </c>
      <c r="L244">
        <f t="shared" si="361"/>
        <v>179999999.99999997</v>
      </c>
      <c r="M244" s="2">
        <f t="shared" si="279"/>
        <v>1.1111111111111114E-7</v>
      </c>
    </row>
    <row r="245" spans="1:13">
      <c r="A245">
        <v>3</v>
      </c>
      <c r="B245">
        <f t="shared" ref="B245:E245" si="380">B221</f>
        <v>4</v>
      </c>
      <c r="C245" t="str">
        <f t="shared" si="380"/>
        <v>PC</v>
      </c>
      <c r="D245">
        <f t="shared" si="380"/>
        <v>1</v>
      </c>
      <c r="E245" t="str">
        <f t="shared" si="380"/>
        <v>PC1</v>
      </c>
      <c r="F245">
        <f t="shared" ref="B245:F245" si="381">F221</f>
        <v>1</v>
      </c>
      <c r="G245">
        <v>5</v>
      </c>
      <c r="H245">
        <v>19</v>
      </c>
      <c r="I245">
        <v>0</v>
      </c>
      <c r="J245">
        <f t="shared" si="277"/>
        <v>1</v>
      </c>
      <c r="K245" s="1">
        <f t="shared" si="278"/>
        <v>950</v>
      </c>
      <c r="L245">
        <f t="shared" si="361"/>
        <v>320000000</v>
      </c>
      <c r="M245" s="2">
        <f t="shared" si="279"/>
        <v>2.9687500000000002E-6</v>
      </c>
    </row>
    <row r="246" spans="1:13">
      <c r="A246">
        <v>3</v>
      </c>
      <c r="B246">
        <f t="shared" ref="B246:E246" si="382">B222</f>
        <v>5</v>
      </c>
      <c r="C246" t="str">
        <f t="shared" si="382"/>
        <v>PC</v>
      </c>
      <c r="D246">
        <f t="shared" si="382"/>
        <v>1</v>
      </c>
      <c r="E246" t="str">
        <f t="shared" si="382"/>
        <v>PC1</v>
      </c>
      <c r="F246">
        <f t="shared" ref="B246:F246" si="383">F222</f>
        <v>2</v>
      </c>
      <c r="G246">
        <v>5</v>
      </c>
      <c r="H246">
        <v>14</v>
      </c>
      <c r="I246">
        <v>0</v>
      </c>
      <c r="J246">
        <f t="shared" si="277"/>
        <v>1</v>
      </c>
      <c r="K246" s="1">
        <f t="shared" si="278"/>
        <v>700</v>
      </c>
      <c r="L246">
        <f t="shared" si="361"/>
        <v>285000000</v>
      </c>
      <c r="M246" s="2">
        <f t="shared" si="279"/>
        <v>2.456140350877193E-6</v>
      </c>
    </row>
    <row r="247" spans="1:13">
      <c r="A247">
        <v>3</v>
      </c>
      <c r="B247">
        <f t="shared" ref="B247:E247" si="384">B223</f>
        <v>6</v>
      </c>
      <c r="C247" t="str">
        <f t="shared" si="384"/>
        <v>PC</v>
      </c>
      <c r="D247">
        <f t="shared" si="384"/>
        <v>1</v>
      </c>
      <c r="E247" t="str">
        <f t="shared" si="384"/>
        <v>PC1</v>
      </c>
      <c r="F247">
        <f t="shared" ref="B247:F247" si="385">F223</f>
        <v>3</v>
      </c>
      <c r="G247">
        <v>5</v>
      </c>
      <c r="H247">
        <v>27</v>
      </c>
      <c r="I247">
        <v>0</v>
      </c>
      <c r="J247">
        <f t="shared" si="277"/>
        <v>1</v>
      </c>
      <c r="K247" s="1">
        <f t="shared" si="278"/>
        <v>1350</v>
      </c>
      <c r="L247">
        <f t="shared" si="361"/>
        <v>179999999.99999997</v>
      </c>
      <c r="M247" s="2">
        <f t="shared" si="279"/>
        <v>7.500000000000001E-6</v>
      </c>
    </row>
    <row r="248" spans="1:13">
      <c r="A248">
        <v>3</v>
      </c>
      <c r="B248">
        <f t="shared" ref="B248:E248" si="386">B224</f>
        <v>7</v>
      </c>
      <c r="C248" t="str">
        <f t="shared" si="386"/>
        <v>PC</v>
      </c>
      <c r="D248">
        <f t="shared" si="386"/>
        <v>2</v>
      </c>
      <c r="E248" t="str">
        <f t="shared" si="386"/>
        <v>PC2</v>
      </c>
      <c r="F248">
        <f t="shared" ref="B248:F248" si="387">F224</f>
        <v>1</v>
      </c>
      <c r="G248">
        <v>5</v>
      </c>
      <c r="H248">
        <v>54</v>
      </c>
      <c r="I248">
        <v>1</v>
      </c>
      <c r="J248">
        <f t="shared" si="277"/>
        <v>0.1</v>
      </c>
      <c r="K248" s="1">
        <f t="shared" si="278"/>
        <v>27000</v>
      </c>
      <c r="L248">
        <f t="shared" si="361"/>
        <v>129999999.99999999</v>
      </c>
      <c r="M248" s="2">
        <f t="shared" si="279"/>
        <v>2.0769230769230771E-4</v>
      </c>
    </row>
    <row r="249" spans="1:13">
      <c r="A249">
        <v>3</v>
      </c>
      <c r="B249">
        <f t="shared" ref="B249:E249" si="388">B225</f>
        <v>8</v>
      </c>
      <c r="C249" t="str">
        <f t="shared" si="388"/>
        <v>PC</v>
      </c>
      <c r="D249">
        <f t="shared" si="388"/>
        <v>2</v>
      </c>
      <c r="E249" t="str">
        <f t="shared" si="388"/>
        <v>PC2</v>
      </c>
      <c r="F249">
        <f t="shared" ref="B249:F249" si="389">F225</f>
        <v>2</v>
      </c>
      <c r="G249">
        <v>5</v>
      </c>
      <c r="H249">
        <v>56</v>
      </c>
      <c r="I249">
        <v>1</v>
      </c>
      <c r="J249">
        <f t="shared" si="277"/>
        <v>0.1</v>
      </c>
      <c r="K249" s="1">
        <f t="shared" si="278"/>
        <v>28000</v>
      </c>
      <c r="L249">
        <f t="shared" si="361"/>
        <v>129999999.99999999</v>
      </c>
      <c r="M249" s="2">
        <f t="shared" si="279"/>
        <v>2.1538461538461541E-4</v>
      </c>
    </row>
    <row r="250" spans="1:13">
      <c r="A250">
        <v>3</v>
      </c>
      <c r="B250">
        <f t="shared" ref="B250:E250" si="390">B226</f>
        <v>9</v>
      </c>
      <c r="C250" t="str">
        <f t="shared" si="390"/>
        <v>PC</v>
      </c>
      <c r="D250">
        <f t="shared" si="390"/>
        <v>2</v>
      </c>
      <c r="E250" t="str">
        <f t="shared" si="390"/>
        <v>PC2</v>
      </c>
      <c r="F250">
        <f t="shared" ref="B250:F250" si="391">F226</f>
        <v>3</v>
      </c>
      <c r="G250">
        <v>5</v>
      </c>
      <c r="H250">
        <v>43</v>
      </c>
      <c r="I250">
        <v>1</v>
      </c>
      <c r="J250">
        <f t="shared" si="277"/>
        <v>0.1</v>
      </c>
      <c r="K250" s="1">
        <f t="shared" si="278"/>
        <v>21500</v>
      </c>
      <c r="L250">
        <f t="shared" si="361"/>
        <v>129999999.99999999</v>
      </c>
      <c r="M250" s="2">
        <f t="shared" si="279"/>
        <v>1.6538461538461539E-4</v>
      </c>
    </row>
    <row r="251" spans="1:13">
      <c r="A251">
        <v>3</v>
      </c>
      <c r="B251">
        <f t="shared" ref="B251:E251" si="392">B227</f>
        <v>10</v>
      </c>
      <c r="C251" t="str">
        <f t="shared" si="392"/>
        <v>PC</v>
      </c>
      <c r="D251">
        <f t="shared" si="392"/>
        <v>3</v>
      </c>
      <c r="E251" t="str">
        <f t="shared" si="392"/>
        <v>PC3</v>
      </c>
      <c r="F251">
        <f t="shared" ref="B251:F251" si="393">F227</f>
        <v>1</v>
      </c>
      <c r="G251">
        <v>5</v>
      </c>
      <c r="H251">
        <v>15</v>
      </c>
      <c r="I251">
        <v>1</v>
      </c>
      <c r="J251">
        <f t="shared" si="277"/>
        <v>0.1</v>
      </c>
      <c r="K251" s="1">
        <f t="shared" si="278"/>
        <v>7500</v>
      </c>
      <c r="L251">
        <f t="shared" si="361"/>
        <v>295000000</v>
      </c>
      <c r="M251" s="2">
        <f t="shared" si="279"/>
        <v>2.5423728813559322E-5</v>
      </c>
    </row>
    <row r="252" spans="1:13">
      <c r="A252">
        <v>3</v>
      </c>
      <c r="B252">
        <f t="shared" ref="B252:E252" si="394">B228</f>
        <v>11</v>
      </c>
      <c r="C252" t="str">
        <f t="shared" si="394"/>
        <v>PC</v>
      </c>
      <c r="D252">
        <f t="shared" si="394"/>
        <v>3</v>
      </c>
      <c r="E252" t="str">
        <f t="shared" si="394"/>
        <v>PC3</v>
      </c>
      <c r="F252">
        <f t="shared" ref="B252:F252" si="395">F228</f>
        <v>2</v>
      </c>
      <c r="G252">
        <v>5</v>
      </c>
      <c r="H252">
        <v>13</v>
      </c>
      <c r="I252">
        <v>1</v>
      </c>
      <c r="J252">
        <f t="shared" si="277"/>
        <v>0.1</v>
      </c>
      <c r="K252" s="1">
        <f t="shared" si="278"/>
        <v>6500</v>
      </c>
      <c r="L252">
        <f t="shared" si="361"/>
        <v>209999999.99999997</v>
      </c>
      <c r="M252" s="2">
        <f t="shared" si="279"/>
        <v>3.095238095238096E-5</v>
      </c>
    </row>
    <row r="253" spans="1:13">
      <c r="A253">
        <v>3</v>
      </c>
      <c r="B253">
        <f t="shared" ref="B253:E253" si="396">B229</f>
        <v>12</v>
      </c>
      <c r="C253" t="str">
        <f t="shared" si="396"/>
        <v>PC</v>
      </c>
      <c r="D253">
        <f t="shared" si="396"/>
        <v>3</v>
      </c>
      <c r="E253" t="str">
        <f t="shared" si="396"/>
        <v>PC3</v>
      </c>
      <c r="F253">
        <f t="shared" ref="B253:F253" si="397">F229</f>
        <v>3</v>
      </c>
      <c r="G253">
        <v>5</v>
      </c>
      <c r="H253">
        <v>15</v>
      </c>
      <c r="I253">
        <v>1</v>
      </c>
      <c r="J253">
        <f t="shared" si="277"/>
        <v>0.1</v>
      </c>
      <c r="K253" s="1">
        <f t="shared" si="278"/>
        <v>7500</v>
      </c>
      <c r="L253">
        <f t="shared" si="361"/>
        <v>214999999.99999997</v>
      </c>
      <c r="M253" s="2">
        <f t="shared" si="279"/>
        <v>3.4883720930232563E-5</v>
      </c>
    </row>
    <row r="254" spans="1:13">
      <c r="A254">
        <v>3</v>
      </c>
      <c r="B254">
        <f t="shared" ref="B254:E254" si="398">B230</f>
        <v>13</v>
      </c>
      <c r="C254" t="str">
        <f t="shared" si="398"/>
        <v>PC</v>
      </c>
      <c r="D254">
        <f t="shared" si="398"/>
        <v>4</v>
      </c>
      <c r="E254" t="str">
        <f t="shared" si="398"/>
        <v>PC7</v>
      </c>
      <c r="F254">
        <f t="shared" ref="B254:F254" si="399">F230</f>
        <v>1</v>
      </c>
      <c r="G254">
        <v>5</v>
      </c>
      <c r="H254">
        <v>44</v>
      </c>
      <c r="I254">
        <v>2</v>
      </c>
      <c r="J254">
        <f t="shared" si="277"/>
        <v>0.01</v>
      </c>
      <c r="K254" s="1">
        <f t="shared" si="278"/>
        <v>220000</v>
      </c>
      <c r="L254">
        <f t="shared" si="361"/>
        <v>219999999.99999997</v>
      </c>
      <c r="M254" s="2">
        <f t="shared" si="279"/>
        <v>1.0000000000000002E-3</v>
      </c>
    </row>
    <row r="255" spans="1:13">
      <c r="A255">
        <v>3</v>
      </c>
      <c r="B255">
        <f t="shared" ref="B255:E255" si="400">B231</f>
        <v>14</v>
      </c>
      <c r="C255" t="str">
        <f t="shared" si="400"/>
        <v>PC</v>
      </c>
      <c r="D255">
        <f t="shared" si="400"/>
        <v>4</v>
      </c>
      <c r="E255" t="str">
        <f t="shared" si="400"/>
        <v>PC7</v>
      </c>
      <c r="F255">
        <f t="shared" ref="B255:F255" si="401">F231</f>
        <v>2</v>
      </c>
      <c r="G255">
        <v>5</v>
      </c>
      <c r="H255">
        <v>26</v>
      </c>
      <c r="I255">
        <v>2</v>
      </c>
      <c r="J255">
        <f t="shared" si="277"/>
        <v>0.01</v>
      </c>
      <c r="K255" s="1">
        <f t="shared" si="278"/>
        <v>130000</v>
      </c>
      <c r="L255">
        <f t="shared" si="361"/>
        <v>160000000</v>
      </c>
      <c r="M255" s="2">
        <f t="shared" si="279"/>
        <v>8.1249999999999996E-4</v>
      </c>
    </row>
    <row r="256" spans="1:13">
      <c r="A256">
        <v>3</v>
      </c>
      <c r="B256">
        <f t="shared" ref="B256:E256" si="402">B232</f>
        <v>15</v>
      </c>
      <c r="C256" t="str">
        <f t="shared" si="402"/>
        <v>PC</v>
      </c>
      <c r="D256">
        <f t="shared" si="402"/>
        <v>4</v>
      </c>
      <c r="E256" t="str">
        <f t="shared" si="402"/>
        <v>PC7</v>
      </c>
      <c r="F256">
        <f t="shared" ref="B256:F256" si="403">F232</f>
        <v>3</v>
      </c>
      <c r="G256">
        <v>5</v>
      </c>
      <c r="H256">
        <v>41</v>
      </c>
      <c r="I256">
        <v>2</v>
      </c>
      <c r="J256">
        <f t="shared" si="277"/>
        <v>0.01</v>
      </c>
      <c r="K256" s="1">
        <f t="shared" si="278"/>
        <v>205000</v>
      </c>
      <c r="L256">
        <f t="shared" si="361"/>
        <v>129999999.99999999</v>
      </c>
      <c r="M256" s="2">
        <f t="shared" si="279"/>
        <v>1.5769230769230771E-3</v>
      </c>
    </row>
    <row r="257" spans="1:13">
      <c r="A257">
        <v>3</v>
      </c>
      <c r="B257">
        <f t="shared" ref="B257:E257" si="404">B233</f>
        <v>16</v>
      </c>
      <c r="C257" t="str">
        <f t="shared" si="404"/>
        <v>PC</v>
      </c>
      <c r="D257">
        <f t="shared" si="404"/>
        <v>5</v>
      </c>
      <c r="E257" t="str">
        <f t="shared" si="404"/>
        <v>PC8</v>
      </c>
      <c r="F257">
        <f t="shared" ref="B257:F257" si="405">F233</f>
        <v>1</v>
      </c>
      <c r="G257">
        <v>5</v>
      </c>
      <c r="H257">
        <v>78</v>
      </c>
      <c r="I257">
        <v>1</v>
      </c>
      <c r="J257">
        <f t="shared" si="277"/>
        <v>0.1</v>
      </c>
      <c r="K257" s="1">
        <f t="shared" si="278"/>
        <v>39000</v>
      </c>
      <c r="L257">
        <f t="shared" si="361"/>
        <v>199999999.99999997</v>
      </c>
      <c r="M257" s="2">
        <f t="shared" si="279"/>
        <v>1.9500000000000002E-4</v>
      </c>
    </row>
    <row r="258" spans="1:13">
      <c r="A258">
        <v>3</v>
      </c>
      <c r="B258">
        <f t="shared" ref="B258:E258" si="406">B234</f>
        <v>17</v>
      </c>
      <c r="C258" t="str">
        <f t="shared" si="406"/>
        <v>PC</v>
      </c>
      <c r="D258">
        <f t="shared" si="406"/>
        <v>5</v>
      </c>
      <c r="E258" t="str">
        <f t="shared" si="406"/>
        <v>PC8</v>
      </c>
      <c r="F258">
        <f t="shared" ref="B258:F258" si="407">F234</f>
        <v>2</v>
      </c>
      <c r="G258">
        <v>5</v>
      </c>
      <c r="H258">
        <v>85</v>
      </c>
      <c r="I258">
        <v>1</v>
      </c>
      <c r="J258">
        <f t="shared" si="277"/>
        <v>0.1</v>
      </c>
      <c r="K258" s="1">
        <f t="shared" si="278"/>
        <v>42500</v>
      </c>
      <c r="L258">
        <f t="shared" si="361"/>
        <v>194999999.99999997</v>
      </c>
      <c r="M258" s="2">
        <f t="shared" si="279"/>
        <v>2.1794871794871798E-4</v>
      </c>
    </row>
    <row r="259" spans="1:13">
      <c r="A259">
        <v>3</v>
      </c>
      <c r="B259">
        <f t="shared" ref="B259:E259" si="408">B235</f>
        <v>18</v>
      </c>
      <c r="C259" t="str">
        <f t="shared" si="408"/>
        <v>PC</v>
      </c>
      <c r="D259">
        <f t="shared" si="408"/>
        <v>5</v>
      </c>
      <c r="E259" t="str">
        <f t="shared" si="408"/>
        <v>PC8</v>
      </c>
      <c r="F259">
        <f t="shared" ref="B259:F259" si="409">F235</f>
        <v>3</v>
      </c>
      <c r="G259">
        <v>5</v>
      </c>
      <c r="H259">
        <v>60</v>
      </c>
      <c r="I259">
        <v>1</v>
      </c>
      <c r="J259">
        <f t="shared" ref="J259:J289" si="410">1/10^I259</f>
        <v>0.1</v>
      </c>
      <c r="K259" s="1">
        <f t="shared" ref="K259:K289" si="411">H259/(J259*0.02)</f>
        <v>30000</v>
      </c>
      <c r="L259">
        <f t="shared" si="361"/>
        <v>165000000</v>
      </c>
      <c r="M259" s="2">
        <f t="shared" ref="M259:M289" si="412">K259/L259</f>
        <v>1.8181818181818181E-4</v>
      </c>
    </row>
    <row r="260" spans="1:13">
      <c r="A260">
        <v>3</v>
      </c>
      <c r="B260">
        <f t="shared" ref="B260:E260" si="413">B236</f>
        <v>19</v>
      </c>
      <c r="C260" t="str">
        <f t="shared" si="413"/>
        <v>PC</v>
      </c>
      <c r="D260">
        <f t="shared" si="413"/>
        <v>6</v>
      </c>
      <c r="E260" t="str">
        <f t="shared" si="413"/>
        <v>PC9</v>
      </c>
      <c r="F260">
        <f t="shared" ref="B260:F260" si="414">F236</f>
        <v>1</v>
      </c>
      <c r="G260">
        <v>5</v>
      </c>
      <c r="H260">
        <v>31</v>
      </c>
      <c r="I260">
        <v>1</v>
      </c>
      <c r="J260">
        <f t="shared" si="410"/>
        <v>0.1</v>
      </c>
      <c r="K260" s="1">
        <f t="shared" si="411"/>
        <v>15500</v>
      </c>
      <c r="L260">
        <f t="shared" si="361"/>
        <v>184999999.99999997</v>
      </c>
      <c r="M260" s="2">
        <f t="shared" si="412"/>
        <v>8.37837837837838E-5</v>
      </c>
    </row>
    <row r="261" spans="1:13">
      <c r="A261">
        <v>3</v>
      </c>
      <c r="B261">
        <f t="shared" ref="B261:E261" si="415">B237</f>
        <v>20</v>
      </c>
      <c r="C261" t="str">
        <f t="shared" si="415"/>
        <v>PC</v>
      </c>
      <c r="D261">
        <f t="shared" si="415"/>
        <v>6</v>
      </c>
      <c r="E261" t="str">
        <f t="shared" si="415"/>
        <v>PC9</v>
      </c>
      <c r="F261">
        <f t="shared" ref="B261:F261" si="416">F237</f>
        <v>2</v>
      </c>
      <c r="G261">
        <v>5</v>
      </c>
      <c r="H261">
        <v>27</v>
      </c>
      <c r="I261">
        <v>1</v>
      </c>
      <c r="J261">
        <f t="shared" si="410"/>
        <v>0.1</v>
      </c>
      <c r="K261" s="1">
        <f t="shared" si="411"/>
        <v>13500</v>
      </c>
      <c r="L261">
        <f t="shared" si="361"/>
        <v>199999999.99999997</v>
      </c>
      <c r="M261" s="2">
        <f t="shared" si="412"/>
        <v>6.7500000000000014E-5</v>
      </c>
    </row>
    <row r="262" spans="1:13">
      <c r="A262">
        <v>3</v>
      </c>
      <c r="B262">
        <f t="shared" ref="B262:E262" si="417">B238</f>
        <v>21</v>
      </c>
      <c r="C262" t="str">
        <f t="shared" si="417"/>
        <v>PC</v>
      </c>
      <c r="D262">
        <f t="shared" si="417"/>
        <v>6</v>
      </c>
      <c r="E262" t="str">
        <f t="shared" si="417"/>
        <v>PC9</v>
      </c>
      <c r="F262">
        <f t="shared" ref="B262:F262" si="418">F238</f>
        <v>3</v>
      </c>
      <c r="G262">
        <v>5</v>
      </c>
      <c r="H262">
        <v>25</v>
      </c>
      <c r="I262">
        <v>1</v>
      </c>
      <c r="J262">
        <f t="shared" si="410"/>
        <v>0.1</v>
      </c>
      <c r="K262" s="1">
        <f t="shared" si="411"/>
        <v>12500</v>
      </c>
      <c r="L262">
        <f t="shared" si="361"/>
        <v>184999999.99999997</v>
      </c>
      <c r="M262" s="2">
        <f t="shared" si="412"/>
        <v>6.7567567567567582E-5</v>
      </c>
    </row>
    <row r="263" spans="1:13">
      <c r="A263">
        <v>3</v>
      </c>
      <c r="B263">
        <f t="shared" ref="B263:E263" si="419">B239</f>
        <v>22</v>
      </c>
      <c r="C263" t="str">
        <f t="shared" si="419"/>
        <v>PC</v>
      </c>
      <c r="D263">
        <f t="shared" si="419"/>
        <v>7</v>
      </c>
      <c r="E263" t="str">
        <f t="shared" si="419"/>
        <v>PC10</v>
      </c>
      <c r="F263">
        <f t="shared" ref="B263:F263" si="420">F239</f>
        <v>1</v>
      </c>
      <c r="G263">
        <v>5</v>
      </c>
      <c r="H263">
        <v>82</v>
      </c>
      <c r="I263">
        <v>3</v>
      </c>
      <c r="J263">
        <f t="shared" si="410"/>
        <v>1E-3</v>
      </c>
      <c r="K263" s="1">
        <f t="shared" si="411"/>
        <v>4099999.9999999995</v>
      </c>
      <c r="L263">
        <f t="shared" si="361"/>
        <v>239999999.99999997</v>
      </c>
      <c r="M263" s="2">
        <f t="shared" si="412"/>
        <v>1.7083333333333332E-2</v>
      </c>
    </row>
    <row r="264" spans="1:13">
      <c r="A264">
        <v>3</v>
      </c>
      <c r="B264">
        <f t="shared" ref="B264:E264" si="421">B240</f>
        <v>23</v>
      </c>
      <c r="C264" t="str">
        <f t="shared" si="421"/>
        <v>PC</v>
      </c>
      <c r="D264">
        <f t="shared" si="421"/>
        <v>7</v>
      </c>
      <c r="E264" t="str">
        <f t="shared" si="421"/>
        <v>PC10</v>
      </c>
      <c r="F264">
        <f t="shared" ref="B264:F264" si="422">F240</f>
        <v>2</v>
      </c>
      <c r="G264">
        <v>5</v>
      </c>
      <c r="H264">
        <v>68</v>
      </c>
      <c r="I264">
        <v>3</v>
      </c>
      <c r="J264">
        <f t="shared" si="410"/>
        <v>1E-3</v>
      </c>
      <c r="K264" s="1">
        <f t="shared" si="411"/>
        <v>3399999.9999999995</v>
      </c>
      <c r="L264">
        <f t="shared" si="361"/>
        <v>264999999.99999997</v>
      </c>
      <c r="M264" s="2">
        <f t="shared" si="412"/>
        <v>1.2830188679245283E-2</v>
      </c>
    </row>
    <row r="265" spans="1:13">
      <c r="A265">
        <v>3</v>
      </c>
      <c r="B265">
        <f t="shared" ref="B265:E265" si="423">B241</f>
        <v>24</v>
      </c>
      <c r="C265" t="str">
        <f t="shared" si="423"/>
        <v>PC</v>
      </c>
      <c r="D265">
        <f t="shared" si="423"/>
        <v>7</v>
      </c>
      <c r="E265" t="str">
        <f t="shared" si="423"/>
        <v>PC10</v>
      </c>
      <c r="F265">
        <f t="shared" ref="B265:F265" si="424">F241</f>
        <v>3</v>
      </c>
      <c r="G265">
        <v>5</v>
      </c>
      <c r="H265">
        <v>68</v>
      </c>
      <c r="I265">
        <v>3</v>
      </c>
      <c r="J265">
        <f t="shared" si="410"/>
        <v>1E-3</v>
      </c>
      <c r="K265" s="1">
        <f t="shared" si="411"/>
        <v>3399999.9999999995</v>
      </c>
      <c r="L265">
        <f t="shared" si="361"/>
        <v>170000000</v>
      </c>
      <c r="M265" s="2">
        <f t="shared" si="412"/>
        <v>1.9999999999999997E-2</v>
      </c>
    </row>
    <row r="266" spans="1:13">
      <c r="A266">
        <v>3</v>
      </c>
      <c r="B266">
        <f t="shared" ref="B266:E266" si="425">B242</f>
        <v>1</v>
      </c>
      <c r="C266" t="str">
        <f t="shared" si="425"/>
        <v>P</v>
      </c>
      <c r="D266">
        <f t="shared" si="425"/>
        <v>1</v>
      </c>
      <c r="E266" t="str">
        <f t="shared" si="425"/>
        <v>P1</v>
      </c>
      <c r="F266">
        <f t="shared" ref="B266:F266" si="426">F242</f>
        <v>1</v>
      </c>
      <c r="G266">
        <v>7</v>
      </c>
      <c r="H266">
        <v>1</v>
      </c>
      <c r="I266">
        <v>-1</v>
      </c>
      <c r="J266">
        <f t="shared" si="410"/>
        <v>10</v>
      </c>
      <c r="K266" s="1">
        <f>H266/(J266*0.04)</f>
        <v>2.5</v>
      </c>
      <c r="L266">
        <f t="shared" si="361"/>
        <v>194999999.99999997</v>
      </c>
      <c r="M266" s="2">
        <f t="shared" si="412"/>
        <v>1.2820512820512823E-8</v>
      </c>
    </row>
    <row r="267" spans="1:13">
      <c r="A267">
        <v>3</v>
      </c>
      <c r="B267">
        <f t="shared" ref="B267:E267" si="427">B243</f>
        <v>2</v>
      </c>
      <c r="C267" t="str">
        <f t="shared" si="427"/>
        <v>P</v>
      </c>
      <c r="D267">
        <f t="shared" si="427"/>
        <v>1</v>
      </c>
      <c r="E267" t="str">
        <f t="shared" si="427"/>
        <v>P1</v>
      </c>
      <c r="F267">
        <f t="shared" ref="B267:F267" si="428">F243</f>
        <v>2</v>
      </c>
      <c r="G267">
        <v>7</v>
      </c>
      <c r="H267">
        <v>4</v>
      </c>
      <c r="I267">
        <v>-1</v>
      </c>
      <c r="J267">
        <f t="shared" si="410"/>
        <v>10</v>
      </c>
      <c r="K267" s="1">
        <f t="shared" ref="K267:K268" si="429">H267/(J267*0.04)</f>
        <v>10</v>
      </c>
      <c r="L267">
        <f t="shared" si="361"/>
        <v>244999999.99999997</v>
      </c>
      <c r="M267" s="2">
        <f t="shared" si="412"/>
        <v>4.0816326530612247E-8</v>
      </c>
    </row>
    <row r="268" spans="1:13">
      <c r="A268">
        <v>3</v>
      </c>
      <c r="B268">
        <f t="shared" ref="B268:E268" si="430">B244</f>
        <v>3</v>
      </c>
      <c r="C268" t="str">
        <f t="shared" si="430"/>
        <v>P</v>
      </c>
      <c r="D268">
        <f t="shared" si="430"/>
        <v>1</v>
      </c>
      <c r="E268" t="str">
        <f t="shared" si="430"/>
        <v>P1</v>
      </c>
      <c r="F268">
        <f t="shared" ref="B268:F268" si="431">F244</f>
        <v>3</v>
      </c>
      <c r="G268">
        <v>7</v>
      </c>
      <c r="H268">
        <v>5</v>
      </c>
      <c r="I268">
        <v>-1</v>
      </c>
      <c r="J268">
        <f t="shared" si="410"/>
        <v>10</v>
      </c>
      <c r="K268" s="1">
        <f t="shared" si="429"/>
        <v>12.5</v>
      </c>
      <c r="L268">
        <f t="shared" si="361"/>
        <v>179999999.99999997</v>
      </c>
      <c r="M268" s="2">
        <f t="shared" si="412"/>
        <v>6.9444444444444453E-8</v>
      </c>
    </row>
    <row r="269" spans="1:13">
      <c r="A269">
        <v>3</v>
      </c>
      <c r="B269">
        <f t="shared" ref="B269:E269" si="432">B245</f>
        <v>4</v>
      </c>
      <c r="C269" t="str">
        <f t="shared" si="432"/>
        <v>PC</v>
      </c>
      <c r="D269">
        <f t="shared" si="432"/>
        <v>1</v>
      </c>
      <c r="E269" t="str">
        <f t="shared" si="432"/>
        <v>PC1</v>
      </c>
      <c r="F269">
        <f t="shared" ref="B269:F269" si="433">F245</f>
        <v>1</v>
      </c>
      <c r="G269">
        <v>7</v>
      </c>
      <c r="H269">
        <v>10</v>
      </c>
      <c r="I269">
        <v>0</v>
      </c>
      <c r="J269">
        <f t="shared" si="410"/>
        <v>1</v>
      </c>
      <c r="K269" s="1">
        <f t="shared" si="411"/>
        <v>500</v>
      </c>
      <c r="L269">
        <f t="shared" si="361"/>
        <v>320000000</v>
      </c>
      <c r="M269" s="2">
        <f t="shared" si="412"/>
        <v>1.5625000000000001E-6</v>
      </c>
    </row>
    <row r="270" spans="1:13">
      <c r="A270">
        <v>3</v>
      </c>
      <c r="B270">
        <f t="shared" ref="B270:E270" si="434">B246</f>
        <v>5</v>
      </c>
      <c r="C270" t="str">
        <f t="shared" si="434"/>
        <v>PC</v>
      </c>
      <c r="D270">
        <f t="shared" si="434"/>
        <v>1</v>
      </c>
      <c r="E270" t="str">
        <f t="shared" si="434"/>
        <v>PC1</v>
      </c>
      <c r="F270">
        <f t="shared" ref="B270:F270" si="435">F246</f>
        <v>2</v>
      </c>
      <c r="G270">
        <v>7</v>
      </c>
      <c r="H270">
        <v>9</v>
      </c>
      <c r="I270">
        <v>0</v>
      </c>
      <c r="J270">
        <f t="shared" si="410"/>
        <v>1</v>
      </c>
      <c r="K270" s="1">
        <f t="shared" si="411"/>
        <v>450</v>
      </c>
      <c r="L270">
        <f t="shared" si="361"/>
        <v>285000000</v>
      </c>
      <c r="M270" s="2">
        <f t="shared" si="412"/>
        <v>1.5789473684210526E-6</v>
      </c>
    </row>
    <row r="271" spans="1:13">
      <c r="A271">
        <v>3</v>
      </c>
      <c r="B271">
        <f t="shared" ref="B271:E271" si="436">B247</f>
        <v>6</v>
      </c>
      <c r="C271" t="str">
        <f t="shared" si="436"/>
        <v>PC</v>
      </c>
      <c r="D271">
        <f t="shared" si="436"/>
        <v>1</v>
      </c>
      <c r="E271" t="str">
        <f t="shared" si="436"/>
        <v>PC1</v>
      </c>
      <c r="F271">
        <f t="shared" ref="B271:F271" si="437">F247</f>
        <v>3</v>
      </c>
      <c r="G271">
        <v>7</v>
      </c>
      <c r="H271">
        <v>18</v>
      </c>
      <c r="I271">
        <v>0</v>
      </c>
      <c r="J271">
        <f t="shared" si="410"/>
        <v>1</v>
      </c>
      <c r="K271" s="1">
        <f t="shared" si="411"/>
        <v>900</v>
      </c>
      <c r="L271">
        <f t="shared" si="361"/>
        <v>179999999.99999997</v>
      </c>
      <c r="M271" s="2">
        <f t="shared" si="412"/>
        <v>5.0000000000000004E-6</v>
      </c>
    </row>
    <row r="272" spans="1:13">
      <c r="A272">
        <v>3</v>
      </c>
      <c r="B272">
        <f t="shared" ref="B272:E272" si="438">B248</f>
        <v>7</v>
      </c>
      <c r="C272" t="str">
        <f t="shared" si="438"/>
        <v>PC</v>
      </c>
      <c r="D272">
        <f t="shared" si="438"/>
        <v>2</v>
      </c>
      <c r="E272" t="str">
        <f t="shared" si="438"/>
        <v>PC2</v>
      </c>
      <c r="F272">
        <f t="shared" ref="B272:F272" si="439">F248</f>
        <v>1</v>
      </c>
      <c r="G272">
        <v>7</v>
      </c>
      <c r="H272">
        <v>44</v>
      </c>
      <c r="I272">
        <v>0</v>
      </c>
      <c r="J272">
        <f t="shared" si="410"/>
        <v>1</v>
      </c>
      <c r="K272" s="1">
        <f t="shared" si="411"/>
        <v>2200</v>
      </c>
      <c r="L272">
        <f t="shared" si="361"/>
        <v>129999999.99999999</v>
      </c>
      <c r="M272" s="2">
        <f t="shared" si="412"/>
        <v>1.6923076923076924E-5</v>
      </c>
    </row>
    <row r="273" spans="1:13">
      <c r="A273">
        <v>3</v>
      </c>
      <c r="B273">
        <f t="shared" ref="B273:E273" si="440">B249</f>
        <v>8</v>
      </c>
      <c r="C273" t="str">
        <f t="shared" si="440"/>
        <v>PC</v>
      </c>
      <c r="D273">
        <f t="shared" si="440"/>
        <v>2</v>
      </c>
      <c r="E273" t="str">
        <f t="shared" si="440"/>
        <v>PC2</v>
      </c>
      <c r="F273">
        <f t="shared" ref="B273:F273" si="441">F249</f>
        <v>2</v>
      </c>
      <c r="G273">
        <v>7</v>
      </c>
      <c r="H273">
        <v>43</v>
      </c>
      <c r="I273">
        <v>0</v>
      </c>
      <c r="J273">
        <f t="shared" si="410"/>
        <v>1</v>
      </c>
      <c r="K273" s="1">
        <f t="shared" si="411"/>
        <v>2150</v>
      </c>
      <c r="L273">
        <f t="shared" si="361"/>
        <v>129999999.99999999</v>
      </c>
      <c r="M273" s="2">
        <f t="shared" si="412"/>
        <v>1.6538461538461539E-5</v>
      </c>
    </row>
    <row r="274" spans="1:13">
      <c r="A274">
        <v>3</v>
      </c>
      <c r="B274">
        <f t="shared" ref="B274:E274" si="442">B250</f>
        <v>9</v>
      </c>
      <c r="C274" t="str">
        <f t="shared" si="442"/>
        <v>PC</v>
      </c>
      <c r="D274">
        <f t="shared" si="442"/>
        <v>2</v>
      </c>
      <c r="E274" t="str">
        <f t="shared" si="442"/>
        <v>PC2</v>
      </c>
      <c r="F274">
        <f t="shared" ref="B274:F274" si="443">F250</f>
        <v>3</v>
      </c>
      <c r="G274">
        <v>7</v>
      </c>
      <c r="H274">
        <v>45</v>
      </c>
      <c r="I274">
        <v>0</v>
      </c>
      <c r="J274">
        <f t="shared" si="410"/>
        <v>1</v>
      </c>
      <c r="K274" s="1">
        <f t="shared" si="411"/>
        <v>2250</v>
      </c>
      <c r="L274">
        <f t="shared" si="361"/>
        <v>129999999.99999999</v>
      </c>
      <c r="M274" s="2">
        <f t="shared" si="412"/>
        <v>1.7307692307692309E-5</v>
      </c>
    </row>
    <row r="275" spans="1:13">
      <c r="A275">
        <v>3</v>
      </c>
      <c r="B275">
        <f t="shared" ref="B275:E275" si="444">B251</f>
        <v>10</v>
      </c>
      <c r="C275" t="str">
        <f t="shared" si="444"/>
        <v>PC</v>
      </c>
      <c r="D275">
        <f t="shared" si="444"/>
        <v>3</v>
      </c>
      <c r="E275" t="str">
        <f t="shared" si="444"/>
        <v>PC3</v>
      </c>
      <c r="F275">
        <f t="shared" ref="B275:F275" si="445">F251</f>
        <v>1</v>
      </c>
      <c r="G275">
        <v>7</v>
      </c>
      <c r="H275">
        <v>58</v>
      </c>
      <c r="I275">
        <v>0</v>
      </c>
      <c r="J275">
        <f t="shared" si="410"/>
        <v>1</v>
      </c>
      <c r="K275" s="1">
        <f t="shared" si="411"/>
        <v>2900</v>
      </c>
      <c r="L275">
        <f t="shared" si="361"/>
        <v>295000000</v>
      </c>
      <c r="M275" s="2">
        <f t="shared" si="412"/>
        <v>9.8305084745762706E-6</v>
      </c>
    </row>
    <row r="276" spans="1:13">
      <c r="A276">
        <v>3</v>
      </c>
      <c r="B276">
        <f t="shared" ref="B276:E276" si="446">B252</f>
        <v>11</v>
      </c>
      <c r="C276" t="str">
        <f t="shared" si="446"/>
        <v>PC</v>
      </c>
      <c r="D276">
        <f t="shared" si="446"/>
        <v>3</v>
      </c>
      <c r="E276" t="str">
        <f t="shared" si="446"/>
        <v>PC3</v>
      </c>
      <c r="F276">
        <f t="shared" ref="B276:F276" si="447">F252</f>
        <v>2</v>
      </c>
      <c r="G276">
        <v>7</v>
      </c>
      <c r="H276">
        <v>69</v>
      </c>
      <c r="I276">
        <v>0</v>
      </c>
      <c r="J276">
        <f t="shared" si="410"/>
        <v>1</v>
      </c>
      <c r="K276" s="1">
        <f t="shared" si="411"/>
        <v>3450</v>
      </c>
      <c r="L276">
        <f t="shared" si="361"/>
        <v>209999999.99999997</v>
      </c>
      <c r="M276" s="2">
        <f t="shared" si="412"/>
        <v>1.6428571428571432E-5</v>
      </c>
    </row>
    <row r="277" spans="1:13">
      <c r="A277">
        <v>3</v>
      </c>
      <c r="B277">
        <f t="shared" ref="B277:E277" si="448">B253</f>
        <v>12</v>
      </c>
      <c r="C277" t="str">
        <f t="shared" si="448"/>
        <v>PC</v>
      </c>
      <c r="D277">
        <f t="shared" si="448"/>
        <v>3</v>
      </c>
      <c r="E277" t="str">
        <f t="shared" si="448"/>
        <v>PC3</v>
      </c>
      <c r="F277">
        <f t="shared" ref="B277:F277" si="449">F253</f>
        <v>3</v>
      </c>
      <c r="G277">
        <v>7</v>
      </c>
      <c r="H277">
        <v>67</v>
      </c>
      <c r="I277">
        <v>0</v>
      </c>
      <c r="J277">
        <f t="shared" si="410"/>
        <v>1</v>
      </c>
      <c r="K277" s="1">
        <f t="shared" si="411"/>
        <v>3350</v>
      </c>
      <c r="L277">
        <f t="shared" si="361"/>
        <v>214999999.99999997</v>
      </c>
      <c r="M277" s="2">
        <f t="shared" si="412"/>
        <v>1.558139534883721E-5</v>
      </c>
    </row>
    <row r="278" spans="1:13">
      <c r="A278">
        <v>3</v>
      </c>
      <c r="B278">
        <f t="shared" ref="B278:E278" si="450">B254</f>
        <v>13</v>
      </c>
      <c r="C278" t="str">
        <f t="shared" si="450"/>
        <v>PC</v>
      </c>
      <c r="D278">
        <f t="shared" si="450"/>
        <v>4</v>
      </c>
      <c r="E278" t="str">
        <f t="shared" si="450"/>
        <v>PC7</v>
      </c>
      <c r="F278">
        <f t="shared" ref="B278:F278" si="451">F254</f>
        <v>1</v>
      </c>
      <c r="G278">
        <v>7</v>
      </c>
      <c r="H278">
        <v>22</v>
      </c>
      <c r="I278">
        <v>2</v>
      </c>
      <c r="J278">
        <f t="shared" si="410"/>
        <v>0.01</v>
      </c>
      <c r="K278" s="1">
        <f t="shared" si="411"/>
        <v>110000</v>
      </c>
      <c r="L278">
        <f t="shared" si="361"/>
        <v>219999999.99999997</v>
      </c>
      <c r="M278" s="2">
        <f t="shared" si="412"/>
        <v>5.0000000000000012E-4</v>
      </c>
    </row>
    <row r="279" spans="1:13">
      <c r="A279">
        <v>3</v>
      </c>
      <c r="B279">
        <f t="shared" ref="B279:E279" si="452">B255</f>
        <v>14</v>
      </c>
      <c r="C279" t="str">
        <f t="shared" si="452"/>
        <v>PC</v>
      </c>
      <c r="D279">
        <f t="shared" si="452"/>
        <v>4</v>
      </c>
      <c r="E279" t="str">
        <f t="shared" si="452"/>
        <v>PC7</v>
      </c>
      <c r="F279">
        <f t="shared" ref="B279:F279" si="453">F255</f>
        <v>2</v>
      </c>
      <c r="G279">
        <v>7</v>
      </c>
      <c r="H279">
        <v>20</v>
      </c>
      <c r="I279">
        <v>2</v>
      </c>
      <c r="J279">
        <f t="shared" si="410"/>
        <v>0.01</v>
      </c>
      <c r="K279" s="1">
        <f t="shared" si="411"/>
        <v>100000</v>
      </c>
      <c r="L279">
        <f t="shared" si="361"/>
        <v>160000000</v>
      </c>
      <c r="M279" s="2">
        <f t="shared" si="412"/>
        <v>6.2500000000000001E-4</v>
      </c>
    </row>
    <row r="280" spans="1:13">
      <c r="A280">
        <v>3</v>
      </c>
      <c r="B280">
        <f t="shared" ref="B280:E280" si="454">B256</f>
        <v>15</v>
      </c>
      <c r="C280" t="str">
        <f t="shared" si="454"/>
        <v>PC</v>
      </c>
      <c r="D280">
        <f t="shared" si="454"/>
        <v>4</v>
      </c>
      <c r="E280" t="str">
        <f t="shared" si="454"/>
        <v>PC7</v>
      </c>
      <c r="F280">
        <f t="shared" ref="B280:F280" si="455">F256</f>
        <v>3</v>
      </c>
      <c r="G280">
        <v>7</v>
      </c>
      <c r="H280">
        <v>10</v>
      </c>
      <c r="I280">
        <v>2</v>
      </c>
      <c r="J280">
        <f t="shared" si="410"/>
        <v>0.01</v>
      </c>
      <c r="K280" s="1">
        <f t="shared" si="411"/>
        <v>50000</v>
      </c>
      <c r="L280">
        <f t="shared" si="361"/>
        <v>129999999.99999999</v>
      </c>
      <c r="M280" s="2">
        <f t="shared" si="412"/>
        <v>3.8461538461538467E-4</v>
      </c>
    </row>
    <row r="281" spans="1:13">
      <c r="A281">
        <v>3</v>
      </c>
      <c r="B281">
        <f t="shared" ref="B281:E281" si="456">B257</f>
        <v>16</v>
      </c>
      <c r="C281" t="str">
        <f t="shared" si="456"/>
        <v>PC</v>
      </c>
      <c r="D281">
        <f t="shared" si="456"/>
        <v>5</v>
      </c>
      <c r="E281" t="str">
        <f t="shared" si="456"/>
        <v>PC8</v>
      </c>
      <c r="F281">
        <f t="shared" ref="B281:F281" si="457">F257</f>
        <v>1</v>
      </c>
      <c r="G281">
        <v>7</v>
      </c>
      <c r="H281">
        <v>70</v>
      </c>
      <c r="I281">
        <v>0</v>
      </c>
      <c r="J281">
        <f t="shared" si="410"/>
        <v>1</v>
      </c>
      <c r="K281" s="1">
        <f t="shared" si="411"/>
        <v>3500</v>
      </c>
      <c r="L281">
        <f t="shared" si="361"/>
        <v>199999999.99999997</v>
      </c>
      <c r="M281" s="2">
        <f t="shared" si="412"/>
        <v>1.7500000000000002E-5</v>
      </c>
    </row>
    <row r="282" spans="1:13">
      <c r="A282">
        <v>3</v>
      </c>
      <c r="B282">
        <f t="shared" ref="B282:E282" si="458">B258</f>
        <v>17</v>
      </c>
      <c r="C282" t="str">
        <f t="shared" si="458"/>
        <v>PC</v>
      </c>
      <c r="D282">
        <f t="shared" si="458"/>
        <v>5</v>
      </c>
      <c r="E282" t="str">
        <f t="shared" si="458"/>
        <v>PC8</v>
      </c>
      <c r="F282">
        <f t="shared" ref="B282:F282" si="459">F258</f>
        <v>2</v>
      </c>
      <c r="G282">
        <v>7</v>
      </c>
      <c r="H282">
        <v>65</v>
      </c>
      <c r="I282">
        <v>0</v>
      </c>
      <c r="J282">
        <f t="shared" si="410"/>
        <v>1</v>
      </c>
      <c r="K282" s="1">
        <f t="shared" si="411"/>
        <v>3250</v>
      </c>
      <c r="L282">
        <f t="shared" si="361"/>
        <v>194999999.99999997</v>
      </c>
      <c r="M282" s="2">
        <f t="shared" si="412"/>
        <v>1.6666666666666671E-5</v>
      </c>
    </row>
    <row r="283" spans="1:13">
      <c r="A283">
        <v>3</v>
      </c>
      <c r="B283">
        <f t="shared" ref="B283:E283" si="460">B259</f>
        <v>18</v>
      </c>
      <c r="C283" t="str">
        <f t="shared" si="460"/>
        <v>PC</v>
      </c>
      <c r="D283">
        <f t="shared" si="460"/>
        <v>5</v>
      </c>
      <c r="E283" t="str">
        <f t="shared" si="460"/>
        <v>PC8</v>
      </c>
      <c r="F283">
        <f t="shared" ref="B283:F283" si="461">F259</f>
        <v>3</v>
      </c>
      <c r="G283">
        <v>7</v>
      </c>
      <c r="H283">
        <v>67</v>
      </c>
      <c r="I283">
        <v>0</v>
      </c>
      <c r="J283">
        <f t="shared" si="410"/>
        <v>1</v>
      </c>
      <c r="K283" s="1">
        <f t="shared" si="411"/>
        <v>3350</v>
      </c>
      <c r="L283">
        <f t="shared" si="361"/>
        <v>165000000</v>
      </c>
      <c r="M283" s="2">
        <f t="shared" si="412"/>
        <v>2.0303030303030303E-5</v>
      </c>
    </row>
    <row r="284" spans="1:13">
      <c r="A284">
        <v>3</v>
      </c>
      <c r="B284">
        <f>B260</f>
        <v>19</v>
      </c>
      <c r="C284" t="str">
        <f t="shared" ref="C284:F284" si="462">C260</f>
        <v>PC</v>
      </c>
      <c r="D284">
        <f t="shared" si="462"/>
        <v>6</v>
      </c>
      <c r="E284" t="str">
        <f t="shared" si="462"/>
        <v>PC9</v>
      </c>
      <c r="F284">
        <f t="shared" si="462"/>
        <v>1</v>
      </c>
      <c r="G284">
        <v>7</v>
      </c>
      <c r="H284">
        <v>19</v>
      </c>
      <c r="I284">
        <v>1</v>
      </c>
      <c r="J284">
        <f t="shared" si="410"/>
        <v>0.1</v>
      </c>
      <c r="K284" s="1">
        <f t="shared" si="411"/>
        <v>9500</v>
      </c>
      <c r="L284">
        <f t="shared" si="361"/>
        <v>184999999.99999997</v>
      </c>
      <c r="M284" s="2">
        <f t="shared" si="412"/>
        <v>5.1351351351351357E-5</v>
      </c>
    </row>
    <row r="285" spans="1:13">
      <c r="A285">
        <v>3</v>
      </c>
      <c r="B285">
        <f t="shared" ref="B285:F285" si="463">B261</f>
        <v>20</v>
      </c>
      <c r="C285" t="str">
        <f t="shared" si="463"/>
        <v>PC</v>
      </c>
      <c r="D285">
        <f t="shared" si="463"/>
        <v>6</v>
      </c>
      <c r="E285" t="str">
        <f t="shared" si="463"/>
        <v>PC9</v>
      </c>
      <c r="F285">
        <f t="shared" si="463"/>
        <v>2</v>
      </c>
      <c r="G285">
        <v>7</v>
      </c>
      <c r="H285">
        <v>24</v>
      </c>
      <c r="I285">
        <v>1</v>
      </c>
      <c r="J285">
        <f t="shared" si="410"/>
        <v>0.1</v>
      </c>
      <c r="K285" s="1">
        <f t="shared" si="411"/>
        <v>12000</v>
      </c>
      <c r="L285">
        <f t="shared" si="361"/>
        <v>199999999.99999997</v>
      </c>
      <c r="M285" s="2">
        <f t="shared" si="412"/>
        <v>6.0000000000000008E-5</v>
      </c>
    </row>
    <row r="286" spans="1:13">
      <c r="A286">
        <v>3</v>
      </c>
      <c r="B286">
        <f t="shared" ref="B286:F286" si="464">B262</f>
        <v>21</v>
      </c>
      <c r="C286" t="str">
        <f t="shared" si="464"/>
        <v>PC</v>
      </c>
      <c r="D286">
        <f t="shared" si="464"/>
        <v>6</v>
      </c>
      <c r="E286" t="str">
        <f t="shared" si="464"/>
        <v>PC9</v>
      </c>
      <c r="F286">
        <f t="shared" si="464"/>
        <v>3</v>
      </c>
      <c r="G286">
        <v>7</v>
      </c>
      <c r="H286">
        <v>19</v>
      </c>
      <c r="I286">
        <v>1</v>
      </c>
      <c r="J286">
        <f t="shared" si="410"/>
        <v>0.1</v>
      </c>
      <c r="K286" s="1">
        <f t="shared" si="411"/>
        <v>9500</v>
      </c>
      <c r="L286">
        <f t="shared" si="361"/>
        <v>184999999.99999997</v>
      </c>
      <c r="M286" s="2">
        <f t="shared" si="412"/>
        <v>5.1351351351351357E-5</v>
      </c>
    </row>
    <row r="287" spans="1:13">
      <c r="A287">
        <v>3</v>
      </c>
      <c r="B287">
        <f t="shared" ref="B287:F287" si="465">B263</f>
        <v>22</v>
      </c>
      <c r="C287" t="str">
        <f t="shared" si="465"/>
        <v>PC</v>
      </c>
      <c r="D287">
        <f t="shared" si="465"/>
        <v>7</v>
      </c>
      <c r="E287" t="str">
        <f t="shared" si="465"/>
        <v>PC10</v>
      </c>
      <c r="F287">
        <f t="shared" si="465"/>
        <v>1</v>
      </c>
      <c r="G287">
        <v>7</v>
      </c>
      <c r="H287">
        <v>43</v>
      </c>
      <c r="I287">
        <v>3</v>
      </c>
      <c r="J287">
        <f t="shared" si="410"/>
        <v>1E-3</v>
      </c>
      <c r="K287" s="1">
        <f t="shared" si="411"/>
        <v>2150000</v>
      </c>
      <c r="L287">
        <f t="shared" si="361"/>
        <v>239999999.99999997</v>
      </c>
      <c r="M287" s="2">
        <f t="shared" si="412"/>
        <v>8.9583333333333338E-3</v>
      </c>
    </row>
    <row r="288" spans="1:13">
      <c r="A288">
        <v>3</v>
      </c>
      <c r="B288">
        <f t="shared" ref="B288:F289" si="466">B264</f>
        <v>23</v>
      </c>
      <c r="C288" t="str">
        <f t="shared" si="466"/>
        <v>PC</v>
      </c>
      <c r="D288">
        <f t="shared" si="466"/>
        <v>7</v>
      </c>
      <c r="E288" t="str">
        <f t="shared" si="466"/>
        <v>PC10</v>
      </c>
      <c r="F288">
        <f t="shared" si="466"/>
        <v>2</v>
      </c>
      <c r="G288">
        <v>7</v>
      </c>
      <c r="H288">
        <v>48</v>
      </c>
      <c r="I288">
        <v>3</v>
      </c>
      <c r="J288">
        <f t="shared" si="410"/>
        <v>1E-3</v>
      </c>
      <c r="K288" s="1">
        <f t="shared" si="411"/>
        <v>2400000</v>
      </c>
      <c r="L288">
        <f t="shared" si="361"/>
        <v>264999999.99999997</v>
      </c>
      <c r="M288" s="2">
        <f t="shared" si="412"/>
        <v>9.0566037735849061E-3</v>
      </c>
    </row>
    <row r="289" spans="1:13">
      <c r="A289">
        <v>3</v>
      </c>
      <c r="B289">
        <f>B265</f>
        <v>24</v>
      </c>
      <c r="C289" t="str">
        <f t="shared" si="466"/>
        <v>PC</v>
      </c>
      <c r="D289">
        <f t="shared" si="466"/>
        <v>7</v>
      </c>
      <c r="E289" t="str">
        <f t="shared" si="466"/>
        <v>PC10</v>
      </c>
      <c r="F289">
        <f t="shared" si="466"/>
        <v>3</v>
      </c>
      <c r="G289">
        <v>7</v>
      </c>
      <c r="H289">
        <v>56</v>
      </c>
      <c r="I289">
        <v>3</v>
      </c>
      <c r="J289">
        <f t="shared" si="410"/>
        <v>1E-3</v>
      </c>
      <c r="K289" s="1">
        <f t="shared" si="411"/>
        <v>2800000</v>
      </c>
      <c r="L289">
        <f t="shared" si="361"/>
        <v>170000000</v>
      </c>
      <c r="M289" s="2">
        <f t="shared" si="412"/>
        <v>1.6470588235294119E-2</v>
      </c>
    </row>
    <row r="290" spans="1:13">
      <c r="K290" s="1"/>
      <c r="M290" s="2"/>
    </row>
    <row r="291" spans="1:13">
      <c r="K291" s="1"/>
      <c r="M291" s="2"/>
    </row>
    <row r="292" spans="1:13">
      <c r="H292" s="3"/>
      <c r="I292" s="3"/>
      <c r="K292" s="1"/>
      <c r="M292" s="2"/>
    </row>
    <row r="293" spans="1:13">
      <c r="K293" s="1"/>
      <c r="M293" s="2"/>
    </row>
    <row r="294" spans="1:13">
      <c r="K294" s="1"/>
      <c r="M294" s="2"/>
    </row>
    <row r="295" spans="1:13">
      <c r="H295" s="3"/>
      <c r="I295" s="3"/>
      <c r="K295" s="1"/>
      <c r="M295" s="2"/>
    </row>
    <row r="296" spans="1:13">
      <c r="K296" s="1"/>
      <c r="M296" s="2"/>
    </row>
    <row r="297" spans="1:13">
      <c r="K297" s="1"/>
      <c r="M297" s="2"/>
    </row>
    <row r="298" spans="1:13">
      <c r="H298" s="3"/>
      <c r="I298" s="3"/>
      <c r="K298" s="1"/>
      <c r="M298" s="2"/>
    </row>
    <row r="299" spans="1:13">
      <c r="K299" s="1"/>
      <c r="M299" s="2"/>
    </row>
    <row r="300" spans="1:13">
      <c r="K300" s="1"/>
      <c r="M300" s="2"/>
    </row>
    <row r="301" spans="1:13">
      <c r="H301" s="3"/>
      <c r="I301" s="3"/>
      <c r="K301" s="1"/>
      <c r="M301" s="2"/>
    </row>
    <row r="302" spans="1:13">
      <c r="K302" s="1"/>
      <c r="M302" s="2"/>
    </row>
    <row r="303" spans="1:13">
      <c r="K303" s="1"/>
      <c r="M303" s="2"/>
    </row>
    <row r="304" spans="1:13">
      <c r="H304" s="3"/>
      <c r="I304" s="3"/>
      <c r="K304" s="1"/>
      <c r="M304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Adam Lyon</dc:creator>
  <cp:keywords/>
  <dc:description/>
  <cp:lastModifiedBy>adammlyon@gmail.com</cp:lastModifiedBy>
  <cp:revision/>
  <dcterms:created xsi:type="dcterms:W3CDTF">2024-02-22T01:56:38Z</dcterms:created>
  <dcterms:modified xsi:type="dcterms:W3CDTF">2026-01-25T01:06:48Z</dcterms:modified>
  <cp:category/>
  <cp:contentStatus/>
</cp:coreProperties>
</file>