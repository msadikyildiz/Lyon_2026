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damlyon/Desktop/September2024/MDK/mutants/"/>
    </mc:Choice>
  </mc:AlternateContent>
  <xr:revisionPtr revIDLastSave="0" documentId="13_ncr:1_{988C5A0B-2100-494D-A706-98B3CCAACF3E}" xr6:coauthVersionLast="47" xr6:coauthVersionMax="47" xr10:uidLastSave="{00000000-0000-0000-0000-000000000000}"/>
  <bookViews>
    <workbookView xWindow="-28800" yWindow="-260" windowWidth="28800" windowHeight="1564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tv0bmT/NjfMWUZF4e8HvC4Bf4lRA23SnxQRcJuWub4="/>
    </ext>
  </extLst>
</workbook>
</file>

<file path=xl/calcChain.xml><?xml version="1.0" encoding="utf-8"?>
<calcChain xmlns="http://schemas.openxmlformats.org/spreadsheetml/2006/main">
  <c r="L42" i="5" l="1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J61" i="5"/>
  <c r="E61" i="5"/>
  <c r="D61" i="5"/>
  <c r="J60" i="5"/>
  <c r="E60" i="5"/>
  <c r="D60" i="5"/>
  <c r="J59" i="5"/>
  <c r="E59" i="5"/>
  <c r="D59" i="5"/>
  <c r="J58" i="5"/>
  <c r="E58" i="5"/>
  <c r="D58" i="5"/>
  <c r="J57" i="5"/>
  <c r="E57" i="5"/>
  <c r="D57" i="5"/>
  <c r="J56" i="5"/>
  <c r="E56" i="5"/>
  <c r="D56" i="5"/>
  <c r="J55" i="5"/>
  <c r="E55" i="5"/>
  <c r="D55" i="5"/>
  <c r="J54" i="5"/>
  <c r="E54" i="5"/>
  <c r="D54" i="5"/>
  <c r="J53" i="5"/>
  <c r="E53" i="5"/>
  <c r="D53" i="5"/>
  <c r="J52" i="5"/>
  <c r="E52" i="5"/>
  <c r="D52" i="5"/>
  <c r="J51" i="5"/>
  <c r="E51" i="5"/>
  <c r="D51" i="5"/>
  <c r="J50" i="5"/>
  <c r="E50" i="5"/>
  <c r="D50" i="5"/>
  <c r="J49" i="5"/>
  <c r="E49" i="5"/>
  <c r="D49" i="5"/>
  <c r="J48" i="5"/>
  <c r="E48" i="5"/>
  <c r="D48" i="5"/>
  <c r="J47" i="5"/>
  <c r="E47" i="5"/>
  <c r="D47" i="5"/>
  <c r="J46" i="5"/>
  <c r="E46" i="5"/>
  <c r="D46" i="5"/>
  <c r="J45" i="5"/>
  <c r="E45" i="5"/>
  <c r="D45" i="5"/>
  <c r="J44" i="5"/>
  <c r="E44" i="5"/>
  <c r="D44" i="5"/>
  <c r="J43" i="5"/>
  <c r="E43" i="5"/>
  <c r="D43" i="5"/>
  <c r="J42" i="5"/>
  <c r="E42" i="5"/>
  <c r="D42" i="5"/>
  <c r="L41" i="5"/>
  <c r="J41" i="5"/>
  <c r="E41" i="5"/>
  <c r="D41" i="5"/>
  <c r="L40" i="5"/>
  <c r="J40" i="5"/>
  <c r="E40" i="5"/>
  <c r="D40" i="5"/>
  <c r="L39" i="5"/>
  <c r="J39" i="5"/>
  <c r="E39" i="5"/>
  <c r="D39" i="5"/>
  <c r="L38" i="5"/>
  <c r="J38" i="5"/>
  <c r="E38" i="5"/>
  <c r="D38" i="5"/>
  <c r="L37" i="5"/>
  <c r="J37" i="5"/>
  <c r="E37" i="5"/>
  <c r="D37" i="5"/>
  <c r="L36" i="5"/>
  <c r="J36" i="5"/>
  <c r="E36" i="5"/>
  <c r="D36" i="5"/>
  <c r="L35" i="5"/>
  <c r="J35" i="5"/>
  <c r="E35" i="5"/>
  <c r="D35" i="5"/>
  <c r="L34" i="5"/>
  <c r="J34" i="5"/>
  <c r="E34" i="5"/>
  <c r="D34" i="5"/>
  <c r="L33" i="5"/>
  <c r="J33" i="5"/>
  <c r="E33" i="5"/>
  <c r="D33" i="5"/>
  <c r="L32" i="5"/>
  <c r="J32" i="5"/>
  <c r="E32" i="5"/>
  <c r="D32" i="5"/>
  <c r="L31" i="5"/>
  <c r="J31" i="5"/>
  <c r="E31" i="5"/>
  <c r="D31" i="5"/>
  <c r="L30" i="5"/>
  <c r="J30" i="5"/>
  <c r="E30" i="5"/>
  <c r="D30" i="5"/>
  <c r="L29" i="5"/>
  <c r="J29" i="5"/>
  <c r="E29" i="5"/>
  <c r="D29" i="5"/>
  <c r="L28" i="5"/>
  <c r="J28" i="5"/>
  <c r="E28" i="5"/>
  <c r="D28" i="5"/>
  <c r="L27" i="5"/>
  <c r="J27" i="5"/>
  <c r="E27" i="5"/>
  <c r="D27" i="5"/>
  <c r="L26" i="5"/>
  <c r="J26" i="5"/>
  <c r="E26" i="5"/>
  <c r="D26" i="5"/>
  <c r="L25" i="5"/>
  <c r="J25" i="5"/>
  <c r="E25" i="5"/>
  <c r="D25" i="5"/>
  <c r="L24" i="5"/>
  <c r="J24" i="5"/>
  <c r="E24" i="5"/>
  <c r="D24" i="5"/>
  <c r="L23" i="5"/>
  <c r="J23" i="5"/>
  <c r="E23" i="5"/>
  <c r="D23" i="5"/>
  <c r="L22" i="5"/>
  <c r="J22" i="5"/>
  <c r="E22" i="5"/>
  <c r="D22" i="5"/>
  <c r="J21" i="5"/>
  <c r="E21" i="5"/>
  <c r="D21" i="5"/>
  <c r="J20" i="5"/>
  <c r="E20" i="5"/>
  <c r="D20" i="5"/>
  <c r="J19" i="5"/>
  <c r="E19" i="5"/>
  <c r="D19" i="5"/>
  <c r="J18" i="5"/>
  <c r="E18" i="5"/>
  <c r="D18" i="5"/>
  <c r="J17" i="5"/>
  <c r="E17" i="5"/>
  <c r="D17" i="5"/>
  <c r="J16" i="5"/>
  <c r="E16" i="5"/>
  <c r="D16" i="5"/>
  <c r="J15" i="5"/>
  <c r="E15" i="5"/>
  <c r="D15" i="5"/>
  <c r="J14" i="5"/>
  <c r="E14" i="5"/>
  <c r="D14" i="5"/>
  <c r="J13" i="5"/>
  <c r="E13" i="5"/>
  <c r="D13" i="5"/>
  <c r="J12" i="5"/>
  <c r="E12" i="5"/>
  <c r="D12" i="5"/>
  <c r="J11" i="5"/>
  <c r="E11" i="5"/>
  <c r="D11" i="5"/>
  <c r="J10" i="5"/>
  <c r="E10" i="5"/>
  <c r="D10" i="5"/>
  <c r="J9" i="5"/>
  <c r="E9" i="5"/>
  <c r="D9" i="5"/>
  <c r="J8" i="5"/>
  <c r="E8" i="5"/>
  <c r="D8" i="5"/>
  <c r="J7" i="5"/>
  <c r="E7" i="5"/>
  <c r="D7" i="5"/>
  <c r="J6" i="5"/>
  <c r="E6" i="5"/>
  <c r="D6" i="5"/>
  <c r="J5" i="5"/>
  <c r="E5" i="5"/>
  <c r="D5" i="5"/>
  <c r="J4" i="5"/>
  <c r="E4" i="5"/>
  <c r="D4" i="5"/>
  <c r="J3" i="5"/>
  <c r="E3" i="5"/>
  <c r="D3" i="5"/>
  <c r="J2" i="5"/>
  <c r="E2" i="5"/>
  <c r="D2" i="5"/>
  <c r="M41" i="5" l="1"/>
  <c r="M39" i="5"/>
  <c r="M38" i="5"/>
  <c r="M34" i="5"/>
  <c r="M33" i="5"/>
  <c r="M31" i="5"/>
  <c r="M30" i="5"/>
  <c r="M29" i="5"/>
  <c r="M28" i="5"/>
  <c r="M26" i="5"/>
  <c r="M25" i="5"/>
  <c r="M24" i="5"/>
  <c r="M23" i="5"/>
  <c r="M22" i="5"/>
  <c r="K21" i="5"/>
  <c r="M21" i="5" s="1"/>
  <c r="K19" i="5"/>
  <c r="M19" i="5" s="1"/>
  <c r="K18" i="5"/>
  <c r="M18" i="5" s="1"/>
  <c r="K17" i="5"/>
  <c r="M17" i="5" s="1"/>
  <c r="K14" i="5"/>
  <c r="M14" i="5" s="1"/>
  <c r="K13" i="5"/>
  <c r="M13" i="5" s="1"/>
  <c r="K10" i="5"/>
  <c r="M10" i="5" s="1"/>
  <c r="K8" i="5"/>
  <c r="M8" i="5" s="1"/>
  <c r="K5" i="5"/>
  <c r="M5" i="5" s="1"/>
  <c r="K3" i="5"/>
  <c r="M3" i="5" s="1"/>
  <c r="K2" i="5"/>
  <c r="M2" i="5" s="1"/>
  <c r="M40" i="5"/>
  <c r="M37" i="5"/>
  <c r="M36" i="5"/>
  <c r="M35" i="5"/>
  <c r="M32" i="5"/>
  <c r="M27" i="5"/>
  <c r="K20" i="5"/>
  <c r="M20" i="5" s="1"/>
  <c r="K16" i="5"/>
  <c r="M16" i="5" s="1"/>
  <c r="K15" i="5"/>
  <c r="M15" i="5" s="1"/>
  <c r="K12" i="5"/>
  <c r="M12" i="5" s="1"/>
  <c r="K11" i="5"/>
  <c r="M11" i="5" s="1"/>
  <c r="K9" i="5"/>
  <c r="M9" i="5" s="1"/>
  <c r="K7" i="5"/>
  <c r="M7" i="5" s="1"/>
  <c r="K6" i="5"/>
  <c r="M6" i="5" s="1"/>
  <c r="K4" i="5"/>
  <c r="M4" i="5" s="1"/>
  <c r="M56" i="5" l="1"/>
  <c r="M54" i="5"/>
  <c r="M50" i="5"/>
  <c r="M49" i="5"/>
  <c r="M48" i="5"/>
  <c r="M47" i="5"/>
  <c r="M46" i="5"/>
  <c r="M45" i="5"/>
  <c r="M44" i="5"/>
  <c r="M43" i="5"/>
  <c r="M42" i="5"/>
  <c r="M61" i="5"/>
  <c r="M60" i="5"/>
  <c r="M59" i="5"/>
  <c r="M58" i="5"/>
  <c r="M57" i="5"/>
  <c r="M55" i="5"/>
  <c r="M53" i="5"/>
  <c r="M52" i="5"/>
  <c r="M51" i="5"/>
</calcChain>
</file>

<file path=xl/sharedStrings.xml><?xml version="1.0" encoding="utf-8"?>
<sst xmlns="http://schemas.openxmlformats.org/spreadsheetml/2006/main" count="73" uniqueCount="18">
  <si>
    <t>wt</t>
  </si>
  <si>
    <t>hipA</t>
  </si>
  <si>
    <t>hipA_selB</t>
  </si>
  <si>
    <t>hipA_ftsH</t>
  </si>
  <si>
    <t>hipA_rpoZ</t>
  </si>
  <si>
    <t>Tube</t>
  </si>
  <si>
    <t>Strain</t>
  </si>
  <si>
    <t>Replicate</t>
  </si>
  <si>
    <t>Time</t>
  </si>
  <si>
    <t>Dilution</t>
  </si>
  <si>
    <t>Factor</t>
  </si>
  <si>
    <t>CFU</t>
  </si>
  <si>
    <t>TimeZero</t>
  </si>
  <si>
    <t>Fraction</t>
  </si>
  <si>
    <t>Day</t>
  </si>
  <si>
    <t>Culture</t>
  </si>
  <si>
    <t>Count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</si>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</sst>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2"/>
      <color rgb="FF000000"/>
      <name val="&quot;Aptos Narrow&quot;"/>
    </font>
    <font>
      <sz val="12"/>
      <color rgb="FF000000"/>
      <name val="Arial"/>
      <family val="2"/>
    </font>
    <font>
      <sz val="12"/>
      <color theme="1"/>
      <name val="Aptos Narrow"/>
      <family val="2"/>
    </font>
    <font>
      <sz val="12"/>
      <color rgb="FF000000"/>
      <name val="Aptos Narrow"/>
      <family val="2"/>
    </font>
    <font>
      <sz val="11"/>
      <color theme="1"/>
      <name val="Calibri"/>
      <family val="2"/>
      <scheme val="minor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/>
    </xf>
    <xf numFmtId="11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E951-8823-BA4A-923E-97F47D6C2CAE}">
  <dimension ref="A1:M61"/>
  <sheetViews>
    <sheetView tabSelected="1" workbookViewId="0">
      <selection activeCell="G59" sqref="G59"/>
    </sheetView>
  </sheetViews>
  <sheetFormatPr baseColWidth="10" defaultRowHeight="15"/>
  <sheetData>
    <row r="1" spans="1:13" ht="16">
      <c r="A1" s="7" t="s">
        <v>14</v>
      </c>
      <c r="B1" s="8" t="s">
        <v>5</v>
      </c>
      <c r="C1" s="8" t="s">
        <v>6</v>
      </c>
      <c r="D1" s="8" t="s">
        <v>15</v>
      </c>
      <c r="E1" s="8" t="s">
        <v>17</v>
      </c>
      <c r="F1" s="8" t="s">
        <v>7</v>
      </c>
      <c r="G1" s="8" t="s">
        <v>8</v>
      </c>
      <c r="H1" s="8" t="s">
        <v>16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</row>
    <row r="2" spans="1:13" ht="16">
      <c r="A2">
        <v>2</v>
      </c>
      <c r="B2" s="2">
        <v>1</v>
      </c>
      <c r="C2" t="s">
        <v>0</v>
      </c>
      <c r="D2" s="9">
        <f t="shared" ref="D2:D21" si="0">F2</f>
        <v>1</v>
      </c>
      <c r="E2" s="9" t="str">
        <f t="shared" ref="E2:E21" si="1">C2</f>
        <v>wt</v>
      </c>
      <c r="F2" s="2">
        <v>1</v>
      </c>
      <c r="G2" s="2">
        <v>0</v>
      </c>
      <c r="H2" s="2">
        <v>56</v>
      </c>
      <c r="I2" s="2">
        <v>5</v>
      </c>
      <c r="J2" s="2">
        <f>1/10^I2</f>
        <v>1.0000000000000001E-5</v>
      </c>
      <c r="K2" s="10">
        <f>H2/(J2*0.01)</f>
        <v>560000000</v>
      </c>
      <c r="L2" s="5">
        <v>560000000</v>
      </c>
      <c r="M2" s="3">
        <f>K2/L2</f>
        <v>1</v>
      </c>
    </row>
    <row r="3" spans="1:13" ht="16">
      <c r="A3">
        <v>2</v>
      </c>
      <c r="B3" s="2">
        <v>2</v>
      </c>
      <c r="C3" t="s">
        <v>0</v>
      </c>
      <c r="D3" s="9">
        <f t="shared" si="0"/>
        <v>2</v>
      </c>
      <c r="E3" s="9" t="str">
        <f t="shared" si="1"/>
        <v>wt</v>
      </c>
      <c r="F3" s="2">
        <v>2</v>
      </c>
      <c r="G3" s="2">
        <v>0</v>
      </c>
      <c r="H3" s="2">
        <v>69</v>
      </c>
      <c r="I3" s="2">
        <v>5</v>
      </c>
      <c r="J3" s="2">
        <f t="shared" ref="J3:J46" si="2">10^-I3</f>
        <v>1.0000000000000001E-5</v>
      </c>
      <c r="K3" s="10">
        <f t="shared" ref="K3:K21" si="3">H3/(J3*0.01)</f>
        <v>689999999.99999988</v>
      </c>
      <c r="L3" s="5">
        <v>689999999.99999988</v>
      </c>
      <c r="M3" s="3">
        <f t="shared" ref="M3:M46" si="4">K3/L3</f>
        <v>1</v>
      </c>
    </row>
    <row r="4" spans="1:13" ht="16">
      <c r="A4">
        <v>2</v>
      </c>
      <c r="B4" s="2">
        <v>3</v>
      </c>
      <c r="C4" t="s">
        <v>0</v>
      </c>
      <c r="D4" s="9">
        <f t="shared" si="0"/>
        <v>3</v>
      </c>
      <c r="E4" s="9" t="str">
        <f t="shared" si="1"/>
        <v>wt</v>
      </c>
      <c r="F4" s="2">
        <v>3</v>
      </c>
      <c r="G4" s="2">
        <v>0</v>
      </c>
      <c r="H4" s="2">
        <v>50</v>
      </c>
      <c r="I4" s="2">
        <v>5</v>
      </c>
      <c r="J4" s="2">
        <f t="shared" si="2"/>
        <v>1.0000000000000001E-5</v>
      </c>
      <c r="K4" s="10">
        <f t="shared" si="3"/>
        <v>499999999.99999994</v>
      </c>
      <c r="L4" s="5">
        <v>499999999.99999994</v>
      </c>
      <c r="M4" s="3">
        <f t="shared" si="4"/>
        <v>1</v>
      </c>
    </row>
    <row r="5" spans="1:13" ht="16">
      <c r="A5">
        <v>2</v>
      </c>
      <c r="B5" s="2">
        <v>4</v>
      </c>
      <c r="C5" t="s">
        <v>0</v>
      </c>
      <c r="D5" s="9">
        <f t="shared" si="0"/>
        <v>4</v>
      </c>
      <c r="E5" s="9" t="str">
        <f t="shared" si="1"/>
        <v>wt</v>
      </c>
      <c r="F5" s="2">
        <v>4</v>
      </c>
      <c r="G5" s="2">
        <v>0</v>
      </c>
      <c r="H5" s="2">
        <v>55</v>
      </c>
      <c r="I5" s="2">
        <v>5</v>
      </c>
      <c r="J5" s="2">
        <f t="shared" si="2"/>
        <v>1.0000000000000001E-5</v>
      </c>
      <c r="K5" s="10">
        <f t="shared" si="3"/>
        <v>550000000</v>
      </c>
      <c r="L5" s="5">
        <v>550000000</v>
      </c>
      <c r="M5" s="3">
        <f t="shared" si="4"/>
        <v>1</v>
      </c>
    </row>
    <row r="6" spans="1:13" ht="16">
      <c r="A6">
        <v>2</v>
      </c>
      <c r="B6" s="2">
        <v>5</v>
      </c>
      <c r="C6" t="s">
        <v>1</v>
      </c>
      <c r="D6" s="9">
        <f t="shared" si="0"/>
        <v>1</v>
      </c>
      <c r="E6" s="9" t="str">
        <f t="shared" si="1"/>
        <v>hipA</v>
      </c>
      <c r="F6" s="2">
        <v>1</v>
      </c>
      <c r="G6" s="2">
        <v>0</v>
      </c>
      <c r="H6" s="2">
        <v>48</v>
      </c>
      <c r="I6" s="2">
        <v>5</v>
      </c>
      <c r="J6" s="2">
        <f t="shared" si="2"/>
        <v>1.0000000000000001E-5</v>
      </c>
      <c r="K6" s="10">
        <f t="shared" si="3"/>
        <v>479999999.99999994</v>
      </c>
      <c r="L6" s="5">
        <v>479999999.99999994</v>
      </c>
      <c r="M6" s="3">
        <f t="shared" si="4"/>
        <v>1</v>
      </c>
    </row>
    <row r="7" spans="1:13" ht="16">
      <c r="A7">
        <v>2</v>
      </c>
      <c r="B7" s="2">
        <v>6</v>
      </c>
      <c r="C7" t="s">
        <v>1</v>
      </c>
      <c r="D7" s="9">
        <f t="shared" si="0"/>
        <v>2</v>
      </c>
      <c r="E7" s="9" t="str">
        <f t="shared" si="1"/>
        <v>hipA</v>
      </c>
      <c r="F7" s="2">
        <v>2</v>
      </c>
      <c r="G7" s="2">
        <v>0</v>
      </c>
      <c r="H7" s="2">
        <v>46</v>
      </c>
      <c r="I7" s="2">
        <v>5</v>
      </c>
      <c r="J7" s="2">
        <f t="shared" si="2"/>
        <v>1.0000000000000001E-5</v>
      </c>
      <c r="K7" s="10">
        <f t="shared" si="3"/>
        <v>459999999.99999994</v>
      </c>
      <c r="L7" s="5">
        <v>459999999.99999994</v>
      </c>
      <c r="M7" s="3">
        <f t="shared" si="4"/>
        <v>1</v>
      </c>
    </row>
    <row r="8" spans="1:13" ht="16">
      <c r="A8">
        <v>2</v>
      </c>
      <c r="B8" s="2">
        <v>7</v>
      </c>
      <c r="C8" t="s">
        <v>1</v>
      </c>
      <c r="D8" s="9">
        <f t="shared" si="0"/>
        <v>3</v>
      </c>
      <c r="E8" s="9" t="str">
        <f t="shared" si="1"/>
        <v>hipA</v>
      </c>
      <c r="F8" s="2">
        <v>3</v>
      </c>
      <c r="G8" s="2">
        <v>0</v>
      </c>
      <c r="H8" s="2">
        <v>47</v>
      </c>
      <c r="I8" s="2">
        <v>5</v>
      </c>
      <c r="J8" s="2">
        <f t="shared" si="2"/>
        <v>1.0000000000000001E-5</v>
      </c>
      <c r="K8" s="10">
        <f t="shared" si="3"/>
        <v>469999999.99999994</v>
      </c>
      <c r="L8" s="5">
        <v>469999999.99999994</v>
      </c>
      <c r="M8" s="3">
        <f t="shared" si="4"/>
        <v>1</v>
      </c>
    </row>
    <row r="9" spans="1:13" ht="16">
      <c r="A9">
        <v>2</v>
      </c>
      <c r="B9" s="2">
        <v>8</v>
      </c>
      <c r="C9" t="s">
        <v>1</v>
      </c>
      <c r="D9" s="9">
        <f t="shared" si="0"/>
        <v>4</v>
      </c>
      <c r="E9" s="9" t="str">
        <f t="shared" si="1"/>
        <v>hipA</v>
      </c>
      <c r="F9" s="2">
        <v>4</v>
      </c>
      <c r="G9" s="2">
        <v>0</v>
      </c>
      <c r="H9" s="2">
        <v>55</v>
      </c>
      <c r="I9" s="2">
        <v>5</v>
      </c>
      <c r="J9" s="2">
        <f t="shared" si="2"/>
        <v>1.0000000000000001E-5</v>
      </c>
      <c r="K9" s="10">
        <f t="shared" si="3"/>
        <v>550000000</v>
      </c>
      <c r="L9" s="5">
        <v>550000000</v>
      </c>
      <c r="M9" s="3">
        <f t="shared" si="4"/>
        <v>1</v>
      </c>
    </row>
    <row r="10" spans="1:13" ht="16">
      <c r="A10">
        <v>2</v>
      </c>
      <c r="B10" s="2">
        <v>9</v>
      </c>
      <c r="C10" t="s">
        <v>2</v>
      </c>
      <c r="D10" s="9">
        <f t="shared" si="0"/>
        <v>1</v>
      </c>
      <c r="E10" s="9" t="str">
        <f t="shared" si="1"/>
        <v>hipA_selB</v>
      </c>
      <c r="F10" s="2">
        <v>1</v>
      </c>
      <c r="G10" s="2">
        <v>0</v>
      </c>
      <c r="H10" s="2">
        <v>56</v>
      </c>
      <c r="I10" s="2">
        <v>5</v>
      </c>
      <c r="J10" s="2">
        <f t="shared" si="2"/>
        <v>1.0000000000000001E-5</v>
      </c>
      <c r="K10" s="10">
        <f t="shared" si="3"/>
        <v>560000000</v>
      </c>
      <c r="L10" s="5">
        <v>560000000</v>
      </c>
      <c r="M10" s="3">
        <f t="shared" si="4"/>
        <v>1</v>
      </c>
    </row>
    <row r="11" spans="1:13" ht="16">
      <c r="A11">
        <v>2</v>
      </c>
      <c r="B11" s="2">
        <v>10</v>
      </c>
      <c r="C11" t="s">
        <v>2</v>
      </c>
      <c r="D11" s="9">
        <f t="shared" si="0"/>
        <v>2</v>
      </c>
      <c r="E11" s="9" t="str">
        <f t="shared" si="1"/>
        <v>hipA_selB</v>
      </c>
      <c r="F11" s="2">
        <v>2</v>
      </c>
      <c r="G11" s="2">
        <v>0</v>
      </c>
      <c r="H11" s="2">
        <v>39</v>
      </c>
      <c r="I11" s="2">
        <v>5</v>
      </c>
      <c r="J11" s="2">
        <f t="shared" si="2"/>
        <v>1.0000000000000001E-5</v>
      </c>
      <c r="K11" s="10">
        <f t="shared" si="3"/>
        <v>389999999.99999994</v>
      </c>
      <c r="L11" s="5">
        <v>389999999.99999994</v>
      </c>
      <c r="M11" s="3">
        <f t="shared" si="4"/>
        <v>1</v>
      </c>
    </row>
    <row r="12" spans="1:13" ht="16">
      <c r="A12">
        <v>2</v>
      </c>
      <c r="B12" s="2">
        <v>11</v>
      </c>
      <c r="C12" t="s">
        <v>2</v>
      </c>
      <c r="D12" s="9">
        <f t="shared" si="0"/>
        <v>3</v>
      </c>
      <c r="E12" s="9" t="str">
        <f t="shared" si="1"/>
        <v>hipA_selB</v>
      </c>
      <c r="F12" s="2">
        <v>3</v>
      </c>
      <c r="G12" s="2">
        <v>0</v>
      </c>
      <c r="H12" s="2">
        <v>39</v>
      </c>
      <c r="I12" s="2">
        <v>5</v>
      </c>
      <c r="J12" s="2">
        <f t="shared" si="2"/>
        <v>1.0000000000000001E-5</v>
      </c>
      <c r="K12" s="10">
        <f t="shared" si="3"/>
        <v>389999999.99999994</v>
      </c>
      <c r="L12" s="5">
        <v>389999999.99999994</v>
      </c>
      <c r="M12" s="3">
        <f t="shared" si="4"/>
        <v>1</v>
      </c>
    </row>
    <row r="13" spans="1:13" ht="16">
      <c r="A13">
        <v>2</v>
      </c>
      <c r="B13" s="2">
        <v>12</v>
      </c>
      <c r="C13" t="s">
        <v>2</v>
      </c>
      <c r="D13" s="9">
        <f t="shared" si="0"/>
        <v>4</v>
      </c>
      <c r="E13" s="9" t="str">
        <f t="shared" si="1"/>
        <v>hipA_selB</v>
      </c>
      <c r="F13" s="2">
        <v>4</v>
      </c>
      <c r="G13" s="2">
        <v>0</v>
      </c>
      <c r="H13" s="2">
        <v>34</v>
      </c>
      <c r="I13" s="2">
        <v>5</v>
      </c>
      <c r="J13" s="2">
        <f t="shared" si="2"/>
        <v>1.0000000000000001E-5</v>
      </c>
      <c r="K13" s="10">
        <f t="shared" si="3"/>
        <v>340000000</v>
      </c>
      <c r="L13" s="5">
        <v>340000000</v>
      </c>
      <c r="M13" s="3">
        <f t="shared" si="4"/>
        <v>1</v>
      </c>
    </row>
    <row r="14" spans="1:13" ht="16">
      <c r="A14">
        <v>2</v>
      </c>
      <c r="B14" s="2">
        <v>13</v>
      </c>
      <c r="C14" t="s">
        <v>3</v>
      </c>
      <c r="D14" s="9">
        <f t="shared" si="0"/>
        <v>1</v>
      </c>
      <c r="E14" s="9" t="str">
        <f t="shared" si="1"/>
        <v>hipA_ftsH</v>
      </c>
      <c r="F14" s="2">
        <v>1</v>
      </c>
      <c r="G14" s="2">
        <v>0</v>
      </c>
      <c r="H14" s="2">
        <v>22</v>
      </c>
      <c r="I14" s="2">
        <v>5</v>
      </c>
      <c r="J14" s="2">
        <f t="shared" si="2"/>
        <v>1.0000000000000001E-5</v>
      </c>
      <c r="K14" s="10">
        <f t="shared" si="3"/>
        <v>219999999.99999997</v>
      </c>
      <c r="L14" s="5">
        <v>219999999.99999997</v>
      </c>
      <c r="M14" s="3">
        <f t="shared" si="4"/>
        <v>1</v>
      </c>
    </row>
    <row r="15" spans="1:13" ht="16">
      <c r="A15">
        <v>2</v>
      </c>
      <c r="B15" s="2">
        <v>14</v>
      </c>
      <c r="C15" t="s">
        <v>3</v>
      </c>
      <c r="D15" s="9">
        <f t="shared" si="0"/>
        <v>2</v>
      </c>
      <c r="E15" s="9" t="str">
        <f t="shared" si="1"/>
        <v>hipA_ftsH</v>
      </c>
      <c r="F15" s="2">
        <v>2</v>
      </c>
      <c r="G15" s="2">
        <v>0</v>
      </c>
      <c r="H15" s="2">
        <v>30</v>
      </c>
      <c r="I15" s="2">
        <v>5</v>
      </c>
      <c r="J15" s="2">
        <f t="shared" si="2"/>
        <v>1.0000000000000001E-5</v>
      </c>
      <c r="K15" s="10">
        <f t="shared" si="3"/>
        <v>300000000</v>
      </c>
      <c r="L15" s="5">
        <v>300000000</v>
      </c>
      <c r="M15" s="3">
        <f t="shared" si="4"/>
        <v>1</v>
      </c>
    </row>
    <row r="16" spans="1:13" ht="16">
      <c r="A16">
        <v>2</v>
      </c>
      <c r="B16" s="2">
        <v>15</v>
      </c>
      <c r="C16" t="s">
        <v>3</v>
      </c>
      <c r="D16" s="9">
        <f t="shared" si="0"/>
        <v>3</v>
      </c>
      <c r="E16" s="9" t="str">
        <f t="shared" si="1"/>
        <v>hipA_ftsH</v>
      </c>
      <c r="F16" s="2">
        <v>3</v>
      </c>
      <c r="G16" s="2">
        <v>0</v>
      </c>
      <c r="H16" s="2">
        <v>24</v>
      </c>
      <c r="I16" s="2">
        <v>5</v>
      </c>
      <c r="J16" s="2">
        <f t="shared" si="2"/>
        <v>1.0000000000000001E-5</v>
      </c>
      <c r="K16" s="10">
        <f t="shared" si="3"/>
        <v>239999999.99999997</v>
      </c>
      <c r="L16" s="5">
        <v>239999999.99999997</v>
      </c>
      <c r="M16" s="3">
        <f t="shared" si="4"/>
        <v>1</v>
      </c>
    </row>
    <row r="17" spans="1:13" ht="16">
      <c r="A17">
        <v>2</v>
      </c>
      <c r="B17" s="2">
        <v>16</v>
      </c>
      <c r="C17" t="s">
        <v>3</v>
      </c>
      <c r="D17" s="9">
        <f t="shared" si="0"/>
        <v>4</v>
      </c>
      <c r="E17" s="9" t="str">
        <f t="shared" si="1"/>
        <v>hipA_ftsH</v>
      </c>
      <c r="F17" s="2">
        <v>4</v>
      </c>
      <c r="G17" s="2">
        <v>0</v>
      </c>
      <c r="H17" s="2">
        <v>27</v>
      </c>
      <c r="I17" s="2">
        <v>5</v>
      </c>
      <c r="J17" s="2">
        <f t="shared" si="2"/>
        <v>1.0000000000000001E-5</v>
      </c>
      <c r="K17" s="10">
        <f t="shared" si="3"/>
        <v>270000000</v>
      </c>
      <c r="L17" s="5">
        <v>270000000</v>
      </c>
      <c r="M17" s="3">
        <f t="shared" si="4"/>
        <v>1</v>
      </c>
    </row>
    <row r="18" spans="1:13" ht="16">
      <c r="A18">
        <v>2</v>
      </c>
      <c r="B18" s="2">
        <v>17</v>
      </c>
      <c r="C18" t="s">
        <v>4</v>
      </c>
      <c r="D18" s="9">
        <f t="shared" si="0"/>
        <v>1</v>
      </c>
      <c r="E18" s="9" t="str">
        <f t="shared" si="1"/>
        <v>hipA_rpoZ</v>
      </c>
      <c r="F18" s="2">
        <v>1</v>
      </c>
      <c r="G18" s="2">
        <v>0</v>
      </c>
      <c r="H18" s="2">
        <v>49</v>
      </c>
      <c r="I18" s="2">
        <v>5</v>
      </c>
      <c r="J18" s="2">
        <f t="shared" si="2"/>
        <v>1.0000000000000001E-5</v>
      </c>
      <c r="K18" s="10">
        <f t="shared" si="3"/>
        <v>489999999.99999994</v>
      </c>
      <c r="L18" s="5">
        <v>489999999.99999994</v>
      </c>
      <c r="M18" s="3">
        <f t="shared" si="4"/>
        <v>1</v>
      </c>
    </row>
    <row r="19" spans="1:13" ht="16">
      <c r="A19">
        <v>2</v>
      </c>
      <c r="B19" s="2">
        <v>18</v>
      </c>
      <c r="C19" t="s">
        <v>4</v>
      </c>
      <c r="D19" s="9">
        <f t="shared" si="0"/>
        <v>2</v>
      </c>
      <c r="E19" s="9" t="str">
        <f t="shared" si="1"/>
        <v>hipA_rpoZ</v>
      </c>
      <c r="F19" s="2">
        <v>2</v>
      </c>
      <c r="G19" s="2">
        <v>0</v>
      </c>
      <c r="H19" s="2">
        <v>50</v>
      </c>
      <c r="I19" s="2">
        <v>5</v>
      </c>
      <c r="J19" s="2">
        <f t="shared" si="2"/>
        <v>1.0000000000000001E-5</v>
      </c>
      <c r="K19" s="10">
        <f t="shared" si="3"/>
        <v>499999999.99999994</v>
      </c>
      <c r="L19" s="5">
        <v>499999999.99999994</v>
      </c>
      <c r="M19" s="3">
        <f t="shared" si="4"/>
        <v>1</v>
      </c>
    </row>
    <row r="20" spans="1:13" ht="16">
      <c r="A20">
        <v>2</v>
      </c>
      <c r="B20" s="2">
        <v>19</v>
      </c>
      <c r="C20" t="s">
        <v>4</v>
      </c>
      <c r="D20" s="9">
        <f t="shared" si="0"/>
        <v>3</v>
      </c>
      <c r="E20" s="9" t="str">
        <f t="shared" si="1"/>
        <v>hipA_rpoZ</v>
      </c>
      <c r="F20" s="2">
        <v>3</v>
      </c>
      <c r="G20" s="2">
        <v>0</v>
      </c>
      <c r="H20" s="2">
        <v>45</v>
      </c>
      <c r="I20" s="2">
        <v>5</v>
      </c>
      <c r="J20" s="2">
        <f t="shared" si="2"/>
        <v>1.0000000000000001E-5</v>
      </c>
      <c r="K20" s="10">
        <f t="shared" si="3"/>
        <v>449999999.99999994</v>
      </c>
      <c r="L20" s="5">
        <v>449999999.99999994</v>
      </c>
      <c r="M20" s="3">
        <f t="shared" si="4"/>
        <v>1</v>
      </c>
    </row>
    <row r="21" spans="1:13" ht="16">
      <c r="A21">
        <v>2</v>
      </c>
      <c r="B21" s="2">
        <v>20</v>
      </c>
      <c r="C21" t="s">
        <v>4</v>
      </c>
      <c r="D21" s="9">
        <f t="shared" si="0"/>
        <v>4</v>
      </c>
      <c r="E21" s="9" t="str">
        <f t="shared" si="1"/>
        <v>hipA_rpoZ</v>
      </c>
      <c r="F21" s="2">
        <v>4</v>
      </c>
      <c r="G21" s="2">
        <v>0</v>
      </c>
      <c r="H21" s="2">
        <v>57</v>
      </c>
      <c r="I21" s="2">
        <v>5</v>
      </c>
      <c r="J21" s="2">
        <f t="shared" si="2"/>
        <v>1.0000000000000001E-5</v>
      </c>
      <c r="K21" s="10">
        <f t="shared" si="3"/>
        <v>570000000</v>
      </c>
      <c r="L21" s="5">
        <v>570000000</v>
      </c>
      <c r="M21" s="3">
        <f t="shared" si="4"/>
        <v>1</v>
      </c>
    </row>
    <row r="22" spans="1:13" ht="16">
      <c r="A22">
        <v>2</v>
      </c>
      <c r="B22" s="2">
        <v>1</v>
      </c>
      <c r="C22" t="s">
        <v>0</v>
      </c>
      <c r="D22" s="9">
        <f t="shared" ref="D22:D61" si="5">F22</f>
        <v>1</v>
      </c>
      <c r="E22" s="9" t="str">
        <f t="shared" ref="E22:E61" si="6">C22</f>
        <v>wt</v>
      </c>
      <c r="F22" s="2">
        <v>1</v>
      </c>
      <c r="G22" s="2">
        <v>3</v>
      </c>
      <c r="H22" s="2">
        <v>72</v>
      </c>
      <c r="I22" s="2">
        <v>0</v>
      </c>
      <c r="J22" s="2">
        <f t="shared" si="2"/>
        <v>1</v>
      </c>
      <c r="K22" s="5">
        <v>72</v>
      </c>
      <c r="L22" s="5">
        <f>L2</f>
        <v>560000000</v>
      </c>
      <c r="M22" s="3">
        <f t="shared" si="4"/>
        <v>1.2857142857142858E-7</v>
      </c>
    </row>
    <row r="23" spans="1:13" ht="16">
      <c r="A23">
        <v>2</v>
      </c>
      <c r="B23" s="2">
        <v>2</v>
      </c>
      <c r="C23" t="s">
        <v>0</v>
      </c>
      <c r="D23" s="9">
        <f t="shared" si="5"/>
        <v>2</v>
      </c>
      <c r="E23" s="9" t="str">
        <f t="shared" si="6"/>
        <v>wt</v>
      </c>
      <c r="F23" s="2">
        <v>2</v>
      </c>
      <c r="G23" s="2">
        <v>3</v>
      </c>
      <c r="H23" s="2">
        <v>43</v>
      </c>
      <c r="I23" s="2">
        <v>0</v>
      </c>
      <c r="J23" s="2">
        <f t="shared" si="2"/>
        <v>1</v>
      </c>
      <c r="K23" s="5">
        <v>43</v>
      </c>
      <c r="L23" s="5">
        <f t="shared" ref="L23:L61" si="7">L3</f>
        <v>689999999.99999988</v>
      </c>
      <c r="M23" s="3">
        <f t="shared" si="4"/>
        <v>6.2318840579710162E-8</v>
      </c>
    </row>
    <row r="24" spans="1:13" ht="16">
      <c r="A24">
        <v>2</v>
      </c>
      <c r="B24" s="2">
        <v>3</v>
      </c>
      <c r="C24" t="s">
        <v>0</v>
      </c>
      <c r="D24" s="9">
        <f t="shared" si="5"/>
        <v>3</v>
      </c>
      <c r="E24" s="9" t="str">
        <f t="shared" si="6"/>
        <v>wt</v>
      </c>
      <c r="F24" s="2">
        <v>3</v>
      </c>
      <c r="G24" s="2">
        <v>3</v>
      </c>
      <c r="H24" s="2">
        <v>95</v>
      </c>
      <c r="I24" s="2">
        <v>0</v>
      </c>
      <c r="J24" s="2">
        <f t="shared" si="2"/>
        <v>1</v>
      </c>
      <c r="K24" s="5">
        <v>95</v>
      </c>
      <c r="L24" s="5">
        <f t="shared" si="7"/>
        <v>499999999.99999994</v>
      </c>
      <c r="M24" s="3">
        <f t="shared" si="4"/>
        <v>1.9000000000000003E-7</v>
      </c>
    </row>
    <row r="25" spans="1:13" ht="16">
      <c r="A25">
        <v>2</v>
      </c>
      <c r="B25" s="2">
        <v>4</v>
      </c>
      <c r="C25" t="s">
        <v>0</v>
      </c>
      <c r="D25" s="9">
        <f t="shared" si="5"/>
        <v>4</v>
      </c>
      <c r="E25" s="9" t="str">
        <f t="shared" si="6"/>
        <v>wt</v>
      </c>
      <c r="F25" s="2">
        <v>4</v>
      </c>
      <c r="G25" s="2">
        <v>3</v>
      </c>
      <c r="H25" s="2">
        <v>157</v>
      </c>
      <c r="I25" s="2">
        <v>0</v>
      </c>
      <c r="J25" s="2">
        <f t="shared" si="2"/>
        <v>1</v>
      </c>
      <c r="K25" s="5">
        <v>157</v>
      </c>
      <c r="L25" s="5">
        <f t="shared" si="7"/>
        <v>550000000</v>
      </c>
      <c r="M25" s="3">
        <f t="shared" si="4"/>
        <v>2.8545454545454544E-7</v>
      </c>
    </row>
    <row r="26" spans="1:13" ht="16">
      <c r="A26">
        <v>2</v>
      </c>
      <c r="B26" s="2">
        <v>5</v>
      </c>
      <c r="C26" t="s">
        <v>1</v>
      </c>
      <c r="D26" s="9">
        <f t="shared" si="5"/>
        <v>1</v>
      </c>
      <c r="E26" s="9" t="str">
        <f t="shared" si="6"/>
        <v>hipA</v>
      </c>
      <c r="F26" s="2">
        <v>1</v>
      </c>
      <c r="G26" s="2">
        <v>3</v>
      </c>
      <c r="H26" s="2">
        <v>59</v>
      </c>
      <c r="I26" s="2">
        <v>1</v>
      </c>
      <c r="J26" s="2">
        <f t="shared" si="2"/>
        <v>0.1</v>
      </c>
      <c r="K26" s="5">
        <v>590</v>
      </c>
      <c r="L26" s="5">
        <f t="shared" si="7"/>
        <v>479999999.99999994</v>
      </c>
      <c r="M26" s="3">
        <f t="shared" si="4"/>
        <v>1.2291666666666668E-6</v>
      </c>
    </row>
    <row r="27" spans="1:13" ht="16">
      <c r="A27">
        <v>2</v>
      </c>
      <c r="B27" s="2">
        <v>6</v>
      </c>
      <c r="C27" t="s">
        <v>1</v>
      </c>
      <c r="D27" s="9">
        <f t="shared" si="5"/>
        <v>2</v>
      </c>
      <c r="E27" s="9" t="str">
        <f t="shared" si="6"/>
        <v>hipA</v>
      </c>
      <c r="F27" s="2">
        <v>2</v>
      </c>
      <c r="G27" s="2">
        <v>3</v>
      </c>
      <c r="H27" s="2">
        <v>151</v>
      </c>
      <c r="I27" s="2">
        <v>1</v>
      </c>
      <c r="J27" s="2">
        <f t="shared" si="2"/>
        <v>0.1</v>
      </c>
      <c r="K27" s="5">
        <v>1510</v>
      </c>
      <c r="L27" s="5">
        <f t="shared" si="7"/>
        <v>459999999.99999994</v>
      </c>
      <c r="M27" s="3">
        <f t="shared" si="4"/>
        <v>3.2826086956521743E-6</v>
      </c>
    </row>
    <row r="28" spans="1:13" ht="16">
      <c r="A28">
        <v>2</v>
      </c>
      <c r="B28" s="2">
        <v>7</v>
      </c>
      <c r="C28" t="s">
        <v>1</v>
      </c>
      <c r="D28" s="9">
        <f t="shared" si="5"/>
        <v>3</v>
      </c>
      <c r="E28" s="9" t="str">
        <f t="shared" si="6"/>
        <v>hipA</v>
      </c>
      <c r="F28" s="2">
        <v>3</v>
      </c>
      <c r="G28" s="2">
        <v>3</v>
      </c>
      <c r="H28" s="2">
        <v>65</v>
      </c>
      <c r="I28" s="2">
        <v>1</v>
      </c>
      <c r="J28" s="2">
        <f t="shared" si="2"/>
        <v>0.1</v>
      </c>
      <c r="K28" s="5">
        <v>650</v>
      </c>
      <c r="L28" s="5">
        <f t="shared" si="7"/>
        <v>469999999.99999994</v>
      </c>
      <c r="M28" s="3">
        <f t="shared" si="4"/>
        <v>1.3829787234042555E-6</v>
      </c>
    </row>
    <row r="29" spans="1:13" ht="16">
      <c r="A29">
        <v>2</v>
      </c>
      <c r="B29" s="2">
        <v>8</v>
      </c>
      <c r="C29" t="s">
        <v>1</v>
      </c>
      <c r="D29" s="9">
        <f t="shared" si="5"/>
        <v>4</v>
      </c>
      <c r="E29" s="9" t="str">
        <f t="shared" si="6"/>
        <v>hipA</v>
      </c>
      <c r="F29" s="2">
        <v>4</v>
      </c>
      <c r="G29" s="2">
        <v>3</v>
      </c>
      <c r="H29" s="2">
        <v>62</v>
      </c>
      <c r="I29" s="2">
        <v>1</v>
      </c>
      <c r="J29" s="2">
        <f t="shared" si="2"/>
        <v>0.1</v>
      </c>
      <c r="K29" s="5">
        <v>620</v>
      </c>
      <c r="L29" s="5">
        <f t="shared" si="7"/>
        <v>550000000</v>
      </c>
      <c r="M29" s="3">
        <f t="shared" si="4"/>
        <v>1.1272727272727273E-6</v>
      </c>
    </row>
    <row r="30" spans="1:13" ht="16">
      <c r="A30">
        <v>2</v>
      </c>
      <c r="B30" s="2">
        <v>9</v>
      </c>
      <c r="C30" t="s">
        <v>2</v>
      </c>
      <c r="D30" s="9">
        <f t="shared" si="5"/>
        <v>1</v>
      </c>
      <c r="E30" s="9" t="str">
        <f t="shared" si="6"/>
        <v>hipA_selB</v>
      </c>
      <c r="F30" s="2">
        <v>1</v>
      </c>
      <c r="G30" s="2">
        <v>3</v>
      </c>
      <c r="H30" s="2">
        <v>33</v>
      </c>
      <c r="I30" s="2">
        <v>2</v>
      </c>
      <c r="J30" s="2">
        <f t="shared" si="2"/>
        <v>0.01</v>
      </c>
      <c r="K30" s="5">
        <v>3300</v>
      </c>
      <c r="L30" s="5">
        <f t="shared" si="7"/>
        <v>560000000</v>
      </c>
      <c r="M30" s="3">
        <f t="shared" si="4"/>
        <v>5.8928571428571428E-6</v>
      </c>
    </row>
    <row r="31" spans="1:13" ht="16">
      <c r="A31">
        <v>2</v>
      </c>
      <c r="B31" s="2">
        <v>10</v>
      </c>
      <c r="C31" t="s">
        <v>2</v>
      </c>
      <c r="D31" s="9">
        <f t="shared" si="5"/>
        <v>2</v>
      </c>
      <c r="E31" s="9" t="str">
        <f t="shared" si="6"/>
        <v>hipA_selB</v>
      </c>
      <c r="F31" s="2">
        <v>2</v>
      </c>
      <c r="G31" s="2">
        <v>3</v>
      </c>
      <c r="H31" s="2">
        <v>64</v>
      </c>
      <c r="I31" s="2">
        <v>1</v>
      </c>
      <c r="J31" s="2">
        <f t="shared" si="2"/>
        <v>0.1</v>
      </c>
      <c r="K31" s="5">
        <v>640</v>
      </c>
      <c r="L31" s="5">
        <f t="shared" si="7"/>
        <v>389999999.99999994</v>
      </c>
      <c r="M31" s="3">
        <f t="shared" si="4"/>
        <v>1.6410256410256414E-6</v>
      </c>
    </row>
    <row r="32" spans="1:13" ht="16">
      <c r="A32">
        <v>2</v>
      </c>
      <c r="B32" s="2">
        <v>11</v>
      </c>
      <c r="C32" t="s">
        <v>2</v>
      </c>
      <c r="D32" s="9">
        <f t="shared" si="5"/>
        <v>3</v>
      </c>
      <c r="E32" s="9" t="str">
        <f t="shared" si="6"/>
        <v>hipA_selB</v>
      </c>
      <c r="F32" s="2">
        <v>3</v>
      </c>
      <c r="G32" s="2">
        <v>3</v>
      </c>
      <c r="H32" s="2">
        <v>53</v>
      </c>
      <c r="I32" s="4">
        <v>1</v>
      </c>
      <c r="J32" s="2">
        <f t="shared" si="2"/>
        <v>0.1</v>
      </c>
      <c r="K32" s="5">
        <v>530</v>
      </c>
      <c r="L32" s="5">
        <f t="shared" si="7"/>
        <v>389999999.99999994</v>
      </c>
      <c r="M32" s="3">
        <f t="shared" si="4"/>
        <v>1.3589743589743591E-6</v>
      </c>
    </row>
    <row r="33" spans="1:13" ht="16">
      <c r="A33">
        <v>2</v>
      </c>
      <c r="B33" s="2">
        <v>12</v>
      </c>
      <c r="C33" t="s">
        <v>2</v>
      </c>
      <c r="D33" s="9">
        <f t="shared" si="5"/>
        <v>4</v>
      </c>
      <c r="E33" s="9" t="str">
        <f t="shared" si="6"/>
        <v>hipA_selB</v>
      </c>
      <c r="F33" s="2">
        <v>4</v>
      </c>
      <c r="G33" s="2">
        <v>3</v>
      </c>
      <c r="H33" s="2">
        <v>50</v>
      </c>
      <c r="I33" s="4">
        <v>1</v>
      </c>
      <c r="J33" s="2">
        <f t="shared" si="2"/>
        <v>0.1</v>
      </c>
      <c r="K33" s="5">
        <v>500</v>
      </c>
      <c r="L33" s="5">
        <f t="shared" si="7"/>
        <v>340000000</v>
      </c>
      <c r="M33" s="3">
        <f t="shared" si="4"/>
        <v>1.4705882352941177E-6</v>
      </c>
    </row>
    <row r="34" spans="1:13" ht="16">
      <c r="A34">
        <v>2</v>
      </c>
      <c r="B34" s="2">
        <v>13</v>
      </c>
      <c r="C34" t="s">
        <v>3</v>
      </c>
      <c r="D34" s="9">
        <f t="shared" si="5"/>
        <v>1</v>
      </c>
      <c r="E34" s="9" t="str">
        <f t="shared" si="6"/>
        <v>hipA_ftsH</v>
      </c>
      <c r="F34" s="2">
        <v>1</v>
      </c>
      <c r="G34" s="2">
        <v>3</v>
      </c>
      <c r="H34" s="2">
        <v>112</v>
      </c>
      <c r="I34" s="4">
        <v>1</v>
      </c>
      <c r="J34" s="2">
        <f t="shared" si="2"/>
        <v>0.1</v>
      </c>
      <c r="K34" s="5">
        <v>1120</v>
      </c>
      <c r="L34" s="5">
        <f t="shared" si="7"/>
        <v>219999999.99999997</v>
      </c>
      <c r="M34" s="3">
        <f t="shared" si="4"/>
        <v>5.0909090909090912E-6</v>
      </c>
    </row>
    <row r="35" spans="1:13" ht="16">
      <c r="A35">
        <v>2</v>
      </c>
      <c r="B35" s="2">
        <v>14</v>
      </c>
      <c r="C35" t="s">
        <v>3</v>
      </c>
      <c r="D35" s="9">
        <f t="shared" si="5"/>
        <v>2</v>
      </c>
      <c r="E35" s="9" t="str">
        <f t="shared" si="6"/>
        <v>hipA_ftsH</v>
      </c>
      <c r="F35" s="2">
        <v>2</v>
      </c>
      <c r="G35" s="2">
        <v>3</v>
      </c>
      <c r="H35" s="2">
        <v>93</v>
      </c>
      <c r="I35" s="2">
        <v>1</v>
      </c>
      <c r="J35" s="2">
        <f t="shared" si="2"/>
        <v>0.1</v>
      </c>
      <c r="K35" s="5">
        <v>930</v>
      </c>
      <c r="L35" s="5">
        <f t="shared" si="7"/>
        <v>300000000</v>
      </c>
      <c r="M35" s="3">
        <f t="shared" si="4"/>
        <v>3.1E-6</v>
      </c>
    </row>
    <row r="36" spans="1:13" ht="16">
      <c r="A36">
        <v>2</v>
      </c>
      <c r="B36" s="2">
        <v>15</v>
      </c>
      <c r="C36" t="s">
        <v>3</v>
      </c>
      <c r="D36" s="9">
        <f t="shared" si="5"/>
        <v>3</v>
      </c>
      <c r="E36" s="9" t="str">
        <f t="shared" si="6"/>
        <v>hipA_ftsH</v>
      </c>
      <c r="F36" s="2">
        <v>3</v>
      </c>
      <c r="G36" s="2">
        <v>3</v>
      </c>
      <c r="H36" s="2">
        <v>125</v>
      </c>
      <c r="I36" s="2">
        <v>1</v>
      </c>
      <c r="J36" s="2">
        <f t="shared" si="2"/>
        <v>0.1</v>
      </c>
      <c r="K36" s="5">
        <v>1250</v>
      </c>
      <c r="L36" s="5">
        <f t="shared" si="7"/>
        <v>239999999.99999997</v>
      </c>
      <c r="M36" s="3">
        <f t="shared" si="4"/>
        <v>5.208333333333334E-6</v>
      </c>
    </row>
    <row r="37" spans="1:13" ht="16">
      <c r="A37">
        <v>2</v>
      </c>
      <c r="B37" s="2">
        <v>16</v>
      </c>
      <c r="C37" t="s">
        <v>3</v>
      </c>
      <c r="D37" s="9">
        <f t="shared" si="5"/>
        <v>4</v>
      </c>
      <c r="E37" s="9" t="str">
        <f t="shared" si="6"/>
        <v>hipA_ftsH</v>
      </c>
      <c r="F37" s="2">
        <v>4</v>
      </c>
      <c r="G37" s="2">
        <v>3</v>
      </c>
      <c r="H37" s="2">
        <v>95</v>
      </c>
      <c r="I37" s="2">
        <v>1</v>
      </c>
      <c r="J37" s="2">
        <f t="shared" si="2"/>
        <v>0.1</v>
      </c>
      <c r="K37" s="5">
        <v>950</v>
      </c>
      <c r="L37" s="5">
        <f t="shared" si="7"/>
        <v>270000000</v>
      </c>
      <c r="M37" s="3">
        <f t="shared" si="4"/>
        <v>3.5185185185185183E-6</v>
      </c>
    </row>
    <row r="38" spans="1:13" ht="16">
      <c r="A38">
        <v>2</v>
      </c>
      <c r="B38" s="2">
        <v>17</v>
      </c>
      <c r="C38" t="s">
        <v>4</v>
      </c>
      <c r="D38" s="9">
        <f t="shared" si="5"/>
        <v>1</v>
      </c>
      <c r="E38" s="9" t="str">
        <f t="shared" si="6"/>
        <v>hipA_rpoZ</v>
      </c>
      <c r="F38" s="2">
        <v>1</v>
      </c>
      <c r="G38" s="2">
        <v>3</v>
      </c>
      <c r="H38" s="2">
        <v>35</v>
      </c>
      <c r="I38" s="2">
        <v>2</v>
      </c>
      <c r="J38" s="2">
        <f t="shared" si="2"/>
        <v>0.01</v>
      </c>
      <c r="K38" s="5">
        <v>3500</v>
      </c>
      <c r="L38" s="5">
        <f t="shared" si="7"/>
        <v>489999999.99999994</v>
      </c>
      <c r="M38" s="3">
        <f t="shared" si="4"/>
        <v>7.1428571428571436E-6</v>
      </c>
    </row>
    <row r="39" spans="1:13" ht="16">
      <c r="A39">
        <v>2</v>
      </c>
      <c r="B39" s="2">
        <v>18</v>
      </c>
      <c r="C39" t="s">
        <v>4</v>
      </c>
      <c r="D39" s="9">
        <f t="shared" si="5"/>
        <v>2</v>
      </c>
      <c r="E39" s="9" t="str">
        <f t="shared" si="6"/>
        <v>hipA_rpoZ</v>
      </c>
      <c r="F39" s="2">
        <v>2</v>
      </c>
      <c r="G39" s="2">
        <v>3</v>
      </c>
      <c r="H39" s="2">
        <v>33</v>
      </c>
      <c r="I39" s="2">
        <v>2</v>
      </c>
      <c r="J39" s="2">
        <f t="shared" si="2"/>
        <v>0.01</v>
      </c>
      <c r="K39" s="5">
        <v>3300</v>
      </c>
      <c r="L39" s="5">
        <f t="shared" si="7"/>
        <v>499999999.99999994</v>
      </c>
      <c r="M39" s="3">
        <f t="shared" si="4"/>
        <v>6.6000000000000012E-6</v>
      </c>
    </row>
    <row r="40" spans="1:13" ht="16">
      <c r="A40">
        <v>2</v>
      </c>
      <c r="B40" s="2">
        <v>19</v>
      </c>
      <c r="C40" t="s">
        <v>4</v>
      </c>
      <c r="D40" s="9">
        <f t="shared" si="5"/>
        <v>3</v>
      </c>
      <c r="E40" s="9" t="str">
        <f t="shared" si="6"/>
        <v>hipA_rpoZ</v>
      </c>
      <c r="F40" s="2">
        <v>3</v>
      </c>
      <c r="G40" s="2">
        <v>3</v>
      </c>
      <c r="H40" s="2">
        <v>45</v>
      </c>
      <c r="I40" s="2">
        <v>2</v>
      </c>
      <c r="J40" s="2">
        <f t="shared" si="2"/>
        <v>0.01</v>
      </c>
      <c r="K40" s="5">
        <v>4500</v>
      </c>
      <c r="L40" s="5">
        <f t="shared" si="7"/>
        <v>449999999.99999994</v>
      </c>
      <c r="M40" s="3">
        <f t="shared" si="4"/>
        <v>1.0000000000000001E-5</v>
      </c>
    </row>
    <row r="41" spans="1:13" ht="16">
      <c r="A41">
        <v>2</v>
      </c>
      <c r="B41" s="2">
        <v>20</v>
      </c>
      <c r="C41" t="s">
        <v>4</v>
      </c>
      <c r="D41" s="9">
        <f t="shared" si="5"/>
        <v>4</v>
      </c>
      <c r="E41" s="9" t="str">
        <f t="shared" si="6"/>
        <v>hipA_rpoZ</v>
      </c>
      <c r="F41" s="2">
        <v>4</v>
      </c>
      <c r="G41" s="2">
        <v>3</v>
      </c>
      <c r="H41" s="2">
        <v>51</v>
      </c>
      <c r="I41" s="2">
        <v>2</v>
      </c>
      <c r="J41" s="2">
        <f t="shared" si="2"/>
        <v>0.01</v>
      </c>
      <c r="K41" s="5">
        <v>5100</v>
      </c>
      <c r="L41" s="5">
        <f t="shared" si="7"/>
        <v>570000000</v>
      </c>
      <c r="M41" s="3">
        <f t="shared" si="4"/>
        <v>8.9473684210526319E-6</v>
      </c>
    </row>
    <row r="42" spans="1:13" ht="16">
      <c r="A42">
        <v>2</v>
      </c>
      <c r="B42" s="2">
        <v>1</v>
      </c>
      <c r="C42" t="s">
        <v>0</v>
      </c>
      <c r="D42" s="9">
        <f t="shared" si="5"/>
        <v>1</v>
      </c>
      <c r="E42" s="9" t="str">
        <f t="shared" si="6"/>
        <v>wt</v>
      </c>
      <c r="F42" s="2">
        <v>1</v>
      </c>
      <c r="G42" s="2">
        <v>7</v>
      </c>
      <c r="H42" s="1">
        <v>0</v>
      </c>
      <c r="I42" s="1">
        <v>-1</v>
      </c>
      <c r="J42" s="2">
        <f t="shared" si="2"/>
        <v>10</v>
      </c>
      <c r="K42" s="5">
        <v>0</v>
      </c>
      <c r="L42" s="5">
        <f t="shared" si="7"/>
        <v>560000000</v>
      </c>
      <c r="M42" s="3">
        <f t="shared" si="4"/>
        <v>0</v>
      </c>
    </row>
    <row r="43" spans="1:13" ht="16">
      <c r="A43">
        <v>2</v>
      </c>
      <c r="B43" s="2">
        <v>2</v>
      </c>
      <c r="C43" t="s">
        <v>0</v>
      </c>
      <c r="D43" s="9">
        <f t="shared" si="5"/>
        <v>2</v>
      </c>
      <c r="E43" s="9" t="str">
        <f t="shared" si="6"/>
        <v>wt</v>
      </c>
      <c r="F43" s="2">
        <v>2</v>
      </c>
      <c r="G43" s="2">
        <v>7</v>
      </c>
      <c r="H43" s="2">
        <v>8</v>
      </c>
      <c r="I43" s="1">
        <v>-1</v>
      </c>
      <c r="J43" s="2">
        <f t="shared" si="2"/>
        <v>10</v>
      </c>
      <c r="K43" s="5">
        <v>0.8</v>
      </c>
      <c r="L43" s="5">
        <f t="shared" si="7"/>
        <v>689999999.99999988</v>
      </c>
      <c r="M43" s="3">
        <f t="shared" si="4"/>
        <v>1.1594202898550727E-9</v>
      </c>
    </row>
    <row r="44" spans="1:13" ht="16">
      <c r="A44">
        <v>2</v>
      </c>
      <c r="B44" s="2">
        <v>3</v>
      </c>
      <c r="C44" t="s">
        <v>0</v>
      </c>
      <c r="D44" s="9">
        <f t="shared" si="5"/>
        <v>3</v>
      </c>
      <c r="E44" s="9" t="str">
        <f t="shared" si="6"/>
        <v>wt</v>
      </c>
      <c r="F44" s="2">
        <v>3</v>
      </c>
      <c r="G44" s="2">
        <v>7</v>
      </c>
      <c r="H44" s="2">
        <v>3</v>
      </c>
      <c r="I44" s="1">
        <v>-1</v>
      </c>
      <c r="J44" s="2">
        <f t="shared" si="2"/>
        <v>10</v>
      </c>
      <c r="K44" s="5">
        <v>0.3</v>
      </c>
      <c r="L44" s="5">
        <f t="shared" si="7"/>
        <v>499999999.99999994</v>
      </c>
      <c r="M44" s="3">
        <f t="shared" si="4"/>
        <v>6.000000000000001E-10</v>
      </c>
    </row>
    <row r="45" spans="1:13" ht="16">
      <c r="A45">
        <v>2</v>
      </c>
      <c r="B45" s="2">
        <v>4</v>
      </c>
      <c r="C45" t="s">
        <v>0</v>
      </c>
      <c r="D45" s="9">
        <f t="shared" si="5"/>
        <v>4</v>
      </c>
      <c r="E45" s="9" t="str">
        <f t="shared" si="6"/>
        <v>wt</v>
      </c>
      <c r="F45" s="2">
        <v>4</v>
      </c>
      <c r="G45" s="2">
        <v>7</v>
      </c>
      <c r="H45" s="2">
        <v>36</v>
      </c>
      <c r="I45" s="1">
        <v>-1</v>
      </c>
      <c r="J45" s="2">
        <f t="shared" si="2"/>
        <v>10</v>
      </c>
      <c r="K45" s="5">
        <v>3.6</v>
      </c>
      <c r="L45" s="5">
        <f t="shared" si="7"/>
        <v>550000000</v>
      </c>
      <c r="M45" s="3">
        <f t="shared" si="4"/>
        <v>6.5454545454545459E-9</v>
      </c>
    </row>
    <row r="46" spans="1:13" ht="16">
      <c r="A46">
        <v>2</v>
      </c>
      <c r="B46" s="2">
        <v>5</v>
      </c>
      <c r="C46" t="s">
        <v>1</v>
      </c>
      <c r="D46" s="9">
        <f t="shared" si="5"/>
        <v>1</v>
      </c>
      <c r="E46" s="9" t="str">
        <f t="shared" si="6"/>
        <v>hipA</v>
      </c>
      <c r="F46" s="2">
        <v>1</v>
      </c>
      <c r="G46" s="2">
        <v>7</v>
      </c>
      <c r="H46" s="2">
        <v>44</v>
      </c>
      <c r="I46" s="2">
        <v>0</v>
      </c>
      <c r="J46" s="2">
        <f t="shared" si="2"/>
        <v>1</v>
      </c>
      <c r="K46" s="5">
        <v>44</v>
      </c>
      <c r="L46" s="5">
        <f t="shared" si="7"/>
        <v>479999999.99999994</v>
      </c>
      <c r="M46" s="3">
        <f t="shared" si="4"/>
        <v>9.166666666666668E-8</v>
      </c>
    </row>
    <row r="47" spans="1:13" ht="16">
      <c r="A47">
        <v>2</v>
      </c>
      <c r="B47" s="2">
        <v>6</v>
      </c>
      <c r="C47" t="s">
        <v>1</v>
      </c>
      <c r="D47" s="9">
        <f t="shared" si="5"/>
        <v>2</v>
      </c>
      <c r="E47" s="9" t="str">
        <f t="shared" si="6"/>
        <v>hipA</v>
      </c>
      <c r="F47" s="2">
        <v>2</v>
      </c>
      <c r="G47" s="2">
        <v>7</v>
      </c>
      <c r="H47" s="2">
        <v>64</v>
      </c>
      <c r="I47" s="2">
        <v>0</v>
      </c>
      <c r="J47" s="2">
        <f t="shared" ref="J47:J61" si="8">10^-I47</f>
        <v>1</v>
      </c>
      <c r="K47" s="5">
        <v>64</v>
      </c>
      <c r="L47" s="5">
        <f t="shared" si="7"/>
        <v>459999999.99999994</v>
      </c>
      <c r="M47" s="3">
        <f t="shared" ref="M47:M60" si="9">K47/L47</f>
        <v>1.3913043478260872E-7</v>
      </c>
    </row>
    <row r="48" spans="1:13" ht="16">
      <c r="A48">
        <v>2</v>
      </c>
      <c r="B48" s="2">
        <v>7</v>
      </c>
      <c r="C48" t="s">
        <v>1</v>
      </c>
      <c r="D48" s="9">
        <f t="shared" si="5"/>
        <v>3</v>
      </c>
      <c r="E48" s="9" t="str">
        <f t="shared" si="6"/>
        <v>hipA</v>
      </c>
      <c r="F48" s="2">
        <v>3</v>
      </c>
      <c r="G48" s="2">
        <v>7</v>
      </c>
      <c r="H48" s="2">
        <v>46</v>
      </c>
      <c r="I48" s="2">
        <v>0</v>
      </c>
      <c r="J48" s="2">
        <f t="shared" si="8"/>
        <v>1</v>
      </c>
      <c r="K48" s="5">
        <v>46</v>
      </c>
      <c r="L48" s="5">
        <f t="shared" si="7"/>
        <v>469999999.99999994</v>
      </c>
      <c r="M48" s="3">
        <f t="shared" si="9"/>
        <v>9.7872340425531929E-8</v>
      </c>
    </row>
    <row r="49" spans="1:13" ht="16">
      <c r="A49">
        <v>2</v>
      </c>
      <c r="B49" s="2">
        <v>8</v>
      </c>
      <c r="C49" t="s">
        <v>1</v>
      </c>
      <c r="D49" s="9">
        <f t="shared" si="5"/>
        <v>4</v>
      </c>
      <c r="E49" s="9" t="str">
        <f t="shared" si="6"/>
        <v>hipA</v>
      </c>
      <c r="F49" s="2">
        <v>4</v>
      </c>
      <c r="G49" s="2">
        <v>7</v>
      </c>
      <c r="H49" s="2">
        <v>66</v>
      </c>
      <c r="I49" s="2">
        <v>0</v>
      </c>
      <c r="J49" s="2">
        <f t="shared" si="8"/>
        <v>1</v>
      </c>
      <c r="K49" s="5">
        <v>66</v>
      </c>
      <c r="L49" s="5">
        <f t="shared" si="7"/>
        <v>550000000</v>
      </c>
      <c r="M49" s="3">
        <f t="shared" si="9"/>
        <v>1.1999999999999999E-7</v>
      </c>
    </row>
    <row r="50" spans="1:13" ht="16">
      <c r="A50">
        <v>2</v>
      </c>
      <c r="B50" s="2">
        <v>9</v>
      </c>
      <c r="C50" t="s">
        <v>2</v>
      </c>
      <c r="D50" s="9">
        <f t="shared" si="5"/>
        <v>1</v>
      </c>
      <c r="E50" s="9" t="str">
        <f t="shared" si="6"/>
        <v>hipA_selB</v>
      </c>
      <c r="F50" s="2">
        <v>1</v>
      </c>
      <c r="G50" s="2">
        <v>7</v>
      </c>
      <c r="H50" s="2">
        <v>19</v>
      </c>
      <c r="I50" s="2">
        <v>0</v>
      </c>
      <c r="J50" s="2">
        <f t="shared" si="8"/>
        <v>1</v>
      </c>
      <c r="K50" s="6">
        <v>19</v>
      </c>
      <c r="L50" s="5">
        <f t="shared" si="7"/>
        <v>560000000</v>
      </c>
      <c r="M50" s="3">
        <f t="shared" si="9"/>
        <v>3.3928571428571432E-8</v>
      </c>
    </row>
    <row r="51" spans="1:13" ht="16">
      <c r="A51">
        <v>2</v>
      </c>
      <c r="B51" s="2">
        <v>10</v>
      </c>
      <c r="C51" t="s">
        <v>2</v>
      </c>
      <c r="D51" s="9">
        <f t="shared" si="5"/>
        <v>2</v>
      </c>
      <c r="E51" s="9" t="str">
        <f t="shared" si="6"/>
        <v>hipA_selB</v>
      </c>
      <c r="F51" s="2">
        <v>2</v>
      </c>
      <c r="G51" s="2">
        <v>7</v>
      </c>
      <c r="H51" s="2">
        <v>36</v>
      </c>
      <c r="I51" s="2">
        <v>0</v>
      </c>
      <c r="J51" s="2">
        <f t="shared" si="8"/>
        <v>1</v>
      </c>
      <c r="K51" s="6">
        <v>36</v>
      </c>
      <c r="L51" s="5">
        <f t="shared" si="7"/>
        <v>389999999.99999994</v>
      </c>
      <c r="M51" s="3">
        <f t="shared" si="9"/>
        <v>9.2307692307692318E-8</v>
      </c>
    </row>
    <row r="52" spans="1:13" ht="16">
      <c r="A52">
        <v>2</v>
      </c>
      <c r="B52" s="2">
        <v>11</v>
      </c>
      <c r="C52" t="s">
        <v>2</v>
      </c>
      <c r="D52" s="9">
        <f t="shared" si="5"/>
        <v>3</v>
      </c>
      <c r="E52" s="9" t="str">
        <f t="shared" si="6"/>
        <v>hipA_selB</v>
      </c>
      <c r="F52" s="2">
        <v>3</v>
      </c>
      <c r="G52" s="2">
        <v>7</v>
      </c>
      <c r="H52" s="2">
        <v>60</v>
      </c>
      <c r="I52" s="2">
        <v>-1</v>
      </c>
      <c r="J52" s="2">
        <f t="shared" si="8"/>
        <v>10</v>
      </c>
      <c r="K52" s="5">
        <v>6</v>
      </c>
      <c r="L52" s="5">
        <f t="shared" si="7"/>
        <v>389999999.99999994</v>
      </c>
      <c r="M52" s="3">
        <f t="shared" si="9"/>
        <v>1.5384615384615389E-8</v>
      </c>
    </row>
    <row r="53" spans="1:13" ht="16">
      <c r="A53">
        <v>2</v>
      </c>
      <c r="B53" s="2">
        <v>12</v>
      </c>
      <c r="C53" t="s">
        <v>2</v>
      </c>
      <c r="D53" s="9">
        <f t="shared" si="5"/>
        <v>4</v>
      </c>
      <c r="E53" s="9" t="str">
        <f t="shared" si="6"/>
        <v>hipA_selB</v>
      </c>
      <c r="F53" s="2">
        <v>4</v>
      </c>
      <c r="G53" s="2">
        <v>7</v>
      </c>
      <c r="H53" s="2">
        <v>32</v>
      </c>
      <c r="I53" s="2">
        <v>0</v>
      </c>
      <c r="J53" s="2">
        <f t="shared" si="8"/>
        <v>1</v>
      </c>
      <c r="K53" s="6">
        <v>32</v>
      </c>
      <c r="L53" s="5">
        <f t="shared" si="7"/>
        <v>340000000</v>
      </c>
      <c r="M53" s="3">
        <f t="shared" si="9"/>
        <v>9.4117647058823526E-8</v>
      </c>
    </row>
    <row r="54" spans="1:13" ht="16">
      <c r="A54">
        <v>2</v>
      </c>
      <c r="B54" s="2">
        <v>13</v>
      </c>
      <c r="C54" t="s">
        <v>3</v>
      </c>
      <c r="D54" s="9">
        <f t="shared" si="5"/>
        <v>1</v>
      </c>
      <c r="E54" s="9" t="str">
        <f t="shared" si="6"/>
        <v>hipA_ftsH</v>
      </c>
      <c r="F54" s="2">
        <v>1</v>
      </c>
      <c r="G54" s="2">
        <v>7</v>
      </c>
      <c r="H54" s="2">
        <v>67</v>
      </c>
      <c r="I54" s="2">
        <v>0</v>
      </c>
      <c r="J54" s="2">
        <f t="shared" si="8"/>
        <v>1</v>
      </c>
      <c r="K54" s="6">
        <v>67</v>
      </c>
      <c r="L54" s="5">
        <f t="shared" si="7"/>
        <v>219999999.99999997</v>
      </c>
      <c r="M54" s="3">
        <f t="shared" si="9"/>
        <v>3.0454545454545458E-7</v>
      </c>
    </row>
    <row r="55" spans="1:13" ht="16">
      <c r="A55">
        <v>2</v>
      </c>
      <c r="B55" s="2">
        <v>14</v>
      </c>
      <c r="C55" t="s">
        <v>3</v>
      </c>
      <c r="D55" s="9">
        <f t="shared" si="5"/>
        <v>2</v>
      </c>
      <c r="E55" s="9" t="str">
        <f t="shared" si="6"/>
        <v>hipA_ftsH</v>
      </c>
      <c r="F55" s="2">
        <v>2</v>
      </c>
      <c r="G55" s="2">
        <v>7</v>
      </c>
      <c r="H55" s="2">
        <v>44</v>
      </c>
      <c r="I55" s="2">
        <v>1</v>
      </c>
      <c r="J55" s="2">
        <f t="shared" si="8"/>
        <v>0.1</v>
      </c>
      <c r="K55" s="5">
        <v>440</v>
      </c>
      <c r="L55" s="5">
        <f t="shared" si="7"/>
        <v>300000000</v>
      </c>
      <c r="M55" s="3">
        <f t="shared" si="9"/>
        <v>1.4666666666666667E-6</v>
      </c>
    </row>
    <row r="56" spans="1:13" ht="16">
      <c r="A56">
        <v>2</v>
      </c>
      <c r="B56" s="2">
        <v>15</v>
      </c>
      <c r="C56" t="s">
        <v>3</v>
      </c>
      <c r="D56" s="9">
        <f t="shared" si="5"/>
        <v>3</v>
      </c>
      <c r="E56" s="9" t="str">
        <f t="shared" si="6"/>
        <v>hipA_ftsH</v>
      </c>
      <c r="F56" s="2">
        <v>3</v>
      </c>
      <c r="G56" s="2">
        <v>7</v>
      </c>
      <c r="H56" s="2">
        <v>89</v>
      </c>
      <c r="I56" s="2">
        <v>0</v>
      </c>
      <c r="J56" s="2">
        <f t="shared" si="8"/>
        <v>1</v>
      </c>
      <c r="K56" s="5">
        <v>89</v>
      </c>
      <c r="L56" s="5">
        <f t="shared" si="7"/>
        <v>239999999.99999997</v>
      </c>
      <c r="M56" s="3">
        <f t="shared" si="9"/>
        <v>3.7083333333333337E-7</v>
      </c>
    </row>
    <row r="57" spans="1:13" ht="16">
      <c r="A57">
        <v>2</v>
      </c>
      <c r="B57" s="2">
        <v>16</v>
      </c>
      <c r="C57" t="s">
        <v>3</v>
      </c>
      <c r="D57" s="9">
        <f t="shared" si="5"/>
        <v>4</v>
      </c>
      <c r="E57" s="9" t="str">
        <f t="shared" si="6"/>
        <v>hipA_ftsH</v>
      </c>
      <c r="F57" s="2">
        <v>4</v>
      </c>
      <c r="G57" s="2">
        <v>7</v>
      </c>
      <c r="H57" s="2">
        <v>71</v>
      </c>
      <c r="I57" s="5">
        <v>0</v>
      </c>
      <c r="J57" s="2">
        <f t="shared" si="8"/>
        <v>1</v>
      </c>
      <c r="K57" s="6">
        <v>71</v>
      </c>
      <c r="L57" s="5">
        <f t="shared" si="7"/>
        <v>270000000</v>
      </c>
      <c r="M57" s="3">
        <f t="shared" si="9"/>
        <v>2.6296296296296298E-7</v>
      </c>
    </row>
    <row r="58" spans="1:13" ht="16">
      <c r="A58">
        <v>2</v>
      </c>
      <c r="B58" s="2">
        <v>17</v>
      </c>
      <c r="C58" t="s">
        <v>4</v>
      </c>
      <c r="D58" s="9">
        <f t="shared" si="5"/>
        <v>1</v>
      </c>
      <c r="E58" s="9" t="str">
        <f t="shared" si="6"/>
        <v>hipA_rpoZ</v>
      </c>
      <c r="F58" s="2">
        <v>1</v>
      </c>
      <c r="G58" s="2">
        <v>7</v>
      </c>
      <c r="H58" s="2">
        <v>110</v>
      </c>
      <c r="I58" s="5">
        <v>0</v>
      </c>
      <c r="J58" s="2">
        <f t="shared" si="8"/>
        <v>1</v>
      </c>
      <c r="K58" s="6">
        <v>110</v>
      </c>
      <c r="L58" s="5">
        <f t="shared" si="7"/>
        <v>489999999.99999994</v>
      </c>
      <c r="M58" s="3">
        <f t="shared" si="9"/>
        <v>2.2448979591836738E-7</v>
      </c>
    </row>
    <row r="59" spans="1:13" ht="16">
      <c r="A59">
        <v>2</v>
      </c>
      <c r="B59" s="2">
        <v>18</v>
      </c>
      <c r="C59" t="s">
        <v>4</v>
      </c>
      <c r="D59" s="9">
        <f t="shared" si="5"/>
        <v>2</v>
      </c>
      <c r="E59" s="9" t="str">
        <f t="shared" si="6"/>
        <v>hipA_rpoZ</v>
      </c>
      <c r="F59" s="2">
        <v>2</v>
      </c>
      <c r="G59" s="2">
        <v>7</v>
      </c>
      <c r="H59" s="2">
        <v>103</v>
      </c>
      <c r="I59" s="5">
        <v>0</v>
      </c>
      <c r="J59" s="2">
        <f t="shared" si="8"/>
        <v>1</v>
      </c>
      <c r="K59" s="6">
        <v>103</v>
      </c>
      <c r="L59" s="5">
        <f t="shared" si="7"/>
        <v>499999999.99999994</v>
      </c>
      <c r="M59" s="3">
        <f t="shared" si="9"/>
        <v>2.0600000000000002E-7</v>
      </c>
    </row>
    <row r="60" spans="1:13" ht="16">
      <c r="A60">
        <v>2</v>
      </c>
      <c r="B60" s="2">
        <v>19</v>
      </c>
      <c r="C60" t="s">
        <v>4</v>
      </c>
      <c r="D60" s="9">
        <f t="shared" si="5"/>
        <v>3</v>
      </c>
      <c r="E60" s="9" t="str">
        <f t="shared" si="6"/>
        <v>hipA_rpoZ</v>
      </c>
      <c r="F60" s="2">
        <v>3</v>
      </c>
      <c r="G60" s="2">
        <v>7</v>
      </c>
      <c r="H60" s="2">
        <v>156</v>
      </c>
      <c r="I60" s="5">
        <v>0</v>
      </c>
      <c r="J60" s="2">
        <f t="shared" si="8"/>
        <v>1</v>
      </c>
      <c r="K60" s="6">
        <v>156</v>
      </c>
      <c r="L60" s="5">
        <f t="shared" si="7"/>
        <v>449999999.99999994</v>
      </c>
      <c r="M60" s="3">
        <f t="shared" si="9"/>
        <v>3.466666666666667E-7</v>
      </c>
    </row>
    <row r="61" spans="1:13" ht="16">
      <c r="A61">
        <v>2</v>
      </c>
      <c r="B61" s="2">
        <v>20</v>
      </c>
      <c r="C61" t="s">
        <v>4</v>
      </c>
      <c r="D61" s="9">
        <f t="shared" si="5"/>
        <v>4</v>
      </c>
      <c r="E61" s="9" t="str">
        <f t="shared" si="6"/>
        <v>hipA_rpoZ</v>
      </c>
      <c r="F61" s="2">
        <v>4</v>
      </c>
      <c r="G61" s="2">
        <v>7</v>
      </c>
      <c r="H61" s="2">
        <v>166</v>
      </c>
      <c r="I61" s="5">
        <v>0</v>
      </c>
      <c r="J61" s="2">
        <f t="shared" si="8"/>
        <v>1</v>
      </c>
      <c r="K61" s="6">
        <v>166</v>
      </c>
      <c r="L61" s="5">
        <f t="shared" si="7"/>
        <v>570000000</v>
      </c>
      <c r="M61" s="3">
        <f>K61/L61</f>
        <v>2.9122807017543861E-7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418695-71ac-4c31-b5b2-c196c8ec3c8a}" enabled="0" method="" siteId="{9d418695-71ac-4c31-b5b2-c196c8ec3c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Ahmed</dc:creator>
  <cp:lastModifiedBy>Ari Lion</cp:lastModifiedBy>
  <dcterms:created xsi:type="dcterms:W3CDTF">2026-06-01T23:44:16Z</dcterms:created>
  <dcterms:modified xsi:type="dcterms:W3CDTF">2026-07-03T17:36:50Z</dcterms:modified>
</cp:coreProperties>
</file>