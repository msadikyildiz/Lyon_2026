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lyon/Desktop/ThesisWork/3.MDK/MDK.ATECc.081924/"/>
    </mc:Choice>
  </mc:AlternateContent>
  <xr:revisionPtr revIDLastSave="0" documentId="13_ncr:1_{431802AD-2A4A-4441-BBD3-DCAAB2D0ABEE}" xr6:coauthVersionLast="47" xr6:coauthVersionMax="47" xr10:uidLastSave="{00000000-0000-0000-0000-000000000000}"/>
  <bookViews>
    <workbookView xWindow="33700" yWindow="-6640" windowWidth="28800" windowHeight="16100" xr2:uid="{177CD699-1056-2B46-834D-83BE0E8769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D24" i="1"/>
  <c r="D25" i="1"/>
  <c r="D26" i="1"/>
  <c r="D27" i="1"/>
  <c r="D48" i="1" s="1"/>
  <c r="D69" i="1" s="1"/>
  <c r="D90" i="1" s="1"/>
  <c r="D111" i="1" s="1"/>
  <c r="D28" i="1"/>
  <c r="D29" i="1"/>
  <c r="D30" i="1"/>
  <c r="D31" i="1"/>
  <c r="D52" i="1" s="1"/>
  <c r="D73" i="1" s="1"/>
  <c r="D94" i="1" s="1"/>
  <c r="D115" i="1" s="1"/>
  <c r="D32" i="1"/>
  <c r="D33" i="1"/>
  <c r="D34" i="1"/>
  <c r="D35" i="1"/>
  <c r="D56" i="1" s="1"/>
  <c r="D77" i="1" s="1"/>
  <c r="D98" i="1" s="1"/>
  <c r="D119" i="1" s="1"/>
  <c r="D36" i="1"/>
  <c r="D37" i="1"/>
  <c r="D38" i="1"/>
  <c r="D39" i="1"/>
  <c r="D60" i="1" s="1"/>
  <c r="D81" i="1" s="1"/>
  <c r="D102" i="1" s="1"/>
  <c r="D123" i="1" s="1"/>
  <c r="D40" i="1"/>
  <c r="D41" i="1"/>
  <c r="D42" i="1"/>
  <c r="D43" i="1"/>
  <c r="D64" i="1" s="1"/>
  <c r="D85" i="1" s="1"/>
  <c r="D106" i="1" s="1"/>
  <c r="D127" i="1" s="1"/>
  <c r="D44" i="1"/>
  <c r="D45" i="1"/>
  <c r="D46" i="1"/>
  <c r="D47" i="1"/>
  <c r="D68" i="1" s="1"/>
  <c r="D89" i="1" s="1"/>
  <c r="D110" i="1" s="1"/>
  <c r="D49" i="1"/>
  <c r="D50" i="1"/>
  <c r="D51" i="1"/>
  <c r="D72" i="1" s="1"/>
  <c r="D93" i="1" s="1"/>
  <c r="D114" i="1" s="1"/>
  <c r="D53" i="1"/>
  <c r="D54" i="1"/>
  <c r="D55" i="1"/>
  <c r="D76" i="1" s="1"/>
  <c r="D97" i="1" s="1"/>
  <c r="D118" i="1" s="1"/>
  <c r="D57" i="1"/>
  <c r="D58" i="1"/>
  <c r="D59" i="1"/>
  <c r="D80" i="1" s="1"/>
  <c r="D101" i="1" s="1"/>
  <c r="D122" i="1" s="1"/>
  <c r="D61" i="1"/>
  <c r="D62" i="1"/>
  <c r="D63" i="1"/>
  <c r="D84" i="1" s="1"/>
  <c r="D105" i="1" s="1"/>
  <c r="D126" i="1" s="1"/>
  <c r="D65" i="1"/>
  <c r="D66" i="1"/>
  <c r="D67" i="1"/>
  <c r="D88" i="1" s="1"/>
  <c r="D109" i="1" s="1"/>
  <c r="D70" i="1"/>
  <c r="D71" i="1"/>
  <c r="D92" i="1" s="1"/>
  <c r="D113" i="1" s="1"/>
  <c r="D74" i="1"/>
  <c r="D75" i="1"/>
  <c r="D96" i="1" s="1"/>
  <c r="D117" i="1" s="1"/>
  <c r="D78" i="1"/>
  <c r="D79" i="1"/>
  <c r="D100" i="1" s="1"/>
  <c r="D121" i="1" s="1"/>
  <c r="D82" i="1"/>
  <c r="D83" i="1"/>
  <c r="D104" i="1" s="1"/>
  <c r="D125" i="1" s="1"/>
  <c r="D86" i="1"/>
  <c r="D87" i="1"/>
  <c r="D108" i="1" s="1"/>
  <c r="D91" i="1"/>
  <c r="D112" i="1" s="1"/>
  <c r="D95" i="1"/>
  <c r="D116" i="1" s="1"/>
  <c r="D99" i="1"/>
  <c r="D120" i="1" s="1"/>
  <c r="D103" i="1"/>
  <c r="D124" i="1" s="1"/>
  <c r="D107" i="1"/>
  <c r="D23" i="1"/>
  <c r="C24" i="1"/>
  <c r="C25" i="1"/>
  <c r="C26" i="1"/>
  <c r="C27" i="1"/>
  <c r="C48" i="1" s="1"/>
  <c r="C69" i="1" s="1"/>
  <c r="C90" i="1" s="1"/>
  <c r="C111" i="1" s="1"/>
  <c r="C28" i="1"/>
  <c r="C29" i="1"/>
  <c r="C30" i="1"/>
  <c r="C31" i="1"/>
  <c r="C52" i="1" s="1"/>
  <c r="C73" i="1" s="1"/>
  <c r="C94" i="1" s="1"/>
  <c r="C115" i="1" s="1"/>
  <c r="C32" i="1"/>
  <c r="C33" i="1"/>
  <c r="C34" i="1"/>
  <c r="C35" i="1"/>
  <c r="C56" i="1" s="1"/>
  <c r="C77" i="1" s="1"/>
  <c r="C98" i="1" s="1"/>
  <c r="C119" i="1" s="1"/>
  <c r="C36" i="1"/>
  <c r="C37" i="1"/>
  <c r="C38" i="1"/>
  <c r="C39" i="1"/>
  <c r="C60" i="1" s="1"/>
  <c r="C81" i="1" s="1"/>
  <c r="C102" i="1" s="1"/>
  <c r="C123" i="1" s="1"/>
  <c r="C40" i="1"/>
  <c r="C41" i="1"/>
  <c r="C42" i="1"/>
  <c r="C43" i="1"/>
  <c r="C64" i="1" s="1"/>
  <c r="C85" i="1" s="1"/>
  <c r="C106" i="1" s="1"/>
  <c r="C127" i="1" s="1"/>
  <c r="C44" i="1"/>
  <c r="C45" i="1"/>
  <c r="C46" i="1"/>
  <c r="C47" i="1"/>
  <c r="C68" i="1" s="1"/>
  <c r="C89" i="1" s="1"/>
  <c r="C110" i="1" s="1"/>
  <c r="C49" i="1"/>
  <c r="C50" i="1"/>
  <c r="C51" i="1"/>
  <c r="C72" i="1" s="1"/>
  <c r="C93" i="1" s="1"/>
  <c r="C114" i="1" s="1"/>
  <c r="C53" i="1"/>
  <c r="C54" i="1"/>
  <c r="C55" i="1"/>
  <c r="C76" i="1" s="1"/>
  <c r="C97" i="1" s="1"/>
  <c r="C118" i="1" s="1"/>
  <c r="C57" i="1"/>
  <c r="C58" i="1"/>
  <c r="C59" i="1"/>
  <c r="C80" i="1" s="1"/>
  <c r="C101" i="1" s="1"/>
  <c r="C122" i="1" s="1"/>
  <c r="C61" i="1"/>
  <c r="C62" i="1"/>
  <c r="C63" i="1"/>
  <c r="C84" i="1" s="1"/>
  <c r="C105" i="1" s="1"/>
  <c r="C126" i="1" s="1"/>
  <c r="C65" i="1"/>
  <c r="C66" i="1"/>
  <c r="C67" i="1"/>
  <c r="C88" i="1" s="1"/>
  <c r="C109" i="1" s="1"/>
  <c r="C70" i="1"/>
  <c r="C71" i="1"/>
  <c r="C92" i="1" s="1"/>
  <c r="C113" i="1" s="1"/>
  <c r="C74" i="1"/>
  <c r="C75" i="1"/>
  <c r="C96" i="1" s="1"/>
  <c r="C117" i="1" s="1"/>
  <c r="C78" i="1"/>
  <c r="C79" i="1"/>
  <c r="C100" i="1" s="1"/>
  <c r="C121" i="1" s="1"/>
  <c r="C82" i="1"/>
  <c r="C83" i="1"/>
  <c r="C104" i="1" s="1"/>
  <c r="C125" i="1" s="1"/>
  <c r="C86" i="1"/>
  <c r="C87" i="1"/>
  <c r="C108" i="1" s="1"/>
  <c r="C91" i="1"/>
  <c r="C112" i="1" s="1"/>
  <c r="C95" i="1"/>
  <c r="C116" i="1" s="1"/>
  <c r="C99" i="1"/>
  <c r="C120" i="1" s="1"/>
  <c r="C103" i="1"/>
  <c r="C124" i="1" s="1"/>
  <c r="C107" i="1"/>
  <c r="C23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2" i="1"/>
  <c r="L24" i="1"/>
  <c r="L25" i="1"/>
  <c r="L26" i="1"/>
  <c r="L27" i="1"/>
  <c r="L48" i="1" s="1"/>
  <c r="L69" i="1" s="1"/>
  <c r="L90" i="1" s="1"/>
  <c r="L111" i="1" s="1"/>
  <c r="L28" i="1"/>
  <c r="L29" i="1"/>
  <c r="L30" i="1"/>
  <c r="L31" i="1"/>
  <c r="L52" i="1" s="1"/>
  <c r="L73" i="1" s="1"/>
  <c r="L94" i="1" s="1"/>
  <c r="L115" i="1" s="1"/>
  <c r="L32" i="1"/>
  <c r="L33" i="1"/>
  <c r="L34" i="1"/>
  <c r="L35" i="1"/>
  <c r="L56" i="1" s="1"/>
  <c r="L77" i="1" s="1"/>
  <c r="L98" i="1" s="1"/>
  <c r="L119" i="1" s="1"/>
  <c r="L36" i="1"/>
  <c r="L37" i="1"/>
  <c r="L38" i="1"/>
  <c r="L39" i="1"/>
  <c r="L60" i="1" s="1"/>
  <c r="L81" i="1" s="1"/>
  <c r="L102" i="1" s="1"/>
  <c r="L123" i="1" s="1"/>
  <c r="L40" i="1"/>
  <c r="L41" i="1"/>
  <c r="L42" i="1"/>
  <c r="L43" i="1"/>
  <c r="L64" i="1" s="1"/>
  <c r="L85" i="1" s="1"/>
  <c r="L106" i="1" s="1"/>
  <c r="L127" i="1" s="1"/>
  <c r="L44" i="1"/>
  <c r="L45" i="1"/>
  <c r="L46" i="1"/>
  <c r="L47" i="1"/>
  <c r="L68" i="1" s="1"/>
  <c r="L89" i="1" s="1"/>
  <c r="L110" i="1" s="1"/>
  <c r="L49" i="1"/>
  <c r="L50" i="1"/>
  <c r="L51" i="1"/>
  <c r="L72" i="1" s="1"/>
  <c r="L93" i="1" s="1"/>
  <c r="L114" i="1" s="1"/>
  <c r="L53" i="1"/>
  <c r="L54" i="1"/>
  <c r="L55" i="1"/>
  <c r="L76" i="1" s="1"/>
  <c r="L97" i="1" s="1"/>
  <c r="L118" i="1" s="1"/>
  <c r="L57" i="1"/>
  <c r="L58" i="1"/>
  <c r="L59" i="1"/>
  <c r="L80" i="1" s="1"/>
  <c r="L101" i="1" s="1"/>
  <c r="L122" i="1" s="1"/>
  <c r="L61" i="1"/>
  <c r="L62" i="1"/>
  <c r="L63" i="1"/>
  <c r="L84" i="1" s="1"/>
  <c r="L105" i="1" s="1"/>
  <c r="L126" i="1" s="1"/>
  <c r="L65" i="1"/>
  <c r="L66" i="1"/>
  <c r="L67" i="1"/>
  <c r="L88" i="1" s="1"/>
  <c r="L109" i="1" s="1"/>
  <c r="L70" i="1"/>
  <c r="L71" i="1"/>
  <c r="L92" i="1" s="1"/>
  <c r="L113" i="1" s="1"/>
  <c r="L74" i="1"/>
  <c r="L75" i="1"/>
  <c r="L96" i="1" s="1"/>
  <c r="L117" i="1" s="1"/>
  <c r="L78" i="1"/>
  <c r="L79" i="1"/>
  <c r="L100" i="1" s="1"/>
  <c r="L121" i="1" s="1"/>
  <c r="L82" i="1"/>
  <c r="L83" i="1"/>
  <c r="L104" i="1" s="1"/>
  <c r="L125" i="1" s="1"/>
  <c r="L86" i="1"/>
  <c r="L87" i="1"/>
  <c r="L108" i="1" s="1"/>
  <c r="L91" i="1"/>
  <c r="L112" i="1" s="1"/>
  <c r="L95" i="1"/>
  <c r="L116" i="1" s="1"/>
  <c r="L99" i="1"/>
  <c r="L120" i="1" s="1"/>
  <c r="L103" i="1"/>
  <c r="L124" i="1" s="1"/>
  <c r="L107" i="1"/>
  <c r="L23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K109" i="1"/>
  <c r="K108" i="1"/>
  <c r="K107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97" i="1"/>
  <c r="K120" i="1"/>
  <c r="K124" i="1"/>
  <c r="J86" i="1"/>
  <c r="K86" i="1" s="1"/>
  <c r="J87" i="1"/>
  <c r="K87" i="1" s="1"/>
  <c r="J88" i="1"/>
  <c r="K88" i="1" s="1"/>
  <c r="B24" i="1"/>
  <c r="F24" i="1"/>
  <c r="B25" i="1"/>
  <c r="F25" i="1"/>
  <c r="F46" i="1" s="1"/>
  <c r="F67" i="1" s="1"/>
  <c r="F88" i="1" s="1"/>
  <c r="F109" i="1" s="1"/>
  <c r="B26" i="1"/>
  <c r="B47" i="1" s="1"/>
  <c r="B68" i="1" s="1"/>
  <c r="B89" i="1" s="1"/>
  <c r="F26" i="1"/>
  <c r="F47" i="1" s="1"/>
  <c r="F68" i="1" s="1"/>
  <c r="F89" i="1" s="1"/>
  <c r="B27" i="1"/>
  <c r="B48" i="1" s="1"/>
  <c r="F27" i="1"/>
  <c r="F48" i="1" s="1"/>
  <c r="F69" i="1" s="1"/>
  <c r="F90" i="1" s="1"/>
  <c r="B28" i="1"/>
  <c r="F28" i="1"/>
  <c r="B29" i="1"/>
  <c r="B50" i="1" s="1"/>
  <c r="B71" i="1" s="1"/>
  <c r="B92" i="1" s="1"/>
  <c r="F29" i="1"/>
  <c r="B30" i="1"/>
  <c r="B51" i="1" s="1"/>
  <c r="B72" i="1" s="1"/>
  <c r="B93" i="1" s="1"/>
  <c r="F30" i="1"/>
  <c r="B31" i="1"/>
  <c r="B52" i="1" s="1"/>
  <c r="B73" i="1" s="1"/>
  <c r="B94" i="1" s="1"/>
  <c r="F31" i="1"/>
  <c r="F52" i="1" s="1"/>
  <c r="F73" i="1" s="1"/>
  <c r="F94" i="1" s="1"/>
  <c r="B32" i="1"/>
  <c r="F32" i="1"/>
  <c r="B33" i="1"/>
  <c r="F33" i="1"/>
  <c r="B34" i="1"/>
  <c r="F34" i="1"/>
  <c r="B35" i="1"/>
  <c r="B56" i="1" s="1"/>
  <c r="B77" i="1" s="1"/>
  <c r="B98" i="1" s="1"/>
  <c r="F35" i="1"/>
  <c r="F56" i="1" s="1"/>
  <c r="F77" i="1" s="1"/>
  <c r="F98" i="1" s="1"/>
  <c r="B36" i="1"/>
  <c r="F36" i="1"/>
  <c r="B37" i="1"/>
  <c r="F37" i="1"/>
  <c r="B38" i="1"/>
  <c r="F38" i="1"/>
  <c r="F59" i="1" s="1"/>
  <c r="F80" i="1" s="1"/>
  <c r="F101" i="1" s="1"/>
  <c r="B39" i="1"/>
  <c r="B60" i="1" s="1"/>
  <c r="B81" i="1" s="1"/>
  <c r="B102" i="1" s="1"/>
  <c r="F39" i="1"/>
  <c r="F60" i="1" s="1"/>
  <c r="B40" i="1"/>
  <c r="F40" i="1"/>
  <c r="B41" i="1"/>
  <c r="F41" i="1"/>
  <c r="F62" i="1" s="1"/>
  <c r="F83" i="1" s="1"/>
  <c r="F104" i="1" s="1"/>
  <c r="B42" i="1"/>
  <c r="B63" i="1" s="1"/>
  <c r="B84" i="1" s="1"/>
  <c r="B105" i="1" s="1"/>
  <c r="F42" i="1"/>
  <c r="F63" i="1" s="1"/>
  <c r="F84" i="1" s="1"/>
  <c r="F105" i="1" s="1"/>
  <c r="B43" i="1"/>
  <c r="B64" i="1" s="1"/>
  <c r="F43" i="1"/>
  <c r="F64" i="1" s="1"/>
  <c r="F85" i="1" s="1"/>
  <c r="F106" i="1" s="1"/>
  <c r="B44" i="1"/>
  <c r="F44" i="1"/>
  <c r="B45" i="1"/>
  <c r="B66" i="1" s="1"/>
  <c r="B87" i="1" s="1"/>
  <c r="F45" i="1"/>
  <c r="B46" i="1"/>
  <c r="B67" i="1" s="1"/>
  <c r="B88" i="1" s="1"/>
  <c r="B49" i="1"/>
  <c r="F49" i="1"/>
  <c r="F70" i="1" s="1"/>
  <c r="F91" i="1" s="1"/>
  <c r="F50" i="1"/>
  <c r="F71" i="1" s="1"/>
  <c r="F92" i="1" s="1"/>
  <c r="F51" i="1"/>
  <c r="F72" i="1" s="1"/>
  <c r="F93" i="1" s="1"/>
  <c r="B53" i="1"/>
  <c r="B74" i="1" s="1"/>
  <c r="B95" i="1" s="1"/>
  <c r="F53" i="1"/>
  <c r="F74" i="1" s="1"/>
  <c r="F95" i="1" s="1"/>
  <c r="B54" i="1"/>
  <c r="B75" i="1" s="1"/>
  <c r="B96" i="1" s="1"/>
  <c r="F54" i="1"/>
  <c r="F75" i="1" s="1"/>
  <c r="F96" i="1" s="1"/>
  <c r="B55" i="1"/>
  <c r="B76" i="1" s="1"/>
  <c r="B97" i="1" s="1"/>
  <c r="F55" i="1"/>
  <c r="F76" i="1" s="1"/>
  <c r="B57" i="1"/>
  <c r="B78" i="1" s="1"/>
  <c r="B99" i="1" s="1"/>
  <c r="F57" i="1"/>
  <c r="F78" i="1" s="1"/>
  <c r="F99" i="1" s="1"/>
  <c r="B58" i="1"/>
  <c r="B79" i="1" s="1"/>
  <c r="B100" i="1" s="1"/>
  <c r="F58" i="1"/>
  <c r="F79" i="1" s="1"/>
  <c r="F100" i="1" s="1"/>
  <c r="B59" i="1"/>
  <c r="B80" i="1" s="1"/>
  <c r="B61" i="1"/>
  <c r="B82" i="1" s="1"/>
  <c r="B103" i="1" s="1"/>
  <c r="F61" i="1"/>
  <c r="B62" i="1"/>
  <c r="B83" i="1" s="1"/>
  <c r="B104" i="1" s="1"/>
  <c r="B65" i="1"/>
  <c r="F65" i="1"/>
  <c r="F86" i="1" s="1"/>
  <c r="F107" i="1" s="1"/>
  <c r="F66" i="1"/>
  <c r="F87" i="1" s="1"/>
  <c r="F108" i="1" s="1"/>
  <c r="B69" i="1"/>
  <c r="B90" i="1" s="1"/>
  <c r="B70" i="1"/>
  <c r="B91" i="1" s="1"/>
  <c r="F81" i="1"/>
  <c r="F102" i="1" s="1"/>
  <c r="F82" i="1"/>
  <c r="F103" i="1" s="1"/>
  <c r="B85" i="1"/>
  <c r="B106" i="1" s="1"/>
  <c r="B86" i="1"/>
  <c r="B107" i="1" s="1"/>
  <c r="F97" i="1"/>
  <c r="B101" i="1"/>
  <c r="F23" i="1"/>
  <c r="B23" i="1"/>
  <c r="E2" i="1"/>
  <c r="D9" i="1"/>
  <c r="D12" i="1" s="1"/>
  <c r="D15" i="1" s="1"/>
  <c r="D10" i="1"/>
  <c r="D11" i="1"/>
  <c r="D13" i="1"/>
  <c r="D14" i="1"/>
  <c r="D16" i="1"/>
  <c r="D19" i="1" s="1"/>
  <c r="D17" i="1"/>
  <c r="D20" i="1"/>
  <c r="D8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J98" i="1"/>
  <c r="J99" i="1"/>
  <c r="J100" i="1"/>
  <c r="K100" i="1" s="1"/>
  <c r="J101" i="1"/>
  <c r="K101" i="1" s="1"/>
  <c r="J102" i="1"/>
  <c r="K102" i="1" s="1"/>
  <c r="J103" i="1"/>
  <c r="J104" i="1"/>
  <c r="K104" i="1" s="1"/>
  <c r="J105" i="1"/>
  <c r="K105" i="1" s="1"/>
  <c r="J106" i="1"/>
  <c r="K106" i="1" s="1"/>
  <c r="J107" i="1"/>
  <c r="J108" i="1"/>
  <c r="J109" i="1"/>
  <c r="J110" i="1"/>
  <c r="K110" i="1" s="1"/>
  <c r="J111" i="1"/>
  <c r="K111" i="1" s="1"/>
  <c r="J112" i="1"/>
  <c r="K112" i="1" s="1"/>
  <c r="J113" i="1"/>
  <c r="K113" i="1" s="1"/>
  <c r="J114" i="1"/>
  <c r="K114" i="1" s="1"/>
  <c r="J115" i="1"/>
  <c r="K115" i="1" s="1"/>
  <c r="J116" i="1"/>
  <c r="K116" i="1" s="1"/>
  <c r="J117" i="1"/>
  <c r="K117" i="1" s="1"/>
  <c r="J118" i="1"/>
  <c r="K118" i="1" s="1"/>
  <c r="J119" i="1"/>
  <c r="K119" i="1" s="1"/>
  <c r="J120" i="1"/>
  <c r="J121" i="1"/>
  <c r="K121" i="1" s="1"/>
  <c r="J122" i="1"/>
  <c r="J123" i="1"/>
  <c r="J124" i="1"/>
  <c r="J125" i="1"/>
  <c r="K125" i="1" s="1"/>
  <c r="J126" i="1"/>
  <c r="K126" i="1" s="1"/>
  <c r="J127" i="1"/>
  <c r="K127" i="1" s="1"/>
  <c r="J2" i="1"/>
  <c r="K2" i="1" s="1"/>
  <c r="F15" i="1"/>
  <c r="F16" i="1"/>
  <c r="F14" i="1"/>
  <c r="F6" i="1"/>
  <c r="F18" i="1" s="1"/>
  <c r="F7" i="1"/>
  <c r="F10" i="1" s="1"/>
  <c r="F5" i="1"/>
  <c r="F17" i="1" s="1"/>
  <c r="K123" i="1" l="1"/>
  <c r="K122" i="1"/>
  <c r="K103" i="1"/>
  <c r="K99" i="1"/>
  <c r="K98" i="1"/>
  <c r="D22" i="1"/>
  <c r="D18" i="1"/>
  <c r="F13" i="1"/>
  <c r="F22" i="1"/>
  <c r="F8" i="1"/>
  <c r="F9" i="1"/>
  <c r="F19" i="1"/>
  <c r="D21" i="1" l="1"/>
  <c r="F11" i="1"/>
  <c r="F20" i="1"/>
  <c r="F12" i="1"/>
  <c r="F21" i="1"/>
  <c r="F123" i="1" l="1"/>
  <c r="F126" i="1" l="1"/>
  <c r="F124" i="1"/>
  <c r="F122" i="1"/>
  <c r="F127" i="1" l="1"/>
  <c r="F125" i="1"/>
  <c r="F111" i="1" l="1"/>
  <c r="F114" i="1" l="1"/>
  <c r="F110" i="1"/>
  <c r="F112" i="1"/>
  <c r="F113" i="1" l="1"/>
  <c r="F120" i="1"/>
  <c r="F117" i="1"/>
  <c r="F115" i="1"/>
  <c r="F121" i="1" l="1"/>
  <c r="F118" i="1"/>
  <c r="F119" i="1"/>
  <c r="F116" i="1"/>
</calcChain>
</file>

<file path=xl/sharedStrings.xml><?xml version="1.0" encoding="utf-8"?>
<sst xmlns="http://schemas.openxmlformats.org/spreadsheetml/2006/main" count="34" uniqueCount="15">
  <si>
    <t>Strain</t>
  </si>
  <si>
    <t>Time</t>
  </si>
  <si>
    <t>Count</t>
  </si>
  <si>
    <t>Dilution</t>
  </si>
  <si>
    <t>Factor</t>
  </si>
  <si>
    <t>CFU</t>
  </si>
  <si>
    <t>TimeZero</t>
  </si>
  <si>
    <t>Tube</t>
  </si>
  <si>
    <t>Replicate</t>
  </si>
  <si>
    <t>Fraction</t>
  </si>
  <si>
    <t>Culture</t>
  </si>
  <si>
    <t>Day</t>
  </si>
  <si>
    <t>Name</t>
  </si>
  <si>
    <t>ATEC</t>
  </si>
  <si>
    <t>ATECc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</si>
</sst>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2" fontId="0" fillId="0" borderId="0" xfId="0" applyNumberFormat="1"/>
    <xf numFmtId="0" fontId="1" fillId="0" borderId="0" xfId="0" applyFont="1"/>
    <xf numFmtId="1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0E929-15C7-A94F-89A0-1B970DB2740D}">
  <dimension ref="A1:M232"/>
  <sheetViews>
    <sheetView tabSelected="1" topLeftCell="A96" workbookViewId="0">
      <selection activeCell="E2" sqref="E2:E127"/>
    </sheetView>
  </sheetViews>
  <sheetFormatPr baseColWidth="10" defaultRowHeight="16" x14ac:dyDescent="0.2"/>
  <sheetData>
    <row r="1" spans="1:13" x14ac:dyDescent="0.2">
      <c r="A1" t="s">
        <v>11</v>
      </c>
      <c r="B1" t="s">
        <v>7</v>
      </c>
      <c r="C1" t="s">
        <v>0</v>
      </c>
      <c r="D1" t="s">
        <v>10</v>
      </c>
      <c r="E1" t="s">
        <v>12</v>
      </c>
      <c r="F1" t="s">
        <v>8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9</v>
      </c>
    </row>
    <row r="2" spans="1:13" x14ac:dyDescent="0.2">
      <c r="A2">
        <v>1</v>
      </c>
      <c r="B2">
        <v>1</v>
      </c>
      <c r="C2" t="s">
        <v>13</v>
      </c>
      <c r="D2">
        <v>1</v>
      </c>
      <c r="E2" t="str">
        <f>_xlfn.CONCAT(C2,D2)</f>
        <v>ATEC1</v>
      </c>
      <c r="F2">
        <v>1</v>
      </c>
      <c r="G2">
        <v>0</v>
      </c>
      <c r="H2">
        <v>46</v>
      </c>
      <c r="I2">
        <v>5</v>
      </c>
      <c r="J2">
        <f>1/10^I2</f>
        <v>1.0000000000000001E-5</v>
      </c>
      <c r="K2" s="1">
        <f>H2/(J2*0.02)</f>
        <v>229999999.99999997</v>
      </c>
      <c r="L2">
        <v>229999999.99999997</v>
      </c>
      <c r="M2" s="2">
        <f>K2/L2</f>
        <v>1</v>
      </c>
    </row>
    <row r="3" spans="1:13" x14ac:dyDescent="0.2">
      <c r="A3">
        <v>1</v>
      </c>
      <c r="B3">
        <v>2</v>
      </c>
      <c r="C3" t="s">
        <v>13</v>
      </c>
      <c r="D3">
        <v>1</v>
      </c>
      <c r="E3" t="str">
        <f t="shared" ref="E3:E66" si="0">_xlfn.CONCAT(C3,D3)</f>
        <v>ATEC1</v>
      </c>
      <c r="F3">
        <v>2</v>
      </c>
      <c r="G3">
        <v>0</v>
      </c>
      <c r="H3">
        <v>49</v>
      </c>
      <c r="I3">
        <v>5</v>
      </c>
      <c r="J3">
        <f t="shared" ref="J3:J66" si="1">1/10^I3</f>
        <v>1.0000000000000001E-5</v>
      </c>
      <c r="K3" s="1">
        <f t="shared" ref="K3:K66" si="2">H3/(J3*0.02)</f>
        <v>244999999.99999997</v>
      </c>
      <c r="L3">
        <v>244999999.99999997</v>
      </c>
      <c r="M3" s="2">
        <f t="shared" ref="M3:M66" si="3">K3/L3</f>
        <v>1</v>
      </c>
    </row>
    <row r="4" spans="1:13" x14ac:dyDescent="0.2">
      <c r="A4">
        <v>1</v>
      </c>
      <c r="B4">
        <v>3</v>
      </c>
      <c r="C4" t="s">
        <v>13</v>
      </c>
      <c r="D4">
        <v>1</v>
      </c>
      <c r="E4" t="str">
        <f t="shared" si="0"/>
        <v>ATEC1</v>
      </c>
      <c r="F4">
        <v>3</v>
      </c>
      <c r="G4">
        <v>0</v>
      </c>
      <c r="H4">
        <v>56</v>
      </c>
      <c r="I4">
        <v>5</v>
      </c>
      <c r="J4">
        <f t="shared" si="1"/>
        <v>1.0000000000000001E-5</v>
      </c>
      <c r="K4" s="1">
        <f t="shared" si="2"/>
        <v>280000000</v>
      </c>
      <c r="L4">
        <v>280000000</v>
      </c>
      <c r="M4" s="2">
        <f t="shared" si="3"/>
        <v>1</v>
      </c>
    </row>
    <row r="5" spans="1:13" x14ac:dyDescent="0.2">
      <c r="A5">
        <v>1</v>
      </c>
      <c r="B5">
        <v>4</v>
      </c>
      <c r="C5" t="s">
        <v>14</v>
      </c>
      <c r="D5">
        <v>1</v>
      </c>
      <c r="E5" t="str">
        <f t="shared" si="0"/>
        <v>ATECc1</v>
      </c>
      <c r="F5">
        <f>F2</f>
        <v>1</v>
      </c>
      <c r="G5">
        <v>0</v>
      </c>
      <c r="H5">
        <v>30</v>
      </c>
      <c r="I5">
        <v>5</v>
      </c>
      <c r="J5">
        <f t="shared" si="1"/>
        <v>1.0000000000000001E-5</v>
      </c>
      <c r="K5" s="1">
        <f t="shared" si="2"/>
        <v>150000000</v>
      </c>
      <c r="L5">
        <v>150000000</v>
      </c>
      <c r="M5" s="2">
        <f t="shared" si="3"/>
        <v>1</v>
      </c>
    </row>
    <row r="6" spans="1:13" x14ac:dyDescent="0.2">
      <c r="A6">
        <v>1</v>
      </c>
      <c r="B6">
        <v>5</v>
      </c>
      <c r="C6" t="s">
        <v>14</v>
      </c>
      <c r="D6">
        <v>1</v>
      </c>
      <c r="E6" t="str">
        <f t="shared" si="0"/>
        <v>ATECc1</v>
      </c>
      <c r="F6">
        <f t="shared" ref="F6:F69" si="4">F3</f>
        <v>2</v>
      </c>
      <c r="G6">
        <v>0</v>
      </c>
      <c r="H6">
        <v>28</v>
      </c>
      <c r="I6">
        <v>5</v>
      </c>
      <c r="J6">
        <f t="shared" si="1"/>
        <v>1.0000000000000001E-5</v>
      </c>
      <c r="K6" s="1">
        <f t="shared" si="2"/>
        <v>140000000</v>
      </c>
      <c r="L6">
        <v>140000000</v>
      </c>
      <c r="M6" s="2">
        <f t="shared" si="3"/>
        <v>1</v>
      </c>
    </row>
    <row r="7" spans="1:13" x14ac:dyDescent="0.2">
      <c r="A7">
        <v>1</v>
      </c>
      <c r="B7">
        <v>6</v>
      </c>
      <c r="C7" t="s">
        <v>14</v>
      </c>
      <c r="D7">
        <v>1</v>
      </c>
      <c r="E7" t="str">
        <f t="shared" si="0"/>
        <v>ATECc1</v>
      </c>
      <c r="F7">
        <f t="shared" si="4"/>
        <v>3</v>
      </c>
      <c r="G7">
        <v>0</v>
      </c>
      <c r="H7">
        <v>37</v>
      </c>
      <c r="I7">
        <v>5</v>
      </c>
      <c r="J7">
        <f t="shared" si="1"/>
        <v>1.0000000000000001E-5</v>
      </c>
      <c r="K7" s="1">
        <f t="shared" si="2"/>
        <v>184999999.99999997</v>
      </c>
      <c r="L7">
        <v>184999999.99999997</v>
      </c>
      <c r="M7" s="2">
        <f t="shared" si="3"/>
        <v>1</v>
      </c>
    </row>
    <row r="8" spans="1:13" x14ac:dyDescent="0.2">
      <c r="A8">
        <v>1</v>
      </c>
      <c r="B8">
        <v>7</v>
      </c>
      <c r="C8" t="s">
        <v>14</v>
      </c>
      <c r="D8">
        <f>D5+1</f>
        <v>2</v>
      </c>
      <c r="E8" t="str">
        <f t="shared" si="0"/>
        <v>ATECc2</v>
      </c>
      <c r="F8">
        <f t="shared" si="4"/>
        <v>1</v>
      </c>
      <c r="G8">
        <v>0</v>
      </c>
      <c r="H8">
        <v>37</v>
      </c>
      <c r="I8">
        <v>5</v>
      </c>
      <c r="J8">
        <f t="shared" si="1"/>
        <v>1.0000000000000001E-5</v>
      </c>
      <c r="K8" s="1">
        <f t="shared" si="2"/>
        <v>184999999.99999997</v>
      </c>
      <c r="L8">
        <v>184999999.99999997</v>
      </c>
      <c r="M8" s="2">
        <f t="shared" si="3"/>
        <v>1</v>
      </c>
    </row>
    <row r="9" spans="1:13" x14ac:dyDescent="0.2">
      <c r="A9">
        <v>1</v>
      </c>
      <c r="B9">
        <v>8</v>
      </c>
      <c r="C9" t="s">
        <v>14</v>
      </c>
      <c r="D9">
        <f t="shared" ref="D9:D26" si="5">D6+1</f>
        <v>2</v>
      </c>
      <c r="E9" t="str">
        <f t="shared" si="0"/>
        <v>ATECc2</v>
      </c>
      <c r="F9">
        <f t="shared" si="4"/>
        <v>2</v>
      </c>
      <c r="G9">
        <v>0</v>
      </c>
      <c r="H9">
        <v>59</v>
      </c>
      <c r="I9">
        <v>5</v>
      </c>
      <c r="J9">
        <f t="shared" si="1"/>
        <v>1.0000000000000001E-5</v>
      </c>
      <c r="K9" s="1">
        <f t="shared" si="2"/>
        <v>295000000</v>
      </c>
      <c r="L9">
        <v>295000000</v>
      </c>
      <c r="M9" s="2">
        <f t="shared" si="3"/>
        <v>1</v>
      </c>
    </row>
    <row r="10" spans="1:13" x14ac:dyDescent="0.2">
      <c r="A10">
        <v>1</v>
      </c>
      <c r="B10">
        <v>9</v>
      </c>
      <c r="C10" t="s">
        <v>14</v>
      </c>
      <c r="D10">
        <f t="shared" si="5"/>
        <v>2</v>
      </c>
      <c r="E10" t="str">
        <f t="shared" si="0"/>
        <v>ATECc2</v>
      </c>
      <c r="F10">
        <f t="shared" si="4"/>
        <v>3</v>
      </c>
      <c r="G10">
        <v>0</v>
      </c>
      <c r="H10">
        <v>45</v>
      </c>
      <c r="I10">
        <v>5</v>
      </c>
      <c r="J10">
        <f t="shared" si="1"/>
        <v>1.0000000000000001E-5</v>
      </c>
      <c r="K10" s="1">
        <f t="shared" si="2"/>
        <v>224999999.99999997</v>
      </c>
      <c r="L10">
        <v>224999999.99999997</v>
      </c>
      <c r="M10" s="2">
        <f t="shared" si="3"/>
        <v>1</v>
      </c>
    </row>
    <row r="11" spans="1:13" x14ac:dyDescent="0.2">
      <c r="A11">
        <v>1</v>
      </c>
      <c r="B11">
        <v>10</v>
      </c>
      <c r="C11" t="s">
        <v>14</v>
      </c>
      <c r="D11">
        <f t="shared" si="5"/>
        <v>3</v>
      </c>
      <c r="E11" t="str">
        <f t="shared" si="0"/>
        <v>ATECc3</v>
      </c>
      <c r="F11">
        <f t="shared" si="4"/>
        <v>1</v>
      </c>
      <c r="G11">
        <v>0</v>
      </c>
      <c r="H11">
        <v>51</v>
      </c>
      <c r="I11">
        <v>5</v>
      </c>
      <c r="J11">
        <f t="shared" si="1"/>
        <v>1.0000000000000001E-5</v>
      </c>
      <c r="K11" s="1">
        <f t="shared" si="2"/>
        <v>254999999.99999997</v>
      </c>
      <c r="L11">
        <v>254999999.99999997</v>
      </c>
      <c r="M11" s="2">
        <f t="shared" si="3"/>
        <v>1</v>
      </c>
    </row>
    <row r="12" spans="1:13" x14ac:dyDescent="0.2">
      <c r="A12">
        <v>1</v>
      </c>
      <c r="B12">
        <v>11</v>
      </c>
      <c r="C12" t="s">
        <v>14</v>
      </c>
      <c r="D12">
        <f t="shared" si="5"/>
        <v>3</v>
      </c>
      <c r="E12" t="str">
        <f t="shared" si="0"/>
        <v>ATECc3</v>
      </c>
      <c r="F12">
        <f t="shared" si="4"/>
        <v>2</v>
      </c>
      <c r="G12">
        <v>0</v>
      </c>
      <c r="H12">
        <v>51</v>
      </c>
      <c r="I12">
        <v>5</v>
      </c>
      <c r="J12">
        <f t="shared" si="1"/>
        <v>1.0000000000000001E-5</v>
      </c>
      <c r="K12" s="1">
        <f t="shared" si="2"/>
        <v>254999999.99999997</v>
      </c>
      <c r="L12">
        <v>254999999.99999997</v>
      </c>
      <c r="M12" s="2">
        <f t="shared" si="3"/>
        <v>1</v>
      </c>
    </row>
    <row r="13" spans="1:13" x14ac:dyDescent="0.2">
      <c r="A13">
        <v>1</v>
      </c>
      <c r="B13">
        <v>12</v>
      </c>
      <c r="C13" t="s">
        <v>14</v>
      </c>
      <c r="D13">
        <f t="shared" si="5"/>
        <v>3</v>
      </c>
      <c r="E13" t="str">
        <f t="shared" si="0"/>
        <v>ATECc3</v>
      </c>
      <c r="F13">
        <f t="shared" si="4"/>
        <v>3</v>
      </c>
      <c r="G13">
        <v>0</v>
      </c>
      <c r="H13">
        <v>41</v>
      </c>
      <c r="I13">
        <v>5</v>
      </c>
      <c r="J13">
        <f t="shared" si="1"/>
        <v>1.0000000000000001E-5</v>
      </c>
      <c r="K13" s="1">
        <f t="shared" si="2"/>
        <v>204999999.99999997</v>
      </c>
      <c r="L13">
        <v>204999999.99999997</v>
      </c>
      <c r="M13" s="2">
        <f t="shared" si="3"/>
        <v>1</v>
      </c>
    </row>
    <row r="14" spans="1:13" x14ac:dyDescent="0.2">
      <c r="A14">
        <v>1</v>
      </c>
      <c r="B14">
        <v>13</v>
      </c>
      <c r="C14" t="s">
        <v>14</v>
      </c>
      <c r="D14">
        <f t="shared" si="5"/>
        <v>4</v>
      </c>
      <c r="E14" t="str">
        <f t="shared" si="0"/>
        <v>ATECc4</v>
      </c>
      <c r="F14">
        <f t="shared" ref="B14:F14" si="6">F2</f>
        <v>1</v>
      </c>
      <c r="G14">
        <v>0</v>
      </c>
      <c r="H14">
        <v>35</v>
      </c>
      <c r="I14">
        <v>5</v>
      </c>
      <c r="J14">
        <f t="shared" si="1"/>
        <v>1.0000000000000001E-5</v>
      </c>
      <c r="K14" s="1">
        <f t="shared" si="2"/>
        <v>174999999.99999997</v>
      </c>
      <c r="L14">
        <v>174999999.99999997</v>
      </c>
      <c r="M14" s="2">
        <f t="shared" si="3"/>
        <v>1</v>
      </c>
    </row>
    <row r="15" spans="1:13" x14ac:dyDescent="0.2">
      <c r="A15">
        <v>1</v>
      </c>
      <c r="B15">
        <v>14</v>
      </c>
      <c r="C15" t="s">
        <v>14</v>
      </c>
      <c r="D15">
        <f t="shared" si="5"/>
        <v>4</v>
      </c>
      <c r="E15" t="str">
        <f t="shared" si="0"/>
        <v>ATECc4</v>
      </c>
      <c r="F15">
        <f t="shared" ref="A15:F15" si="7">F3</f>
        <v>2</v>
      </c>
      <c r="G15">
        <v>0</v>
      </c>
      <c r="H15">
        <v>29</v>
      </c>
      <c r="I15">
        <v>5</v>
      </c>
      <c r="J15">
        <f t="shared" si="1"/>
        <v>1.0000000000000001E-5</v>
      </c>
      <c r="K15" s="1">
        <f t="shared" si="2"/>
        <v>145000000</v>
      </c>
      <c r="L15">
        <v>145000000</v>
      </c>
      <c r="M15" s="2">
        <f t="shared" si="3"/>
        <v>1</v>
      </c>
    </row>
    <row r="16" spans="1:13" x14ac:dyDescent="0.2">
      <c r="A16">
        <v>1</v>
      </c>
      <c r="B16">
        <v>15</v>
      </c>
      <c r="C16" t="s">
        <v>14</v>
      </c>
      <c r="D16">
        <f t="shared" si="5"/>
        <v>4</v>
      </c>
      <c r="E16" t="str">
        <f t="shared" si="0"/>
        <v>ATECc4</v>
      </c>
      <c r="F16">
        <f t="shared" ref="A16:F16" si="8">F4</f>
        <v>3</v>
      </c>
      <c r="G16">
        <v>0</v>
      </c>
      <c r="H16">
        <v>37</v>
      </c>
      <c r="I16">
        <v>5</v>
      </c>
      <c r="J16">
        <f t="shared" si="1"/>
        <v>1.0000000000000001E-5</v>
      </c>
      <c r="K16" s="1">
        <f t="shared" si="2"/>
        <v>184999999.99999997</v>
      </c>
      <c r="L16">
        <v>184999999.99999997</v>
      </c>
      <c r="M16" s="2">
        <f t="shared" si="3"/>
        <v>1</v>
      </c>
    </row>
    <row r="17" spans="1:13" x14ac:dyDescent="0.2">
      <c r="A17">
        <v>1</v>
      </c>
      <c r="B17">
        <v>16</v>
      </c>
      <c r="C17" t="s">
        <v>14</v>
      </c>
      <c r="D17">
        <f t="shared" si="5"/>
        <v>5</v>
      </c>
      <c r="E17" t="str">
        <f t="shared" si="0"/>
        <v>ATECc5</v>
      </c>
      <c r="F17">
        <f t="shared" ref="A17:F17" si="9">F5</f>
        <v>1</v>
      </c>
      <c r="G17">
        <v>0</v>
      </c>
      <c r="H17">
        <v>46</v>
      </c>
      <c r="I17">
        <v>5</v>
      </c>
      <c r="J17">
        <f t="shared" si="1"/>
        <v>1.0000000000000001E-5</v>
      </c>
      <c r="K17" s="1">
        <f t="shared" si="2"/>
        <v>229999999.99999997</v>
      </c>
      <c r="L17">
        <v>229999999.99999997</v>
      </c>
      <c r="M17" s="2">
        <f t="shared" si="3"/>
        <v>1</v>
      </c>
    </row>
    <row r="18" spans="1:13" x14ac:dyDescent="0.2">
      <c r="A18">
        <v>1</v>
      </c>
      <c r="B18">
        <v>17</v>
      </c>
      <c r="C18" t="s">
        <v>14</v>
      </c>
      <c r="D18">
        <f t="shared" si="5"/>
        <v>5</v>
      </c>
      <c r="E18" t="str">
        <f t="shared" si="0"/>
        <v>ATECc5</v>
      </c>
      <c r="F18">
        <f t="shared" ref="A18:F18" si="10">F6</f>
        <v>2</v>
      </c>
      <c r="G18">
        <v>0</v>
      </c>
      <c r="H18">
        <v>37</v>
      </c>
      <c r="I18">
        <v>5</v>
      </c>
      <c r="J18">
        <f t="shared" si="1"/>
        <v>1.0000000000000001E-5</v>
      </c>
      <c r="K18" s="1">
        <f t="shared" si="2"/>
        <v>184999999.99999997</v>
      </c>
      <c r="L18">
        <v>184999999.99999997</v>
      </c>
      <c r="M18" s="2">
        <f t="shared" si="3"/>
        <v>1</v>
      </c>
    </row>
    <row r="19" spans="1:13" x14ac:dyDescent="0.2">
      <c r="A19">
        <v>1</v>
      </c>
      <c r="B19">
        <v>18</v>
      </c>
      <c r="C19" t="s">
        <v>14</v>
      </c>
      <c r="D19">
        <f t="shared" si="5"/>
        <v>5</v>
      </c>
      <c r="E19" t="str">
        <f t="shared" si="0"/>
        <v>ATECc5</v>
      </c>
      <c r="F19">
        <f t="shared" ref="A19:F19" si="11">F7</f>
        <v>3</v>
      </c>
      <c r="G19">
        <v>0</v>
      </c>
      <c r="H19">
        <v>30</v>
      </c>
      <c r="I19">
        <v>5</v>
      </c>
      <c r="J19">
        <f t="shared" si="1"/>
        <v>1.0000000000000001E-5</v>
      </c>
      <c r="K19" s="1">
        <f t="shared" si="2"/>
        <v>150000000</v>
      </c>
      <c r="L19">
        <v>150000000</v>
      </c>
      <c r="M19" s="2">
        <f t="shared" si="3"/>
        <v>1</v>
      </c>
    </row>
    <row r="20" spans="1:13" x14ac:dyDescent="0.2">
      <c r="A20">
        <v>1</v>
      </c>
      <c r="B20">
        <v>19</v>
      </c>
      <c r="C20" t="s">
        <v>14</v>
      </c>
      <c r="D20">
        <f t="shared" si="5"/>
        <v>6</v>
      </c>
      <c r="E20" t="str">
        <f t="shared" si="0"/>
        <v>ATECc6</v>
      </c>
      <c r="F20">
        <f t="shared" ref="A20:F20" si="12">F8</f>
        <v>1</v>
      </c>
      <c r="G20">
        <v>0</v>
      </c>
      <c r="H20">
        <v>41</v>
      </c>
      <c r="I20">
        <v>5</v>
      </c>
      <c r="J20">
        <f t="shared" si="1"/>
        <v>1.0000000000000001E-5</v>
      </c>
      <c r="K20" s="1">
        <f t="shared" si="2"/>
        <v>204999999.99999997</v>
      </c>
      <c r="L20">
        <v>204999999.99999997</v>
      </c>
      <c r="M20" s="2">
        <f t="shared" si="3"/>
        <v>1</v>
      </c>
    </row>
    <row r="21" spans="1:13" x14ac:dyDescent="0.2">
      <c r="A21">
        <v>1</v>
      </c>
      <c r="B21">
        <v>20</v>
      </c>
      <c r="C21" t="s">
        <v>14</v>
      </c>
      <c r="D21">
        <f t="shared" si="5"/>
        <v>6</v>
      </c>
      <c r="E21" t="str">
        <f t="shared" si="0"/>
        <v>ATECc6</v>
      </c>
      <c r="F21">
        <f t="shared" ref="A21:F21" si="13">F9</f>
        <v>2</v>
      </c>
      <c r="G21">
        <v>0</v>
      </c>
      <c r="H21">
        <v>41</v>
      </c>
      <c r="I21">
        <v>5</v>
      </c>
      <c r="J21">
        <f t="shared" si="1"/>
        <v>1.0000000000000001E-5</v>
      </c>
      <c r="K21" s="1">
        <f t="shared" si="2"/>
        <v>204999999.99999997</v>
      </c>
      <c r="L21">
        <v>204999999.99999997</v>
      </c>
      <c r="M21" s="2">
        <f t="shared" si="3"/>
        <v>1</v>
      </c>
    </row>
    <row r="22" spans="1:13" x14ac:dyDescent="0.2">
      <c r="A22">
        <v>1</v>
      </c>
      <c r="B22">
        <v>21</v>
      </c>
      <c r="C22" t="s">
        <v>14</v>
      </c>
      <c r="D22">
        <f t="shared" si="5"/>
        <v>6</v>
      </c>
      <c r="E22" t="str">
        <f t="shared" si="0"/>
        <v>ATECc6</v>
      </c>
      <c r="F22">
        <f t="shared" ref="A22:F22" si="14">F10</f>
        <v>3</v>
      </c>
      <c r="G22">
        <v>0</v>
      </c>
      <c r="H22">
        <v>47</v>
      </c>
      <c r="I22">
        <v>5</v>
      </c>
      <c r="J22">
        <f t="shared" si="1"/>
        <v>1.0000000000000001E-5</v>
      </c>
      <c r="K22" s="1">
        <f t="shared" si="2"/>
        <v>234999999.99999997</v>
      </c>
      <c r="L22">
        <v>234999999.99999997</v>
      </c>
      <c r="M22" s="2">
        <f t="shared" si="3"/>
        <v>1</v>
      </c>
    </row>
    <row r="23" spans="1:13" x14ac:dyDescent="0.2">
      <c r="A23">
        <v>1</v>
      </c>
      <c r="B23">
        <f>B2</f>
        <v>1</v>
      </c>
      <c r="C23" t="str">
        <f>C2</f>
        <v>ATEC</v>
      </c>
      <c r="D23">
        <f>D2</f>
        <v>1</v>
      </c>
      <c r="E23" t="str">
        <f t="shared" si="0"/>
        <v>ATEC1</v>
      </c>
      <c r="F23">
        <f t="shared" ref="C23:F23" si="15">F2</f>
        <v>1</v>
      </c>
      <c r="G23">
        <v>1</v>
      </c>
      <c r="H23">
        <v>79</v>
      </c>
      <c r="I23">
        <v>1</v>
      </c>
      <c r="J23">
        <f t="shared" si="1"/>
        <v>0.1</v>
      </c>
      <c r="K23" s="1">
        <f t="shared" si="2"/>
        <v>39500</v>
      </c>
      <c r="L23">
        <f>L2</f>
        <v>229999999.99999997</v>
      </c>
      <c r="M23" s="2">
        <f t="shared" si="3"/>
        <v>1.7173913043478262E-4</v>
      </c>
    </row>
    <row r="24" spans="1:13" x14ac:dyDescent="0.2">
      <c r="A24">
        <v>1</v>
      </c>
      <c r="B24">
        <f t="shared" ref="B24:F24" si="16">B3</f>
        <v>2</v>
      </c>
      <c r="C24" t="str">
        <f t="shared" si="16"/>
        <v>ATEC</v>
      </c>
      <c r="D24">
        <f t="shared" si="16"/>
        <v>1</v>
      </c>
      <c r="E24" t="str">
        <f t="shared" si="0"/>
        <v>ATEC1</v>
      </c>
      <c r="F24">
        <f t="shared" si="16"/>
        <v>2</v>
      </c>
      <c r="G24">
        <v>1</v>
      </c>
      <c r="H24">
        <v>76</v>
      </c>
      <c r="I24">
        <v>1</v>
      </c>
      <c r="J24">
        <f t="shared" si="1"/>
        <v>0.1</v>
      </c>
      <c r="K24" s="1">
        <f t="shared" si="2"/>
        <v>38000</v>
      </c>
      <c r="L24">
        <f t="shared" ref="L24:L87" si="17">L3</f>
        <v>244999999.99999997</v>
      </c>
      <c r="M24" s="2">
        <f t="shared" si="3"/>
        <v>1.5510204081632656E-4</v>
      </c>
    </row>
    <row r="25" spans="1:13" x14ac:dyDescent="0.2">
      <c r="A25">
        <v>1</v>
      </c>
      <c r="B25">
        <f t="shared" ref="B25:F25" si="18">B4</f>
        <v>3</v>
      </c>
      <c r="C25" t="str">
        <f t="shared" si="18"/>
        <v>ATEC</v>
      </c>
      <c r="D25">
        <f t="shared" si="18"/>
        <v>1</v>
      </c>
      <c r="E25" t="str">
        <f t="shared" si="0"/>
        <v>ATEC1</v>
      </c>
      <c r="F25">
        <f t="shared" si="18"/>
        <v>3</v>
      </c>
      <c r="G25">
        <v>1</v>
      </c>
      <c r="H25">
        <v>106</v>
      </c>
      <c r="I25">
        <v>1</v>
      </c>
      <c r="J25">
        <f t="shared" si="1"/>
        <v>0.1</v>
      </c>
      <c r="K25" s="1">
        <f t="shared" si="2"/>
        <v>53000</v>
      </c>
      <c r="L25">
        <f t="shared" si="17"/>
        <v>280000000</v>
      </c>
      <c r="M25" s="2">
        <f t="shared" si="3"/>
        <v>1.8928571428571429E-4</v>
      </c>
    </row>
    <row r="26" spans="1:13" x14ac:dyDescent="0.2">
      <c r="A26">
        <v>1</v>
      </c>
      <c r="B26">
        <f t="shared" ref="B26:F26" si="19">B5</f>
        <v>4</v>
      </c>
      <c r="C26" t="str">
        <f t="shared" si="19"/>
        <v>ATECc</v>
      </c>
      <c r="D26">
        <f t="shared" si="19"/>
        <v>1</v>
      </c>
      <c r="E26" t="str">
        <f t="shared" si="0"/>
        <v>ATECc1</v>
      </c>
      <c r="F26">
        <f t="shared" si="19"/>
        <v>1</v>
      </c>
      <c r="G26">
        <v>1</v>
      </c>
      <c r="H26">
        <v>35</v>
      </c>
      <c r="I26">
        <v>4</v>
      </c>
      <c r="J26">
        <f t="shared" si="1"/>
        <v>1E-4</v>
      </c>
      <c r="K26" s="1">
        <f t="shared" si="2"/>
        <v>17499999.999999996</v>
      </c>
      <c r="L26">
        <f t="shared" si="17"/>
        <v>150000000</v>
      </c>
      <c r="M26" s="2">
        <f t="shared" si="3"/>
        <v>0.11666666666666664</v>
      </c>
    </row>
    <row r="27" spans="1:13" x14ac:dyDescent="0.2">
      <c r="A27">
        <v>1</v>
      </c>
      <c r="B27">
        <f t="shared" ref="B27:F27" si="20">B6</f>
        <v>5</v>
      </c>
      <c r="C27" t="str">
        <f t="shared" si="20"/>
        <v>ATECc</v>
      </c>
      <c r="D27">
        <f t="shared" si="20"/>
        <v>1</v>
      </c>
      <c r="E27" t="str">
        <f t="shared" si="0"/>
        <v>ATECc1</v>
      </c>
      <c r="F27">
        <f t="shared" si="20"/>
        <v>2</v>
      </c>
      <c r="G27">
        <v>1</v>
      </c>
      <c r="H27">
        <v>29</v>
      </c>
      <c r="I27">
        <v>4</v>
      </c>
      <c r="J27">
        <f t="shared" si="1"/>
        <v>1E-4</v>
      </c>
      <c r="K27" s="1">
        <f t="shared" si="2"/>
        <v>14499999.999999998</v>
      </c>
      <c r="L27">
        <f t="shared" si="17"/>
        <v>140000000</v>
      </c>
      <c r="M27" s="2">
        <f t="shared" si="3"/>
        <v>0.10357142857142856</v>
      </c>
    </row>
    <row r="28" spans="1:13" x14ac:dyDescent="0.2">
      <c r="A28">
        <v>1</v>
      </c>
      <c r="B28">
        <f t="shared" ref="B28:F28" si="21">B7</f>
        <v>6</v>
      </c>
      <c r="C28" t="str">
        <f t="shared" si="21"/>
        <v>ATECc</v>
      </c>
      <c r="D28">
        <f t="shared" si="21"/>
        <v>1</v>
      </c>
      <c r="E28" t="str">
        <f t="shared" si="0"/>
        <v>ATECc1</v>
      </c>
      <c r="F28">
        <f t="shared" si="21"/>
        <v>3</v>
      </c>
      <c r="G28">
        <v>1</v>
      </c>
      <c r="H28">
        <v>39</v>
      </c>
      <c r="I28">
        <v>4</v>
      </c>
      <c r="J28">
        <f t="shared" si="1"/>
        <v>1E-4</v>
      </c>
      <c r="K28" s="1">
        <f t="shared" si="2"/>
        <v>19499999.999999996</v>
      </c>
      <c r="L28">
        <f t="shared" si="17"/>
        <v>184999999.99999997</v>
      </c>
      <c r="M28" s="2">
        <f t="shared" si="3"/>
        <v>0.1054054054054054</v>
      </c>
    </row>
    <row r="29" spans="1:13" x14ac:dyDescent="0.2">
      <c r="A29">
        <v>1</v>
      </c>
      <c r="B29">
        <f t="shared" ref="B29:F29" si="22">B8</f>
        <v>7</v>
      </c>
      <c r="C29" t="str">
        <f t="shared" si="22"/>
        <v>ATECc</v>
      </c>
      <c r="D29">
        <f t="shared" si="22"/>
        <v>2</v>
      </c>
      <c r="E29" t="str">
        <f t="shared" si="0"/>
        <v>ATECc2</v>
      </c>
      <c r="F29">
        <f t="shared" si="22"/>
        <v>1</v>
      </c>
      <c r="G29">
        <v>1</v>
      </c>
      <c r="H29">
        <v>36</v>
      </c>
      <c r="I29">
        <v>2</v>
      </c>
      <c r="J29">
        <f t="shared" si="1"/>
        <v>0.01</v>
      </c>
      <c r="K29" s="1">
        <f t="shared" si="2"/>
        <v>180000</v>
      </c>
      <c r="L29">
        <f t="shared" si="17"/>
        <v>184999999.99999997</v>
      </c>
      <c r="M29" s="2">
        <f t="shared" si="3"/>
        <v>9.7297297297297314E-4</v>
      </c>
    </row>
    <row r="30" spans="1:13" x14ac:dyDescent="0.2">
      <c r="A30">
        <v>1</v>
      </c>
      <c r="B30">
        <f t="shared" ref="B30:F30" si="23">B9</f>
        <v>8</v>
      </c>
      <c r="C30" t="str">
        <f t="shared" si="23"/>
        <v>ATECc</v>
      </c>
      <c r="D30">
        <f t="shared" si="23"/>
        <v>2</v>
      </c>
      <c r="E30" t="str">
        <f t="shared" si="0"/>
        <v>ATECc2</v>
      </c>
      <c r="F30">
        <f t="shared" si="23"/>
        <v>2</v>
      </c>
      <c r="G30">
        <v>1</v>
      </c>
      <c r="H30">
        <v>35</v>
      </c>
      <c r="I30">
        <v>2</v>
      </c>
      <c r="J30">
        <f t="shared" si="1"/>
        <v>0.01</v>
      </c>
      <c r="K30" s="1">
        <f t="shared" si="2"/>
        <v>175000</v>
      </c>
      <c r="L30">
        <f t="shared" si="17"/>
        <v>295000000</v>
      </c>
      <c r="M30" s="2">
        <f t="shared" si="3"/>
        <v>5.9322033898305082E-4</v>
      </c>
    </row>
    <row r="31" spans="1:13" x14ac:dyDescent="0.2">
      <c r="A31">
        <v>1</v>
      </c>
      <c r="B31">
        <f t="shared" ref="B31:F31" si="24">B10</f>
        <v>9</v>
      </c>
      <c r="C31" t="str">
        <f t="shared" si="24"/>
        <v>ATECc</v>
      </c>
      <c r="D31">
        <f t="shared" si="24"/>
        <v>2</v>
      </c>
      <c r="E31" t="str">
        <f t="shared" si="0"/>
        <v>ATECc2</v>
      </c>
      <c r="F31">
        <f t="shared" si="24"/>
        <v>3</v>
      </c>
      <c r="G31">
        <v>1</v>
      </c>
      <c r="H31">
        <v>43</v>
      </c>
      <c r="I31">
        <v>2</v>
      </c>
      <c r="J31">
        <f t="shared" si="1"/>
        <v>0.01</v>
      </c>
      <c r="K31" s="1">
        <f t="shared" si="2"/>
        <v>215000</v>
      </c>
      <c r="L31">
        <f t="shared" si="17"/>
        <v>224999999.99999997</v>
      </c>
      <c r="M31" s="2">
        <f t="shared" si="3"/>
        <v>9.5555555555555563E-4</v>
      </c>
    </row>
    <row r="32" spans="1:13" x14ac:dyDescent="0.2">
      <c r="A32">
        <v>1</v>
      </c>
      <c r="B32">
        <f t="shared" ref="B32:F32" si="25">B11</f>
        <v>10</v>
      </c>
      <c r="C32" t="str">
        <f t="shared" si="25"/>
        <v>ATECc</v>
      </c>
      <c r="D32">
        <f t="shared" si="25"/>
        <v>3</v>
      </c>
      <c r="E32" t="str">
        <f t="shared" si="0"/>
        <v>ATECc3</v>
      </c>
      <c r="F32">
        <f t="shared" si="25"/>
        <v>1</v>
      </c>
      <c r="G32">
        <v>1</v>
      </c>
      <c r="H32">
        <v>91</v>
      </c>
      <c r="I32">
        <v>1</v>
      </c>
      <c r="J32">
        <f t="shared" si="1"/>
        <v>0.1</v>
      </c>
      <c r="K32" s="1">
        <f t="shared" si="2"/>
        <v>45500</v>
      </c>
      <c r="L32">
        <f t="shared" si="17"/>
        <v>254999999.99999997</v>
      </c>
      <c r="M32" s="2">
        <f t="shared" si="3"/>
        <v>1.7843137254901963E-4</v>
      </c>
    </row>
    <row r="33" spans="1:13" x14ac:dyDescent="0.2">
      <c r="A33">
        <v>1</v>
      </c>
      <c r="B33">
        <f t="shared" ref="B33:F33" si="26">B12</f>
        <v>11</v>
      </c>
      <c r="C33" t="str">
        <f t="shared" si="26"/>
        <v>ATECc</v>
      </c>
      <c r="D33">
        <f t="shared" si="26"/>
        <v>3</v>
      </c>
      <c r="E33" t="str">
        <f t="shared" si="0"/>
        <v>ATECc3</v>
      </c>
      <c r="F33">
        <f t="shared" si="26"/>
        <v>2</v>
      </c>
      <c r="G33">
        <v>1</v>
      </c>
      <c r="H33">
        <v>88</v>
      </c>
      <c r="I33">
        <v>1</v>
      </c>
      <c r="J33">
        <f t="shared" si="1"/>
        <v>0.1</v>
      </c>
      <c r="K33" s="1">
        <f t="shared" si="2"/>
        <v>44000</v>
      </c>
      <c r="L33">
        <f t="shared" si="17"/>
        <v>254999999.99999997</v>
      </c>
      <c r="M33" s="2">
        <f t="shared" si="3"/>
        <v>1.7254901960784316E-4</v>
      </c>
    </row>
    <row r="34" spans="1:13" x14ac:dyDescent="0.2">
      <c r="A34">
        <v>1</v>
      </c>
      <c r="B34">
        <f t="shared" ref="B34:F34" si="27">B13</f>
        <v>12</v>
      </c>
      <c r="C34" t="str">
        <f t="shared" si="27"/>
        <v>ATECc</v>
      </c>
      <c r="D34">
        <f t="shared" si="27"/>
        <v>3</v>
      </c>
      <c r="E34" t="str">
        <f t="shared" si="0"/>
        <v>ATECc3</v>
      </c>
      <c r="F34">
        <f t="shared" si="27"/>
        <v>3</v>
      </c>
      <c r="G34">
        <v>1</v>
      </c>
      <c r="H34">
        <v>89</v>
      </c>
      <c r="I34">
        <v>1</v>
      </c>
      <c r="J34">
        <f t="shared" si="1"/>
        <v>0.1</v>
      </c>
      <c r="K34" s="1">
        <f t="shared" si="2"/>
        <v>44500</v>
      </c>
      <c r="L34">
        <f t="shared" si="17"/>
        <v>204999999.99999997</v>
      </c>
      <c r="M34" s="2">
        <f t="shared" si="3"/>
        <v>2.1707317073170734E-4</v>
      </c>
    </row>
    <row r="35" spans="1:13" x14ac:dyDescent="0.2">
      <c r="A35">
        <v>1</v>
      </c>
      <c r="B35">
        <f t="shared" ref="B35:F35" si="28">B14</f>
        <v>13</v>
      </c>
      <c r="C35" t="str">
        <f t="shared" si="28"/>
        <v>ATECc</v>
      </c>
      <c r="D35">
        <f t="shared" si="28"/>
        <v>4</v>
      </c>
      <c r="E35" t="str">
        <f t="shared" si="0"/>
        <v>ATECc4</v>
      </c>
      <c r="F35">
        <f t="shared" si="28"/>
        <v>1</v>
      </c>
      <c r="G35">
        <v>1</v>
      </c>
      <c r="H35">
        <v>74</v>
      </c>
      <c r="I35">
        <v>2</v>
      </c>
      <c r="J35">
        <f t="shared" si="1"/>
        <v>0.01</v>
      </c>
      <c r="K35" s="1">
        <f t="shared" si="2"/>
        <v>370000</v>
      </c>
      <c r="L35">
        <f t="shared" si="17"/>
        <v>174999999.99999997</v>
      </c>
      <c r="M35" s="2">
        <f t="shared" si="3"/>
        <v>2.1142857142857148E-3</v>
      </c>
    </row>
    <row r="36" spans="1:13" x14ac:dyDescent="0.2">
      <c r="A36">
        <v>1</v>
      </c>
      <c r="B36">
        <f t="shared" ref="B36:F36" si="29">B15</f>
        <v>14</v>
      </c>
      <c r="C36" t="str">
        <f t="shared" si="29"/>
        <v>ATECc</v>
      </c>
      <c r="D36">
        <f t="shared" si="29"/>
        <v>4</v>
      </c>
      <c r="E36" t="str">
        <f t="shared" si="0"/>
        <v>ATECc4</v>
      </c>
      <c r="F36">
        <f t="shared" si="29"/>
        <v>2</v>
      </c>
      <c r="G36">
        <v>1</v>
      </c>
      <c r="H36">
        <v>85</v>
      </c>
      <c r="I36">
        <v>2</v>
      </c>
      <c r="J36">
        <f t="shared" si="1"/>
        <v>0.01</v>
      </c>
      <c r="K36" s="1">
        <f t="shared" si="2"/>
        <v>425000</v>
      </c>
      <c r="L36">
        <f t="shared" si="17"/>
        <v>145000000</v>
      </c>
      <c r="M36" s="2">
        <f t="shared" si="3"/>
        <v>2.9310344827586207E-3</v>
      </c>
    </row>
    <row r="37" spans="1:13" x14ac:dyDescent="0.2">
      <c r="A37">
        <v>1</v>
      </c>
      <c r="B37">
        <f t="shared" ref="B37:F37" si="30">B16</f>
        <v>15</v>
      </c>
      <c r="C37" t="str">
        <f t="shared" si="30"/>
        <v>ATECc</v>
      </c>
      <c r="D37">
        <f t="shared" si="30"/>
        <v>4</v>
      </c>
      <c r="E37" t="str">
        <f t="shared" si="0"/>
        <v>ATECc4</v>
      </c>
      <c r="F37">
        <f t="shared" si="30"/>
        <v>3</v>
      </c>
      <c r="G37">
        <v>1</v>
      </c>
      <c r="H37">
        <v>69</v>
      </c>
      <c r="I37">
        <v>2</v>
      </c>
      <c r="J37">
        <f t="shared" si="1"/>
        <v>0.01</v>
      </c>
      <c r="K37" s="1">
        <f t="shared" si="2"/>
        <v>345000</v>
      </c>
      <c r="L37">
        <f t="shared" si="17"/>
        <v>184999999.99999997</v>
      </c>
      <c r="M37" s="2">
        <f t="shared" si="3"/>
        <v>1.8648648648648652E-3</v>
      </c>
    </row>
    <row r="38" spans="1:13" x14ac:dyDescent="0.2">
      <c r="A38">
        <v>1</v>
      </c>
      <c r="B38">
        <f t="shared" ref="B38:F38" si="31">B17</f>
        <v>16</v>
      </c>
      <c r="C38" t="str">
        <f t="shared" si="31"/>
        <v>ATECc</v>
      </c>
      <c r="D38">
        <f t="shared" si="31"/>
        <v>5</v>
      </c>
      <c r="E38" t="str">
        <f t="shared" si="0"/>
        <v>ATECc5</v>
      </c>
      <c r="F38">
        <f t="shared" si="31"/>
        <v>1</v>
      </c>
      <c r="G38">
        <v>1</v>
      </c>
      <c r="H38">
        <v>76</v>
      </c>
      <c r="I38">
        <v>4</v>
      </c>
      <c r="J38">
        <f t="shared" si="1"/>
        <v>1E-4</v>
      </c>
      <c r="K38" s="1">
        <f t="shared" si="2"/>
        <v>37999999.999999993</v>
      </c>
      <c r="L38">
        <f t="shared" si="17"/>
        <v>229999999.99999997</v>
      </c>
      <c r="M38" s="2">
        <f t="shared" si="3"/>
        <v>0.16521739130434782</v>
      </c>
    </row>
    <row r="39" spans="1:13" x14ac:dyDescent="0.2">
      <c r="A39">
        <v>1</v>
      </c>
      <c r="B39">
        <f t="shared" ref="B39:F39" si="32">B18</f>
        <v>17</v>
      </c>
      <c r="C39" t="str">
        <f t="shared" si="32"/>
        <v>ATECc</v>
      </c>
      <c r="D39">
        <f t="shared" si="32"/>
        <v>5</v>
      </c>
      <c r="E39" t="str">
        <f t="shared" si="0"/>
        <v>ATECc5</v>
      </c>
      <c r="F39">
        <f t="shared" si="32"/>
        <v>2</v>
      </c>
      <c r="G39">
        <v>1</v>
      </c>
      <c r="H39">
        <v>85</v>
      </c>
      <c r="I39">
        <v>4</v>
      </c>
      <c r="J39">
        <f t="shared" si="1"/>
        <v>1E-4</v>
      </c>
      <c r="K39" s="1">
        <f t="shared" si="2"/>
        <v>42499999.999999993</v>
      </c>
      <c r="L39">
        <f t="shared" si="17"/>
        <v>184999999.99999997</v>
      </c>
      <c r="M39" s="2">
        <f t="shared" si="3"/>
        <v>0.22972972972972971</v>
      </c>
    </row>
    <row r="40" spans="1:13" x14ac:dyDescent="0.2">
      <c r="A40">
        <v>1</v>
      </c>
      <c r="B40">
        <f t="shared" ref="B40:F40" si="33">B19</f>
        <v>18</v>
      </c>
      <c r="C40" t="str">
        <f t="shared" si="33"/>
        <v>ATECc</v>
      </c>
      <c r="D40">
        <f t="shared" si="33"/>
        <v>5</v>
      </c>
      <c r="E40" t="str">
        <f t="shared" si="0"/>
        <v>ATECc5</v>
      </c>
      <c r="F40">
        <f t="shared" si="33"/>
        <v>3</v>
      </c>
      <c r="G40">
        <v>1</v>
      </c>
      <c r="H40">
        <v>79</v>
      </c>
      <c r="I40">
        <v>4</v>
      </c>
      <c r="J40">
        <f t="shared" si="1"/>
        <v>1E-4</v>
      </c>
      <c r="K40" s="1">
        <f t="shared" si="2"/>
        <v>39499999.999999993</v>
      </c>
      <c r="L40">
        <f t="shared" si="17"/>
        <v>150000000</v>
      </c>
      <c r="M40" s="2">
        <f t="shared" si="3"/>
        <v>0.26333333333333331</v>
      </c>
    </row>
    <row r="41" spans="1:13" x14ac:dyDescent="0.2">
      <c r="A41">
        <v>1</v>
      </c>
      <c r="B41">
        <f t="shared" ref="B41:F41" si="34">B20</f>
        <v>19</v>
      </c>
      <c r="C41" t="str">
        <f t="shared" si="34"/>
        <v>ATECc</v>
      </c>
      <c r="D41">
        <f t="shared" si="34"/>
        <v>6</v>
      </c>
      <c r="E41" t="str">
        <f t="shared" si="0"/>
        <v>ATECc6</v>
      </c>
      <c r="F41">
        <f t="shared" si="34"/>
        <v>1</v>
      </c>
      <c r="G41">
        <v>1</v>
      </c>
      <c r="H41">
        <v>14</v>
      </c>
      <c r="I41">
        <v>4</v>
      </c>
      <c r="J41">
        <f t="shared" si="1"/>
        <v>1E-4</v>
      </c>
      <c r="K41" s="1">
        <f t="shared" si="2"/>
        <v>6999999.9999999991</v>
      </c>
      <c r="L41">
        <f t="shared" si="17"/>
        <v>204999999.99999997</v>
      </c>
      <c r="M41" s="2">
        <f t="shared" si="3"/>
        <v>3.4146341463414637E-2</v>
      </c>
    </row>
    <row r="42" spans="1:13" x14ac:dyDescent="0.2">
      <c r="A42">
        <v>1</v>
      </c>
      <c r="B42">
        <f t="shared" ref="B42:F42" si="35">B21</f>
        <v>20</v>
      </c>
      <c r="C42" t="str">
        <f t="shared" si="35"/>
        <v>ATECc</v>
      </c>
      <c r="D42">
        <f t="shared" si="35"/>
        <v>6</v>
      </c>
      <c r="E42" t="str">
        <f t="shared" si="0"/>
        <v>ATECc6</v>
      </c>
      <c r="F42">
        <f t="shared" si="35"/>
        <v>2</v>
      </c>
      <c r="G42">
        <v>1</v>
      </c>
      <c r="H42">
        <v>25</v>
      </c>
      <c r="I42">
        <v>4</v>
      </c>
      <c r="J42">
        <f t="shared" si="1"/>
        <v>1E-4</v>
      </c>
      <c r="K42" s="1">
        <f t="shared" si="2"/>
        <v>12499999.999999998</v>
      </c>
      <c r="L42">
        <f t="shared" si="17"/>
        <v>204999999.99999997</v>
      </c>
      <c r="M42" s="2">
        <f t="shared" si="3"/>
        <v>6.097560975609756E-2</v>
      </c>
    </row>
    <row r="43" spans="1:13" x14ac:dyDescent="0.2">
      <c r="A43">
        <v>1</v>
      </c>
      <c r="B43">
        <f t="shared" ref="B43:F43" si="36">B22</f>
        <v>21</v>
      </c>
      <c r="C43" t="str">
        <f t="shared" si="36"/>
        <v>ATECc</v>
      </c>
      <c r="D43">
        <f t="shared" si="36"/>
        <v>6</v>
      </c>
      <c r="E43" t="str">
        <f t="shared" si="0"/>
        <v>ATECc6</v>
      </c>
      <c r="F43">
        <f t="shared" si="36"/>
        <v>3</v>
      </c>
      <c r="G43">
        <v>1</v>
      </c>
      <c r="H43">
        <v>28</v>
      </c>
      <c r="I43">
        <v>4</v>
      </c>
      <c r="J43">
        <f t="shared" si="1"/>
        <v>1E-4</v>
      </c>
      <c r="K43" s="1">
        <f t="shared" si="2"/>
        <v>13999999.999999998</v>
      </c>
      <c r="L43">
        <f t="shared" si="17"/>
        <v>234999999.99999997</v>
      </c>
      <c r="M43" s="2">
        <f t="shared" si="3"/>
        <v>5.9574468085106386E-2</v>
      </c>
    </row>
    <row r="44" spans="1:13" x14ac:dyDescent="0.2">
      <c r="A44">
        <v>1</v>
      </c>
      <c r="B44">
        <f t="shared" ref="B44:F44" si="37">B23</f>
        <v>1</v>
      </c>
      <c r="C44" t="str">
        <f t="shared" si="37"/>
        <v>ATEC</v>
      </c>
      <c r="D44">
        <f t="shared" si="37"/>
        <v>1</v>
      </c>
      <c r="E44" t="str">
        <f t="shared" si="0"/>
        <v>ATEC1</v>
      </c>
      <c r="F44">
        <f t="shared" si="37"/>
        <v>1</v>
      </c>
      <c r="G44">
        <v>2</v>
      </c>
      <c r="H44">
        <v>35</v>
      </c>
      <c r="I44">
        <v>0</v>
      </c>
      <c r="J44">
        <f t="shared" si="1"/>
        <v>1</v>
      </c>
      <c r="K44" s="1">
        <f t="shared" si="2"/>
        <v>1750</v>
      </c>
      <c r="L44">
        <f t="shared" si="17"/>
        <v>229999999.99999997</v>
      </c>
      <c r="M44" s="2">
        <f t="shared" si="3"/>
        <v>7.6086956521739141E-6</v>
      </c>
    </row>
    <row r="45" spans="1:13" x14ac:dyDescent="0.2">
      <c r="A45">
        <v>1</v>
      </c>
      <c r="B45">
        <f t="shared" ref="B45:F45" si="38">B24</f>
        <v>2</v>
      </c>
      <c r="C45" t="str">
        <f t="shared" si="38"/>
        <v>ATEC</v>
      </c>
      <c r="D45">
        <f t="shared" si="38"/>
        <v>1</v>
      </c>
      <c r="E45" t="str">
        <f t="shared" si="0"/>
        <v>ATEC1</v>
      </c>
      <c r="F45">
        <f t="shared" si="38"/>
        <v>2</v>
      </c>
      <c r="G45">
        <v>2</v>
      </c>
      <c r="H45">
        <v>49</v>
      </c>
      <c r="I45">
        <v>0</v>
      </c>
      <c r="J45">
        <f t="shared" si="1"/>
        <v>1</v>
      </c>
      <c r="K45" s="1">
        <f t="shared" si="2"/>
        <v>2450</v>
      </c>
      <c r="L45">
        <f t="shared" si="17"/>
        <v>244999999.99999997</v>
      </c>
      <c r="M45" s="2">
        <f t="shared" si="3"/>
        <v>1.0000000000000001E-5</v>
      </c>
    </row>
    <row r="46" spans="1:13" x14ac:dyDescent="0.2">
      <c r="A46">
        <v>1</v>
      </c>
      <c r="B46">
        <f t="shared" ref="B46:F46" si="39">B25</f>
        <v>3</v>
      </c>
      <c r="C46" t="str">
        <f t="shared" si="39"/>
        <v>ATEC</v>
      </c>
      <c r="D46">
        <f t="shared" si="39"/>
        <v>1</v>
      </c>
      <c r="E46" t="str">
        <f t="shared" si="0"/>
        <v>ATEC1</v>
      </c>
      <c r="F46">
        <f t="shared" si="39"/>
        <v>3</v>
      </c>
      <c r="G46">
        <v>2</v>
      </c>
      <c r="H46">
        <v>70</v>
      </c>
      <c r="I46">
        <v>0</v>
      </c>
      <c r="J46">
        <f t="shared" si="1"/>
        <v>1</v>
      </c>
      <c r="K46" s="1">
        <f t="shared" si="2"/>
        <v>3500</v>
      </c>
      <c r="L46">
        <f t="shared" si="17"/>
        <v>280000000</v>
      </c>
      <c r="M46" s="2">
        <f t="shared" si="3"/>
        <v>1.2500000000000001E-5</v>
      </c>
    </row>
    <row r="47" spans="1:13" x14ac:dyDescent="0.2">
      <c r="A47">
        <v>1</v>
      </c>
      <c r="B47">
        <f t="shared" ref="B47:F47" si="40">B26</f>
        <v>4</v>
      </c>
      <c r="C47" t="str">
        <f t="shared" si="40"/>
        <v>ATECc</v>
      </c>
      <c r="D47">
        <f t="shared" si="40"/>
        <v>1</v>
      </c>
      <c r="E47" t="str">
        <f t="shared" si="0"/>
        <v>ATECc1</v>
      </c>
      <c r="F47">
        <f t="shared" si="40"/>
        <v>1</v>
      </c>
      <c r="G47">
        <v>2</v>
      </c>
      <c r="H47">
        <v>25</v>
      </c>
      <c r="I47">
        <v>4</v>
      </c>
      <c r="J47">
        <f t="shared" si="1"/>
        <v>1E-4</v>
      </c>
      <c r="K47" s="1">
        <f t="shared" si="2"/>
        <v>12499999.999999998</v>
      </c>
      <c r="L47">
        <f t="shared" si="17"/>
        <v>150000000</v>
      </c>
      <c r="M47" s="2">
        <f t="shared" si="3"/>
        <v>8.3333333333333315E-2</v>
      </c>
    </row>
    <row r="48" spans="1:13" x14ac:dyDescent="0.2">
      <c r="A48">
        <v>1</v>
      </c>
      <c r="B48">
        <f t="shared" ref="B48:F48" si="41">B27</f>
        <v>5</v>
      </c>
      <c r="C48" t="str">
        <f t="shared" si="41"/>
        <v>ATECc</v>
      </c>
      <c r="D48">
        <f t="shared" si="41"/>
        <v>1</v>
      </c>
      <c r="E48" t="str">
        <f t="shared" si="0"/>
        <v>ATECc1</v>
      </c>
      <c r="F48">
        <f t="shared" si="41"/>
        <v>2</v>
      </c>
      <c r="G48">
        <v>2</v>
      </c>
      <c r="H48">
        <v>20</v>
      </c>
      <c r="I48">
        <v>4</v>
      </c>
      <c r="J48">
        <f t="shared" si="1"/>
        <v>1E-4</v>
      </c>
      <c r="K48" s="1">
        <f t="shared" si="2"/>
        <v>9999999.9999999981</v>
      </c>
      <c r="L48">
        <f t="shared" si="17"/>
        <v>140000000</v>
      </c>
      <c r="M48" s="2">
        <f t="shared" si="3"/>
        <v>7.1428571428571411E-2</v>
      </c>
    </row>
    <row r="49" spans="1:13" x14ac:dyDescent="0.2">
      <c r="A49">
        <v>1</v>
      </c>
      <c r="B49">
        <f t="shared" ref="B49:F49" si="42">B28</f>
        <v>6</v>
      </c>
      <c r="C49" t="str">
        <f t="shared" si="42"/>
        <v>ATECc</v>
      </c>
      <c r="D49">
        <f t="shared" si="42"/>
        <v>1</v>
      </c>
      <c r="E49" t="str">
        <f t="shared" si="0"/>
        <v>ATECc1</v>
      </c>
      <c r="F49">
        <f t="shared" si="42"/>
        <v>3</v>
      </c>
      <c r="G49">
        <v>2</v>
      </c>
      <c r="H49">
        <v>20</v>
      </c>
      <c r="I49">
        <v>4</v>
      </c>
      <c r="J49">
        <f t="shared" si="1"/>
        <v>1E-4</v>
      </c>
      <c r="K49" s="1">
        <f t="shared" si="2"/>
        <v>9999999.9999999981</v>
      </c>
      <c r="L49">
        <f t="shared" si="17"/>
        <v>184999999.99999997</v>
      </c>
      <c r="M49" s="2">
        <f t="shared" si="3"/>
        <v>5.405405405405405E-2</v>
      </c>
    </row>
    <row r="50" spans="1:13" x14ac:dyDescent="0.2">
      <c r="A50">
        <v>1</v>
      </c>
      <c r="B50">
        <f t="shared" ref="B50:F50" si="43">B29</f>
        <v>7</v>
      </c>
      <c r="C50" t="str">
        <f t="shared" si="43"/>
        <v>ATECc</v>
      </c>
      <c r="D50">
        <f t="shared" si="43"/>
        <v>2</v>
      </c>
      <c r="E50" t="str">
        <f t="shared" si="0"/>
        <v>ATECc2</v>
      </c>
      <c r="F50">
        <f t="shared" si="43"/>
        <v>1</v>
      </c>
      <c r="G50">
        <v>2</v>
      </c>
      <c r="H50">
        <v>69</v>
      </c>
      <c r="I50">
        <v>1</v>
      </c>
      <c r="J50">
        <f t="shared" si="1"/>
        <v>0.1</v>
      </c>
      <c r="K50" s="1">
        <f t="shared" si="2"/>
        <v>34500</v>
      </c>
      <c r="L50">
        <f t="shared" si="17"/>
        <v>184999999.99999997</v>
      </c>
      <c r="M50" s="2">
        <f t="shared" si="3"/>
        <v>1.8648648648648651E-4</v>
      </c>
    </row>
    <row r="51" spans="1:13" x14ac:dyDescent="0.2">
      <c r="A51">
        <v>1</v>
      </c>
      <c r="B51">
        <f t="shared" ref="B51:F51" si="44">B30</f>
        <v>8</v>
      </c>
      <c r="C51" t="str">
        <f t="shared" si="44"/>
        <v>ATECc</v>
      </c>
      <c r="D51">
        <f t="shared" si="44"/>
        <v>2</v>
      </c>
      <c r="E51" t="str">
        <f t="shared" si="0"/>
        <v>ATECc2</v>
      </c>
      <c r="F51">
        <f t="shared" si="44"/>
        <v>2</v>
      </c>
      <c r="G51">
        <v>2</v>
      </c>
      <c r="H51">
        <v>79</v>
      </c>
      <c r="I51">
        <v>1</v>
      </c>
      <c r="J51">
        <f t="shared" si="1"/>
        <v>0.1</v>
      </c>
      <c r="K51" s="1">
        <f t="shared" si="2"/>
        <v>39500</v>
      </c>
      <c r="L51">
        <f t="shared" si="17"/>
        <v>295000000</v>
      </c>
      <c r="M51" s="2">
        <f t="shared" si="3"/>
        <v>1.3389830508474577E-4</v>
      </c>
    </row>
    <row r="52" spans="1:13" x14ac:dyDescent="0.2">
      <c r="A52">
        <v>1</v>
      </c>
      <c r="B52">
        <f t="shared" ref="B52:F52" si="45">B31</f>
        <v>9</v>
      </c>
      <c r="C52" t="str">
        <f t="shared" si="45"/>
        <v>ATECc</v>
      </c>
      <c r="D52">
        <f t="shared" si="45"/>
        <v>2</v>
      </c>
      <c r="E52" t="str">
        <f t="shared" si="0"/>
        <v>ATECc2</v>
      </c>
      <c r="F52">
        <f t="shared" si="45"/>
        <v>3</v>
      </c>
      <c r="G52">
        <v>2</v>
      </c>
      <c r="H52">
        <v>81</v>
      </c>
      <c r="I52">
        <v>1</v>
      </c>
      <c r="J52">
        <f t="shared" si="1"/>
        <v>0.1</v>
      </c>
      <c r="K52" s="1">
        <f t="shared" si="2"/>
        <v>40500</v>
      </c>
      <c r="L52">
        <f t="shared" si="17"/>
        <v>224999999.99999997</v>
      </c>
      <c r="M52" s="2">
        <f t="shared" si="3"/>
        <v>1.8000000000000001E-4</v>
      </c>
    </row>
    <row r="53" spans="1:13" x14ac:dyDescent="0.2">
      <c r="A53">
        <v>1</v>
      </c>
      <c r="B53">
        <f t="shared" ref="B53:F53" si="46">B32</f>
        <v>10</v>
      </c>
      <c r="C53" t="str">
        <f t="shared" si="46"/>
        <v>ATECc</v>
      </c>
      <c r="D53">
        <f t="shared" si="46"/>
        <v>3</v>
      </c>
      <c r="E53" t="str">
        <f t="shared" si="0"/>
        <v>ATECc3</v>
      </c>
      <c r="F53">
        <f t="shared" si="46"/>
        <v>1</v>
      </c>
      <c r="G53">
        <v>2</v>
      </c>
      <c r="H53">
        <v>42</v>
      </c>
      <c r="I53">
        <v>1</v>
      </c>
      <c r="J53">
        <f t="shared" si="1"/>
        <v>0.1</v>
      </c>
      <c r="K53" s="1">
        <f t="shared" si="2"/>
        <v>21000</v>
      </c>
      <c r="L53">
        <f t="shared" si="17"/>
        <v>254999999.99999997</v>
      </c>
      <c r="M53" s="2">
        <f t="shared" si="3"/>
        <v>8.2352941176470595E-5</v>
      </c>
    </row>
    <row r="54" spans="1:13" x14ac:dyDescent="0.2">
      <c r="A54">
        <v>1</v>
      </c>
      <c r="B54">
        <f t="shared" ref="B54:F54" si="47">B33</f>
        <v>11</v>
      </c>
      <c r="C54" t="str">
        <f t="shared" si="47"/>
        <v>ATECc</v>
      </c>
      <c r="D54">
        <f t="shared" si="47"/>
        <v>3</v>
      </c>
      <c r="E54" t="str">
        <f t="shared" si="0"/>
        <v>ATECc3</v>
      </c>
      <c r="F54">
        <f t="shared" si="47"/>
        <v>2</v>
      </c>
      <c r="G54">
        <v>2</v>
      </c>
      <c r="H54">
        <v>44</v>
      </c>
      <c r="I54">
        <v>1</v>
      </c>
      <c r="J54">
        <f t="shared" si="1"/>
        <v>0.1</v>
      </c>
      <c r="K54" s="1">
        <f t="shared" si="2"/>
        <v>22000</v>
      </c>
      <c r="L54">
        <f t="shared" si="17"/>
        <v>254999999.99999997</v>
      </c>
      <c r="M54" s="2">
        <f t="shared" si="3"/>
        <v>8.6274509803921579E-5</v>
      </c>
    </row>
    <row r="55" spans="1:13" x14ac:dyDescent="0.2">
      <c r="A55">
        <v>1</v>
      </c>
      <c r="B55">
        <f t="shared" ref="B55:F55" si="48">B34</f>
        <v>12</v>
      </c>
      <c r="C55" t="str">
        <f t="shared" si="48"/>
        <v>ATECc</v>
      </c>
      <c r="D55">
        <f t="shared" si="48"/>
        <v>3</v>
      </c>
      <c r="E55" t="str">
        <f t="shared" si="0"/>
        <v>ATECc3</v>
      </c>
      <c r="F55">
        <f t="shared" si="48"/>
        <v>3</v>
      </c>
      <c r="G55">
        <v>2</v>
      </c>
      <c r="H55">
        <v>48</v>
      </c>
      <c r="I55">
        <v>1</v>
      </c>
      <c r="J55">
        <f t="shared" si="1"/>
        <v>0.1</v>
      </c>
      <c r="K55" s="1">
        <f t="shared" si="2"/>
        <v>24000</v>
      </c>
      <c r="L55">
        <f t="shared" si="17"/>
        <v>204999999.99999997</v>
      </c>
      <c r="M55" s="2">
        <f t="shared" si="3"/>
        <v>1.1707317073170733E-4</v>
      </c>
    </row>
    <row r="56" spans="1:13" x14ac:dyDescent="0.2">
      <c r="A56">
        <v>1</v>
      </c>
      <c r="B56">
        <f t="shared" ref="B56:F56" si="49">B35</f>
        <v>13</v>
      </c>
      <c r="C56" t="str">
        <f t="shared" si="49"/>
        <v>ATECc</v>
      </c>
      <c r="D56">
        <f t="shared" si="49"/>
        <v>4</v>
      </c>
      <c r="E56" t="str">
        <f t="shared" si="0"/>
        <v>ATECc4</v>
      </c>
      <c r="F56">
        <f t="shared" si="49"/>
        <v>1</v>
      </c>
      <c r="G56">
        <v>2</v>
      </c>
      <c r="H56">
        <v>25</v>
      </c>
      <c r="I56">
        <v>2</v>
      </c>
      <c r="J56">
        <f t="shared" si="1"/>
        <v>0.01</v>
      </c>
      <c r="K56" s="1">
        <f t="shared" si="2"/>
        <v>125000</v>
      </c>
      <c r="L56">
        <f t="shared" si="17"/>
        <v>174999999.99999997</v>
      </c>
      <c r="M56" s="2">
        <f t="shared" si="3"/>
        <v>7.1428571428571439E-4</v>
      </c>
    </row>
    <row r="57" spans="1:13" x14ac:dyDescent="0.2">
      <c r="A57">
        <v>1</v>
      </c>
      <c r="B57">
        <f t="shared" ref="B57:F57" si="50">B36</f>
        <v>14</v>
      </c>
      <c r="C57" t="str">
        <f t="shared" si="50"/>
        <v>ATECc</v>
      </c>
      <c r="D57">
        <f t="shared" si="50"/>
        <v>4</v>
      </c>
      <c r="E57" t="str">
        <f t="shared" si="0"/>
        <v>ATECc4</v>
      </c>
      <c r="F57">
        <f t="shared" si="50"/>
        <v>2</v>
      </c>
      <c r="G57">
        <v>2</v>
      </c>
      <c r="H57">
        <v>30</v>
      </c>
      <c r="I57">
        <v>2</v>
      </c>
      <c r="J57">
        <f t="shared" si="1"/>
        <v>0.01</v>
      </c>
      <c r="K57" s="1">
        <f t="shared" si="2"/>
        <v>150000</v>
      </c>
      <c r="L57">
        <f t="shared" si="17"/>
        <v>145000000</v>
      </c>
      <c r="M57" s="2">
        <f t="shared" si="3"/>
        <v>1.0344827586206897E-3</v>
      </c>
    </row>
    <row r="58" spans="1:13" x14ac:dyDescent="0.2">
      <c r="A58">
        <v>1</v>
      </c>
      <c r="B58">
        <f t="shared" ref="B58:F58" si="51">B37</f>
        <v>15</v>
      </c>
      <c r="C58" t="str">
        <f t="shared" si="51"/>
        <v>ATECc</v>
      </c>
      <c r="D58">
        <f t="shared" si="51"/>
        <v>4</v>
      </c>
      <c r="E58" t="str">
        <f t="shared" si="0"/>
        <v>ATECc4</v>
      </c>
      <c r="F58">
        <f t="shared" si="51"/>
        <v>3</v>
      </c>
      <c r="G58">
        <v>2</v>
      </c>
      <c r="H58">
        <v>19</v>
      </c>
      <c r="I58">
        <v>2</v>
      </c>
      <c r="J58">
        <f t="shared" si="1"/>
        <v>0.01</v>
      </c>
      <c r="K58" s="1">
        <f t="shared" si="2"/>
        <v>95000</v>
      </c>
      <c r="L58">
        <f t="shared" si="17"/>
        <v>184999999.99999997</v>
      </c>
      <c r="M58" s="2">
        <f t="shared" si="3"/>
        <v>5.1351351351351356E-4</v>
      </c>
    </row>
    <row r="59" spans="1:13" x14ac:dyDescent="0.2">
      <c r="A59">
        <v>1</v>
      </c>
      <c r="B59">
        <f t="shared" ref="B59:F59" si="52">B38</f>
        <v>16</v>
      </c>
      <c r="C59" t="str">
        <f t="shared" si="52"/>
        <v>ATECc</v>
      </c>
      <c r="D59">
        <f t="shared" si="52"/>
        <v>5</v>
      </c>
      <c r="E59" t="str">
        <f t="shared" si="0"/>
        <v>ATECc5</v>
      </c>
      <c r="F59">
        <f t="shared" si="52"/>
        <v>1</v>
      </c>
      <c r="G59">
        <v>2</v>
      </c>
      <c r="H59">
        <v>62</v>
      </c>
      <c r="I59">
        <v>4</v>
      </c>
      <c r="J59">
        <f t="shared" si="1"/>
        <v>1E-4</v>
      </c>
      <c r="K59" s="1">
        <f t="shared" si="2"/>
        <v>30999999.999999996</v>
      </c>
      <c r="L59">
        <f t="shared" si="17"/>
        <v>229999999.99999997</v>
      </c>
      <c r="M59" s="2">
        <f t="shared" si="3"/>
        <v>0.13478260869565217</v>
      </c>
    </row>
    <row r="60" spans="1:13" x14ac:dyDescent="0.2">
      <c r="A60">
        <v>1</v>
      </c>
      <c r="B60">
        <f t="shared" ref="B60:F60" si="53">B39</f>
        <v>17</v>
      </c>
      <c r="C60" t="str">
        <f t="shared" si="53"/>
        <v>ATECc</v>
      </c>
      <c r="D60">
        <f t="shared" si="53"/>
        <v>5</v>
      </c>
      <c r="E60" t="str">
        <f t="shared" si="0"/>
        <v>ATECc5</v>
      </c>
      <c r="F60">
        <f t="shared" si="53"/>
        <v>2</v>
      </c>
      <c r="G60">
        <v>2</v>
      </c>
      <c r="H60">
        <v>63</v>
      </c>
      <c r="I60">
        <v>4</v>
      </c>
      <c r="J60">
        <f t="shared" si="1"/>
        <v>1E-4</v>
      </c>
      <c r="K60" s="1">
        <f t="shared" si="2"/>
        <v>31499999.999999996</v>
      </c>
      <c r="L60">
        <f t="shared" si="17"/>
        <v>184999999.99999997</v>
      </c>
      <c r="M60" s="2">
        <f t="shared" si="3"/>
        <v>0.17027027027027028</v>
      </c>
    </row>
    <row r="61" spans="1:13" x14ac:dyDescent="0.2">
      <c r="A61">
        <v>1</v>
      </c>
      <c r="B61">
        <f t="shared" ref="B61:F61" si="54">B40</f>
        <v>18</v>
      </c>
      <c r="C61" t="str">
        <f t="shared" si="54"/>
        <v>ATECc</v>
      </c>
      <c r="D61">
        <f t="shared" si="54"/>
        <v>5</v>
      </c>
      <c r="E61" t="str">
        <f t="shared" si="0"/>
        <v>ATECc5</v>
      </c>
      <c r="F61">
        <f t="shared" si="54"/>
        <v>3</v>
      </c>
      <c r="G61">
        <v>2</v>
      </c>
      <c r="H61">
        <v>55</v>
      </c>
      <c r="I61">
        <v>4</v>
      </c>
      <c r="J61">
        <f t="shared" si="1"/>
        <v>1E-4</v>
      </c>
      <c r="K61" s="1">
        <f t="shared" si="2"/>
        <v>27499999.999999996</v>
      </c>
      <c r="L61">
        <f t="shared" si="17"/>
        <v>150000000</v>
      </c>
      <c r="M61" s="2">
        <f t="shared" si="3"/>
        <v>0.18333333333333332</v>
      </c>
    </row>
    <row r="62" spans="1:13" x14ac:dyDescent="0.2">
      <c r="A62">
        <v>1</v>
      </c>
      <c r="B62">
        <f t="shared" ref="B62:F62" si="55">B41</f>
        <v>19</v>
      </c>
      <c r="C62" t="str">
        <f t="shared" si="55"/>
        <v>ATECc</v>
      </c>
      <c r="D62">
        <f t="shared" si="55"/>
        <v>6</v>
      </c>
      <c r="E62" t="str">
        <f t="shared" si="0"/>
        <v>ATECc6</v>
      </c>
      <c r="F62">
        <f t="shared" si="55"/>
        <v>1</v>
      </c>
      <c r="G62">
        <v>2</v>
      </c>
      <c r="H62">
        <v>11</v>
      </c>
      <c r="I62">
        <v>4</v>
      </c>
      <c r="J62">
        <f t="shared" si="1"/>
        <v>1E-4</v>
      </c>
      <c r="K62" s="1">
        <f t="shared" si="2"/>
        <v>5499999.9999999991</v>
      </c>
      <c r="L62">
        <f t="shared" si="17"/>
        <v>204999999.99999997</v>
      </c>
      <c r="M62" s="2">
        <f t="shared" si="3"/>
        <v>2.6829268292682926E-2</v>
      </c>
    </row>
    <row r="63" spans="1:13" x14ac:dyDescent="0.2">
      <c r="A63">
        <v>1</v>
      </c>
      <c r="B63">
        <f t="shared" ref="B63:F63" si="56">B42</f>
        <v>20</v>
      </c>
      <c r="C63" t="str">
        <f t="shared" si="56"/>
        <v>ATECc</v>
      </c>
      <c r="D63">
        <f t="shared" si="56"/>
        <v>6</v>
      </c>
      <c r="E63" t="str">
        <f t="shared" si="0"/>
        <v>ATECc6</v>
      </c>
      <c r="F63">
        <f t="shared" si="56"/>
        <v>2</v>
      </c>
      <c r="G63">
        <v>2</v>
      </c>
      <c r="H63">
        <v>18</v>
      </c>
      <c r="I63">
        <v>4</v>
      </c>
      <c r="J63">
        <f t="shared" si="1"/>
        <v>1E-4</v>
      </c>
      <c r="K63" s="1">
        <f t="shared" si="2"/>
        <v>8999999.9999999981</v>
      </c>
      <c r="L63">
        <f t="shared" si="17"/>
        <v>204999999.99999997</v>
      </c>
      <c r="M63" s="2">
        <f t="shared" si="3"/>
        <v>4.3902439024390241E-2</v>
      </c>
    </row>
    <row r="64" spans="1:13" x14ac:dyDescent="0.2">
      <c r="A64">
        <v>1</v>
      </c>
      <c r="B64">
        <f t="shared" ref="B64:F64" si="57">B43</f>
        <v>21</v>
      </c>
      <c r="C64" t="str">
        <f t="shared" si="57"/>
        <v>ATECc</v>
      </c>
      <c r="D64">
        <f t="shared" si="57"/>
        <v>6</v>
      </c>
      <c r="E64" t="str">
        <f t="shared" si="0"/>
        <v>ATECc6</v>
      </c>
      <c r="F64">
        <f t="shared" si="57"/>
        <v>3</v>
      </c>
      <c r="G64">
        <v>2</v>
      </c>
      <c r="H64">
        <v>18</v>
      </c>
      <c r="I64">
        <v>4</v>
      </c>
      <c r="J64">
        <f t="shared" si="1"/>
        <v>1E-4</v>
      </c>
      <c r="K64" s="1">
        <f t="shared" si="2"/>
        <v>8999999.9999999981</v>
      </c>
      <c r="L64">
        <f t="shared" si="17"/>
        <v>234999999.99999997</v>
      </c>
      <c r="M64" s="2">
        <f t="shared" si="3"/>
        <v>3.8297872340425532E-2</v>
      </c>
    </row>
    <row r="65" spans="1:13" x14ac:dyDescent="0.2">
      <c r="A65">
        <v>1</v>
      </c>
      <c r="B65">
        <f t="shared" ref="B65:F65" si="58">B44</f>
        <v>1</v>
      </c>
      <c r="C65" t="str">
        <f t="shared" si="58"/>
        <v>ATEC</v>
      </c>
      <c r="D65">
        <f t="shared" si="58"/>
        <v>1</v>
      </c>
      <c r="E65" t="str">
        <f t="shared" si="0"/>
        <v>ATEC1</v>
      </c>
      <c r="F65">
        <f t="shared" si="58"/>
        <v>1</v>
      </c>
      <c r="G65">
        <v>3</v>
      </c>
      <c r="H65">
        <v>6</v>
      </c>
      <c r="I65">
        <v>0</v>
      </c>
      <c r="J65">
        <f t="shared" si="1"/>
        <v>1</v>
      </c>
      <c r="K65" s="1">
        <f t="shared" si="2"/>
        <v>300</v>
      </c>
      <c r="L65">
        <f t="shared" si="17"/>
        <v>229999999.99999997</v>
      </c>
      <c r="M65" s="2">
        <f t="shared" si="3"/>
        <v>1.3043478260869566E-6</v>
      </c>
    </row>
    <row r="66" spans="1:13" x14ac:dyDescent="0.2">
      <c r="A66">
        <v>1</v>
      </c>
      <c r="B66">
        <f t="shared" ref="B66:F66" si="59">B45</f>
        <v>2</v>
      </c>
      <c r="C66" t="str">
        <f t="shared" si="59"/>
        <v>ATEC</v>
      </c>
      <c r="D66">
        <f t="shared" si="59"/>
        <v>1</v>
      </c>
      <c r="E66" t="str">
        <f t="shared" si="0"/>
        <v>ATEC1</v>
      </c>
      <c r="F66">
        <f t="shared" si="59"/>
        <v>2</v>
      </c>
      <c r="G66">
        <v>3</v>
      </c>
      <c r="H66">
        <v>12</v>
      </c>
      <c r="I66">
        <v>0</v>
      </c>
      <c r="J66">
        <f t="shared" si="1"/>
        <v>1</v>
      </c>
      <c r="K66" s="1">
        <f t="shared" si="2"/>
        <v>600</v>
      </c>
      <c r="L66">
        <f t="shared" si="17"/>
        <v>244999999.99999997</v>
      </c>
      <c r="M66" s="2">
        <f t="shared" si="3"/>
        <v>2.4489795918367351E-6</v>
      </c>
    </row>
    <row r="67" spans="1:13" x14ac:dyDescent="0.2">
      <c r="A67">
        <v>1</v>
      </c>
      <c r="B67">
        <f t="shared" ref="B67:F67" si="60">B46</f>
        <v>3</v>
      </c>
      <c r="C67" t="str">
        <f t="shared" si="60"/>
        <v>ATEC</v>
      </c>
      <c r="D67">
        <f t="shared" si="60"/>
        <v>1</v>
      </c>
      <c r="E67" t="str">
        <f t="shared" ref="E67:E127" si="61">_xlfn.CONCAT(C67,D67)</f>
        <v>ATEC1</v>
      </c>
      <c r="F67">
        <f t="shared" si="60"/>
        <v>3</v>
      </c>
      <c r="G67">
        <v>3</v>
      </c>
      <c r="H67">
        <v>18</v>
      </c>
      <c r="I67">
        <v>0</v>
      </c>
      <c r="J67">
        <f t="shared" ref="J67:J130" si="62">1/10^I67</f>
        <v>1</v>
      </c>
      <c r="K67" s="1">
        <f t="shared" ref="K67:K130" si="63">H67/(J67*0.02)</f>
        <v>900</v>
      </c>
      <c r="L67">
        <f t="shared" si="17"/>
        <v>280000000</v>
      </c>
      <c r="M67" s="2">
        <f t="shared" ref="M67:M127" si="64">K67/L67</f>
        <v>3.2142857142857143E-6</v>
      </c>
    </row>
    <row r="68" spans="1:13" x14ac:dyDescent="0.2">
      <c r="A68">
        <v>1</v>
      </c>
      <c r="B68">
        <f t="shared" ref="B68:F68" si="65">B47</f>
        <v>4</v>
      </c>
      <c r="C68" t="str">
        <f t="shared" si="65"/>
        <v>ATECc</v>
      </c>
      <c r="D68">
        <f t="shared" si="65"/>
        <v>1</v>
      </c>
      <c r="E68" t="str">
        <f t="shared" si="61"/>
        <v>ATECc1</v>
      </c>
      <c r="F68">
        <f t="shared" si="65"/>
        <v>1</v>
      </c>
      <c r="G68">
        <v>3</v>
      </c>
      <c r="H68">
        <v>18</v>
      </c>
      <c r="I68">
        <v>4</v>
      </c>
      <c r="J68">
        <f t="shared" si="62"/>
        <v>1E-4</v>
      </c>
      <c r="K68" s="1">
        <f t="shared" si="63"/>
        <v>8999999.9999999981</v>
      </c>
      <c r="L68">
        <f t="shared" si="17"/>
        <v>150000000</v>
      </c>
      <c r="M68" s="2">
        <f t="shared" si="64"/>
        <v>5.9999999999999991E-2</v>
      </c>
    </row>
    <row r="69" spans="1:13" x14ac:dyDescent="0.2">
      <c r="A69">
        <v>1</v>
      </c>
      <c r="B69">
        <f t="shared" ref="B69:F69" si="66">B48</f>
        <v>5</v>
      </c>
      <c r="C69" t="str">
        <f t="shared" si="66"/>
        <v>ATECc</v>
      </c>
      <c r="D69">
        <f t="shared" si="66"/>
        <v>1</v>
      </c>
      <c r="E69" t="str">
        <f t="shared" si="61"/>
        <v>ATECc1</v>
      </c>
      <c r="F69">
        <f t="shared" si="66"/>
        <v>2</v>
      </c>
      <c r="G69">
        <v>3</v>
      </c>
      <c r="H69">
        <v>19</v>
      </c>
      <c r="I69">
        <v>4</v>
      </c>
      <c r="J69">
        <f t="shared" si="62"/>
        <v>1E-4</v>
      </c>
      <c r="K69" s="1">
        <f t="shared" si="63"/>
        <v>9499999.9999999981</v>
      </c>
      <c r="L69">
        <f t="shared" si="17"/>
        <v>140000000</v>
      </c>
      <c r="M69" s="2">
        <f t="shared" si="64"/>
        <v>6.7857142857142838E-2</v>
      </c>
    </row>
    <row r="70" spans="1:13" x14ac:dyDescent="0.2">
      <c r="A70">
        <v>1</v>
      </c>
      <c r="B70">
        <f t="shared" ref="B70:F70" si="67">B49</f>
        <v>6</v>
      </c>
      <c r="C70" t="str">
        <f t="shared" si="67"/>
        <v>ATECc</v>
      </c>
      <c r="D70">
        <f t="shared" si="67"/>
        <v>1</v>
      </c>
      <c r="E70" t="str">
        <f t="shared" si="61"/>
        <v>ATECc1</v>
      </c>
      <c r="F70">
        <f t="shared" si="67"/>
        <v>3</v>
      </c>
      <c r="G70">
        <v>3</v>
      </c>
      <c r="H70">
        <v>23</v>
      </c>
      <c r="I70">
        <v>4</v>
      </c>
      <c r="J70">
        <f t="shared" si="62"/>
        <v>1E-4</v>
      </c>
      <c r="K70" s="1">
        <f t="shared" si="63"/>
        <v>11499999.999999998</v>
      </c>
      <c r="L70">
        <f t="shared" si="17"/>
        <v>184999999.99999997</v>
      </c>
      <c r="M70" s="2">
        <f t="shared" si="64"/>
        <v>6.2162162162162159E-2</v>
      </c>
    </row>
    <row r="71" spans="1:13" x14ac:dyDescent="0.2">
      <c r="A71">
        <v>1</v>
      </c>
      <c r="B71">
        <f t="shared" ref="B71:F71" si="68">B50</f>
        <v>7</v>
      </c>
      <c r="C71" t="str">
        <f t="shared" si="68"/>
        <v>ATECc</v>
      </c>
      <c r="D71">
        <f t="shared" si="68"/>
        <v>2</v>
      </c>
      <c r="E71" t="str">
        <f t="shared" si="61"/>
        <v>ATECc2</v>
      </c>
      <c r="F71">
        <f t="shared" si="68"/>
        <v>1</v>
      </c>
      <c r="G71">
        <v>3</v>
      </c>
      <c r="H71">
        <v>39</v>
      </c>
      <c r="I71">
        <v>1</v>
      </c>
      <c r="J71">
        <f t="shared" si="62"/>
        <v>0.1</v>
      </c>
      <c r="K71" s="1">
        <f t="shared" si="63"/>
        <v>19500</v>
      </c>
      <c r="L71">
        <f t="shared" si="17"/>
        <v>184999999.99999997</v>
      </c>
      <c r="M71" s="2">
        <f t="shared" si="64"/>
        <v>1.0540540540540542E-4</v>
      </c>
    </row>
    <row r="72" spans="1:13" x14ac:dyDescent="0.2">
      <c r="A72">
        <v>1</v>
      </c>
      <c r="B72">
        <f t="shared" ref="B72:F72" si="69">B51</f>
        <v>8</v>
      </c>
      <c r="C72" t="str">
        <f t="shared" si="69"/>
        <v>ATECc</v>
      </c>
      <c r="D72">
        <f t="shared" si="69"/>
        <v>2</v>
      </c>
      <c r="E72" t="str">
        <f t="shared" si="61"/>
        <v>ATECc2</v>
      </c>
      <c r="F72">
        <f t="shared" si="69"/>
        <v>2</v>
      </c>
      <c r="G72">
        <v>3</v>
      </c>
      <c r="H72">
        <v>33</v>
      </c>
      <c r="I72">
        <v>1</v>
      </c>
      <c r="J72">
        <f t="shared" si="62"/>
        <v>0.1</v>
      </c>
      <c r="K72" s="1">
        <f t="shared" si="63"/>
        <v>16500</v>
      </c>
      <c r="L72">
        <f t="shared" si="17"/>
        <v>295000000</v>
      </c>
      <c r="M72" s="2">
        <f t="shared" si="64"/>
        <v>5.593220338983051E-5</v>
      </c>
    </row>
    <row r="73" spans="1:13" x14ac:dyDescent="0.2">
      <c r="A73">
        <v>1</v>
      </c>
      <c r="B73">
        <f t="shared" ref="B73:F73" si="70">B52</f>
        <v>9</v>
      </c>
      <c r="C73" t="str">
        <f t="shared" si="70"/>
        <v>ATECc</v>
      </c>
      <c r="D73">
        <f t="shared" si="70"/>
        <v>2</v>
      </c>
      <c r="E73" t="str">
        <f t="shared" si="61"/>
        <v>ATECc2</v>
      </c>
      <c r="F73">
        <f t="shared" si="70"/>
        <v>3</v>
      </c>
      <c r="G73">
        <v>3</v>
      </c>
      <c r="H73">
        <v>29</v>
      </c>
      <c r="I73">
        <v>1</v>
      </c>
      <c r="J73">
        <f t="shared" si="62"/>
        <v>0.1</v>
      </c>
      <c r="K73" s="1">
        <f t="shared" si="63"/>
        <v>14500</v>
      </c>
      <c r="L73">
        <f t="shared" si="17"/>
        <v>224999999.99999997</v>
      </c>
      <c r="M73" s="2">
        <f t="shared" si="64"/>
        <v>6.4444444444444458E-5</v>
      </c>
    </row>
    <row r="74" spans="1:13" x14ac:dyDescent="0.2">
      <c r="A74">
        <v>1</v>
      </c>
      <c r="B74">
        <f t="shared" ref="B74:F74" si="71">B53</f>
        <v>10</v>
      </c>
      <c r="C74" t="str">
        <f t="shared" si="71"/>
        <v>ATECc</v>
      </c>
      <c r="D74">
        <f t="shared" si="71"/>
        <v>3</v>
      </c>
      <c r="E74" t="str">
        <f t="shared" si="61"/>
        <v>ATECc3</v>
      </c>
      <c r="F74">
        <f t="shared" si="71"/>
        <v>1</v>
      </c>
      <c r="G74">
        <v>3</v>
      </c>
      <c r="H74">
        <v>30</v>
      </c>
      <c r="I74">
        <v>1</v>
      </c>
      <c r="J74">
        <f t="shared" si="62"/>
        <v>0.1</v>
      </c>
      <c r="K74" s="1">
        <f t="shared" si="63"/>
        <v>15000</v>
      </c>
      <c r="L74">
        <f t="shared" si="17"/>
        <v>254999999.99999997</v>
      </c>
      <c r="M74" s="2">
        <f t="shared" si="64"/>
        <v>5.8823529411764714E-5</v>
      </c>
    </row>
    <row r="75" spans="1:13" x14ac:dyDescent="0.2">
      <c r="A75">
        <v>1</v>
      </c>
      <c r="B75">
        <f t="shared" ref="B75:F75" si="72">B54</f>
        <v>11</v>
      </c>
      <c r="C75" t="str">
        <f t="shared" si="72"/>
        <v>ATECc</v>
      </c>
      <c r="D75">
        <f t="shared" si="72"/>
        <v>3</v>
      </c>
      <c r="E75" t="str">
        <f t="shared" si="61"/>
        <v>ATECc3</v>
      </c>
      <c r="F75">
        <f t="shared" si="72"/>
        <v>2</v>
      </c>
      <c r="G75">
        <v>3</v>
      </c>
      <c r="H75">
        <v>26</v>
      </c>
      <c r="I75">
        <v>1</v>
      </c>
      <c r="J75">
        <f t="shared" si="62"/>
        <v>0.1</v>
      </c>
      <c r="K75" s="1">
        <f t="shared" si="63"/>
        <v>13000</v>
      </c>
      <c r="L75">
        <f t="shared" si="17"/>
        <v>254999999.99999997</v>
      </c>
      <c r="M75" s="2">
        <f t="shared" si="64"/>
        <v>5.0980392156862752E-5</v>
      </c>
    </row>
    <row r="76" spans="1:13" x14ac:dyDescent="0.2">
      <c r="A76">
        <v>1</v>
      </c>
      <c r="B76">
        <f t="shared" ref="B76:F76" si="73">B55</f>
        <v>12</v>
      </c>
      <c r="C76" t="str">
        <f t="shared" si="73"/>
        <v>ATECc</v>
      </c>
      <c r="D76">
        <f t="shared" si="73"/>
        <v>3</v>
      </c>
      <c r="E76" t="str">
        <f t="shared" si="61"/>
        <v>ATECc3</v>
      </c>
      <c r="F76">
        <f t="shared" si="73"/>
        <v>3</v>
      </c>
      <c r="G76">
        <v>3</v>
      </c>
      <c r="H76">
        <v>34</v>
      </c>
      <c r="I76">
        <v>1</v>
      </c>
      <c r="J76">
        <f t="shared" si="62"/>
        <v>0.1</v>
      </c>
      <c r="K76" s="1">
        <f t="shared" si="63"/>
        <v>17000</v>
      </c>
      <c r="L76">
        <f t="shared" si="17"/>
        <v>204999999.99999997</v>
      </c>
      <c r="M76" s="2">
        <f t="shared" si="64"/>
        <v>8.2926829268292692E-5</v>
      </c>
    </row>
    <row r="77" spans="1:13" x14ac:dyDescent="0.2">
      <c r="A77">
        <v>1</v>
      </c>
      <c r="B77">
        <f t="shared" ref="B77:F77" si="74">B56</f>
        <v>13</v>
      </c>
      <c r="C77" t="str">
        <f t="shared" si="74"/>
        <v>ATECc</v>
      </c>
      <c r="D77">
        <f t="shared" si="74"/>
        <v>4</v>
      </c>
      <c r="E77" t="str">
        <f t="shared" si="61"/>
        <v>ATECc4</v>
      </c>
      <c r="F77">
        <f t="shared" si="74"/>
        <v>1</v>
      </c>
      <c r="G77">
        <v>3</v>
      </c>
      <c r="H77">
        <v>55</v>
      </c>
      <c r="I77">
        <v>1</v>
      </c>
      <c r="J77">
        <f t="shared" si="62"/>
        <v>0.1</v>
      </c>
      <c r="K77" s="1">
        <f t="shared" si="63"/>
        <v>27500</v>
      </c>
      <c r="L77">
        <f t="shared" si="17"/>
        <v>174999999.99999997</v>
      </c>
      <c r="M77" s="2">
        <f t="shared" si="64"/>
        <v>1.5714285714285716E-4</v>
      </c>
    </row>
    <row r="78" spans="1:13" x14ac:dyDescent="0.2">
      <c r="A78">
        <v>1</v>
      </c>
      <c r="B78">
        <f t="shared" ref="B78:F78" si="75">B57</f>
        <v>14</v>
      </c>
      <c r="C78" t="str">
        <f t="shared" si="75"/>
        <v>ATECc</v>
      </c>
      <c r="D78">
        <f t="shared" si="75"/>
        <v>4</v>
      </c>
      <c r="E78" t="str">
        <f t="shared" si="61"/>
        <v>ATECc4</v>
      </c>
      <c r="F78">
        <f t="shared" si="75"/>
        <v>2</v>
      </c>
      <c r="G78">
        <v>3</v>
      </c>
      <c r="H78">
        <v>70</v>
      </c>
      <c r="I78">
        <v>1</v>
      </c>
      <c r="J78">
        <f t="shared" si="62"/>
        <v>0.1</v>
      </c>
      <c r="K78" s="1">
        <f t="shared" si="63"/>
        <v>35000</v>
      </c>
      <c r="L78">
        <f t="shared" si="17"/>
        <v>145000000</v>
      </c>
      <c r="M78" s="2">
        <f t="shared" si="64"/>
        <v>2.4137931034482759E-4</v>
      </c>
    </row>
    <row r="79" spans="1:13" x14ac:dyDescent="0.2">
      <c r="A79">
        <v>1</v>
      </c>
      <c r="B79">
        <f t="shared" ref="B79:F79" si="76">B58</f>
        <v>15</v>
      </c>
      <c r="C79" t="str">
        <f t="shared" si="76"/>
        <v>ATECc</v>
      </c>
      <c r="D79">
        <f t="shared" si="76"/>
        <v>4</v>
      </c>
      <c r="E79" t="str">
        <f t="shared" si="61"/>
        <v>ATECc4</v>
      </c>
      <c r="F79">
        <f t="shared" si="76"/>
        <v>3</v>
      </c>
      <c r="G79">
        <v>3</v>
      </c>
      <c r="H79">
        <v>49</v>
      </c>
      <c r="I79">
        <v>1</v>
      </c>
      <c r="J79">
        <f t="shared" si="62"/>
        <v>0.1</v>
      </c>
      <c r="K79" s="1">
        <f t="shared" si="63"/>
        <v>24500</v>
      </c>
      <c r="L79">
        <f t="shared" si="17"/>
        <v>184999999.99999997</v>
      </c>
      <c r="M79" s="2">
        <f t="shared" si="64"/>
        <v>1.3243243243243245E-4</v>
      </c>
    </row>
    <row r="80" spans="1:13" x14ac:dyDescent="0.2">
      <c r="A80">
        <v>1</v>
      </c>
      <c r="B80">
        <f t="shared" ref="B80:F80" si="77">B59</f>
        <v>16</v>
      </c>
      <c r="C80" t="str">
        <f t="shared" si="77"/>
        <v>ATECc</v>
      </c>
      <c r="D80">
        <f t="shared" si="77"/>
        <v>5</v>
      </c>
      <c r="E80" t="str">
        <f t="shared" si="61"/>
        <v>ATECc5</v>
      </c>
      <c r="F80">
        <f t="shared" si="77"/>
        <v>1</v>
      </c>
      <c r="G80">
        <v>3</v>
      </c>
      <c r="H80">
        <v>41</v>
      </c>
      <c r="I80">
        <v>4</v>
      </c>
      <c r="J80">
        <f t="shared" si="62"/>
        <v>1E-4</v>
      </c>
      <c r="K80" s="1">
        <f t="shared" si="63"/>
        <v>20499999.999999996</v>
      </c>
      <c r="L80">
        <f t="shared" si="17"/>
        <v>229999999.99999997</v>
      </c>
      <c r="M80" s="2">
        <f t="shared" si="64"/>
        <v>8.9130434782608695E-2</v>
      </c>
    </row>
    <row r="81" spans="1:13" x14ac:dyDescent="0.2">
      <c r="A81">
        <v>1</v>
      </c>
      <c r="B81">
        <f t="shared" ref="B81:F81" si="78">B60</f>
        <v>17</v>
      </c>
      <c r="C81" t="str">
        <f t="shared" si="78"/>
        <v>ATECc</v>
      </c>
      <c r="D81">
        <f t="shared" si="78"/>
        <v>5</v>
      </c>
      <c r="E81" t="str">
        <f t="shared" si="61"/>
        <v>ATECc5</v>
      </c>
      <c r="F81">
        <f t="shared" si="78"/>
        <v>2</v>
      </c>
      <c r="G81">
        <v>3</v>
      </c>
      <c r="H81">
        <v>41</v>
      </c>
      <c r="I81">
        <v>4</v>
      </c>
      <c r="J81">
        <f t="shared" si="62"/>
        <v>1E-4</v>
      </c>
      <c r="K81" s="1">
        <f t="shared" si="63"/>
        <v>20499999.999999996</v>
      </c>
      <c r="L81">
        <f t="shared" si="17"/>
        <v>184999999.99999997</v>
      </c>
      <c r="M81" s="2">
        <f t="shared" si="64"/>
        <v>0.1108108108108108</v>
      </c>
    </row>
    <row r="82" spans="1:13" x14ac:dyDescent="0.2">
      <c r="A82">
        <v>1</v>
      </c>
      <c r="B82">
        <f t="shared" ref="B82:F82" si="79">B61</f>
        <v>18</v>
      </c>
      <c r="C82" t="str">
        <f t="shared" si="79"/>
        <v>ATECc</v>
      </c>
      <c r="D82">
        <f t="shared" si="79"/>
        <v>5</v>
      </c>
      <c r="E82" t="str">
        <f t="shared" si="61"/>
        <v>ATECc5</v>
      </c>
      <c r="F82">
        <f t="shared" si="79"/>
        <v>3</v>
      </c>
      <c r="G82">
        <v>3</v>
      </c>
      <c r="H82">
        <v>41</v>
      </c>
      <c r="I82">
        <v>4</v>
      </c>
      <c r="J82">
        <f t="shared" si="62"/>
        <v>1E-4</v>
      </c>
      <c r="K82" s="1">
        <f t="shared" si="63"/>
        <v>20499999.999999996</v>
      </c>
      <c r="L82">
        <f t="shared" si="17"/>
        <v>150000000</v>
      </c>
      <c r="M82" s="2">
        <f t="shared" si="64"/>
        <v>0.13666666666666663</v>
      </c>
    </row>
    <row r="83" spans="1:13" x14ac:dyDescent="0.2">
      <c r="A83">
        <v>1</v>
      </c>
      <c r="B83">
        <f t="shared" ref="B83:F83" si="80">B62</f>
        <v>19</v>
      </c>
      <c r="C83" t="str">
        <f t="shared" si="80"/>
        <v>ATECc</v>
      </c>
      <c r="D83">
        <f t="shared" si="80"/>
        <v>6</v>
      </c>
      <c r="E83" t="str">
        <f t="shared" si="61"/>
        <v>ATECc6</v>
      </c>
      <c r="F83">
        <f t="shared" si="80"/>
        <v>1</v>
      </c>
      <c r="G83">
        <v>3</v>
      </c>
      <c r="H83">
        <v>14</v>
      </c>
      <c r="I83">
        <v>4</v>
      </c>
      <c r="J83">
        <f t="shared" si="62"/>
        <v>1E-4</v>
      </c>
      <c r="K83" s="1">
        <f t="shared" si="63"/>
        <v>6999999.9999999991</v>
      </c>
      <c r="L83">
        <f t="shared" si="17"/>
        <v>204999999.99999997</v>
      </c>
      <c r="M83" s="2">
        <f t="shared" si="64"/>
        <v>3.4146341463414637E-2</v>
      </c>
    </row>
    <row r="84" spans="1:13" x14ac:dyDescent="0.2">
      <c r="A84">
        <v>1</v>
      </c>
      <c r="B84">
        <f t="shared" ref="B84:F84" si="81">B63</f>
        <v>20</v>
      </c>
      <c r="C84" t="str">
        <f t="shared" si="81"/>
        <v>ATECc</v>
      </c>
      <c r="D84">
        <f t="shared" si="81"/>
        <v>6</v>
      </c>
      <c r="E84" t="str">
        <f t="shared" si="61"/>
        <v>ATECc6</v>
      </c>
      <c r="F84">
        <f t="shared" si="81"/>
        <v>2</v>
      </c>
      <c r="G84">
        <v>3</v>
      </c>
      <c r="H84">
        <v>13</v>
      </c>
      <c r="I84">
        <v>4</v>
      </c>
      <c r="J84">
        <f t="shared" si="62"/>
        <v>1E-4</v>
      </c>
      <c r="K84" s="1">
        <f t="shared" si="63"/>
        <v>6499999.9999999991</v>
      </c>
      <c r="L84">
        <f t="shared" si="17"/>
        <v>204999999.99999997</v>
      </c>
      <c r="M84" s="2">
        <f t="shared" si="64"/>
        <v>3.1707317073170732E-2</v>
      </c>
    </row>
    <row r="85" spans="1:13" x14ac:dyDescent="0.2">
      <c r="A85">
        <v>1</v>
      </c>
      <c r="B85">
        <f t="shared" ref="B85:F85" si="82">B64</f>
        <v>21</v>
      </c>
      <c r="C85" t="str">
        <f t="shared" si="82"/>
        <v>ATECc</v>
      </c>
      <c r="D85">
        <f t="shared" si="82"/>
        <v>6</v>
      </c>
      <c r="E85" t="str">
        <f t="shared" si="61"/>
        <v>ATECc6</v>
      </c>
      <c r="F85">
        <f t="shared" si="82"/>
        <v>3</v>
      </c>
      <c r="G85">
        <v>3</v>
      </c>
      <c r="H85">
        <v>15</v>
      </c>
      <c r="I85">
        <v>4</v>
      </c>
      <c r="J85">
        <f t="shared" si="62"/>
        <v>1E-4</v>
      </c>
      <c r="K85" s="1">
        <f t="shared" si="63"/>
        <v>7499999.9999999991</v>
      </c>
      <c r="L85">
        <f t="shared" si="17"/>
        <v>234999999.99999997</v>
      </c>
      <c r="M85" s="2">
        <f t="shared" si="64"/>
        <v>3.1914893617021274E-2</v>
      </c>
    </row>
    <row r="86" spans="1:13" x14ac:dyDescent="0.2">
      <c r="A86">
        <v>1</v>
      </c>
      <c r="B86">
        <f t="shared" ref="B86:F86" si="83">B65</f>
        <v>1</v>
      </c>
      <c r="C86" t="str">
        <f t="shared" si="83"/>
        <v>ATEC</v>
      </c>
      <c r="D86">
        <f t="shared" si="83"/>
        <v>1</v>
      </c>
      <c r="E86" t="str">
        <f t="shared" si="61"/>
        <v>ATEC1</v>
      </c>
      <c r="F86">
        <f t="shared" si="83"/>
        <v>1</v>
      </c>
      <c r="G86">
        <v>5</v>
      </c>
      <c r="H86">
        <v>33</v>
      </c>
      <c r="I86">
        <v>-1</v>
      </c>
      <c r="J86">
        <f t="shared" si="62"/>
        <v>10</v>
      </c>
      <c r="K86" s="4">
        <f>H86/(J86*0.04)</f>
        <v>82.5</v>
      </c>
      <c r="L86">
        <f t="shared" si="17"/>
        <v>229999999.99999997</v>
      </c>
      <c r="M86" s="2">
        <f t="shared" si="64"/>
        <v>3.5869565217391308E-7</v>
      </c>
    </row>
    <row r="87" spans="1:13" x14ac:dyDescent="0.2">
      <c r="A87">
        <v>1</v>
      </c>
      <c r="B87">
        <f t="shared" ref="B87:F87" si="84">B66</f>
        <v>2</v>
      </c>
      <c r="C87" t="str">
        <f t="shared" si="84"/>
        <v>ATEC</v>
      </c>
      <c r="D87">
        <f t="shared" si="84"/>
        <v>1</v>
      </c>
      <c r="E87" t="str">
        <f t="shared" si="61"/>
        <v>ATEC1</v>
      </c>
      <c r="F87">
        <f t="shared" si="84"/>
        <v>2</v>
      </c>
      <c r="G87">
        <v>5</v>
      </c>
      <c r="H87">
        <v>34</v>
      </c>
      <c r="I87">
        <v>-1</v>
      </c>
      <c r="J87">
        <f t="shared" si="62"/>
        <v>10</v>
      </c>
      <c r="K87" s="4">
        <f>H87/(J87*0.04)</f>
        <v>85</v>
      </c>
      <c r="L87">
        <f t="shared" si="17"/>
        <v>244999999.99999997</v>
      </c>
      <c r="M87" s="2">
        <f t="shared" si="64"/>
        <v>3.4693877551020411E-7</v>
      </c>
    </row>
    <row r="88" spans="1:13" x14ac:dyDescent="0.2">
      <c r="A88">
        <v>1</v>
      </c>
      <c r="B88">
        <f t="shared" ref="B88:F88" si="85">B67</f>
        <v>3</v>
      </c>
      <c r="C88" t="str">
        <f t="shared" si="85"/>
        <v>ATEC</v>
      </c>
      <c r="D88">
        <f t="shared" si="85"/>
        <v>1</v>
      </c>
      <c r="E88" t="str">
        <f t="shared" si="61"/>
        <v>ATEC1</v>
      </c>
      <c r="F88">
        <f t="shared" si="85"/>
        <v>3</v>
      </c>
      <c r="G88">
        <v>5</v>
      </c>
      <c r="H88">
        <v>60</v>
      </c>
      <c r="I88">
        <v>-1</v>
      </c>
      <c r="J88">
        <f t="shared" si="62"/>
        <v>10</v>
      </c>
      <c r="K88" s="4">
        <f>H88/(J88*0.04)</f>
        <v>150</v>
      </c>
      <c r="L88">
        <f t="shared" ref="L88:L127" si="86">L67</f>
        <v>280000000</v>
      </c>
      <c r="M88" s="2">
        <f t="shared" si="64"/>
        <v>5.3571428571428568E-7</v>
      </c>
    </row>
    <row r="89" spans="1:13" x14ac:dyDescent="0.2">
      <c r="A89">
        <v>1</v>
      </c>
      <c r="B89">
        <f t="shared" ref="B89:F89" si="87">B68</f>
        <v>4</v>
      </c>
      <c r="C89" t="str">
        <f t="shared" si="87"/>
        <v>ATECc</v>
      </c>
      <c r="D89">
        <f t="shared" si="87"/>
        <v>1</v>
      </c>
      <c r="E89" t="str">
        <f t="shared" si="61"/>
        <v>ATECc1</v>
      </c>
      <c r="F89">
        <f t="shared" si="87"/>
        <v>1</v>
      </c>
      <c r="G89">
        <v>5</v>
      </c>
      <c r="H89">
        <v>69</v>
      </c>
      <c r="I89">
        <v>3</v>
      </c>
      <c r="J89">
        <f t="shared" si="62"/>
        <v>1E-3</v>
      </c>
      <c r="K89" s="1">
        <f t="shared" si="63"/>
        <v>3449999.9999999995</v>
      </c>
      <c r="L89">
        <f t="shared" si="86"/>
        <v>150000000</v>
      </c>
      <c r="M89" s="2">
        <f t="shared" si="64"/>
        <v>2.2999999999999996E-2</v>
      </c>
    </row>
    <row r="90" spans="1:13" x14ac:dyDescent="0.2">
      <c r="A90">
        <v>1</v>
      </c>
      <c r="B90">
        <f t="shared" ref="B90:F90" si="88">B69</f>
        <v>5</v>
      </c>
      <c r="C90" t="str">
        <f t="shared" si="88"/>
        <v>ATECc</v>
      </c>
      <c r="D90">
        <f t="shared" si="88"/>
        <v>1</v>
      </c>
      <c r="E90" t="str">
        <f t="shared" si="61"/>
        <v>ATECc1</v>
      </c>
      <c r="F90">
        <f t="shared" si="88"/>
        <v>2</v>
      </c>
      <c r="G90">
        <v>5</v>
      </c>
      <c r="H90">
        <v>69</v>
      </c>
      <c r="I90">
        <v>3</v>
      </c>
      <c r="J90">
        <f t="shared" si="62"/>
        <v>1E-3</v>
      </c>
      <c r="K90" s="1">
        <f t="shared" si="63"/>
        <v>3449999.9999999995</v>
      </c>
      <c r="L90">
        <f t="shared" si="86"/>
        <v>140000000</v>
      </c>
      <c r="M90" s="2">
        <f t="shared" si="64"/>
        <v>2.464285714285714E-2</v>
      </c>
    </row>
    <row r="91" spans="1:13" x14ac:dyDescent="0.2">
      <c r="A91">
        <v>1</v>
      </c>
      <c r="B91">
        <f t="shared" ref="B91:F91" si="89">B70</f>
        <v>6</v>
      </c>
      <c r="C91" t="str">
        <f t="shared" si="89"/>
        <v>ATECc</v>
      </c>
      <c r="D91">
        <f t="shared" si="89"/>
        <v>1</v>
      </c>
      <c r="E91" t="str">
        <f t="shared" si="61"/>
        <v>ATECc1</v>
      </c>
      <c r="F91">
        <f t="shared" si="89"/>
        <v>3</v>
      </c>
      <c r="G91">
        <v>5</v>
      </c>
      <c r="H91">
        <v>62</v>
      </c>
      <c r="I91">
        <v>3</v>
      </c>
      <c r="J91">
        <f t="shared" si="62"/>
        <v>1E-3</v>
      </c>
      <c r="K91" s="1">
        <f t="shared" si="63"/>
        <v>3099999.9999999995</v>
      </c>
      <c r="L91">
        <f t="shared" si="86"/>
        <v>184999999.99999997</v>
      </c>
      <c r="M91" s="2">
        <f t="shared" si="64"/>
        <v>1.6756756756756756E-2</v>
      </c>
    </row>
    <row r="92" spans="1:13" x14ac:dyDescent="0.2">
      <c r="A92">
        <v>1</v>
      </c>
      <c r="B92">
        <f t="shared" ref="B92:F92" si="90">B71</f>
        <v>7</v>
      </c>
      <c r="C92" t="str">
        <f t="shared" si="90"/>
        <v>ATECc</v>
      </c>
      <c r="D92">
        <f t="shared" si="90"/>
        <v>2</v>
      </c>
      <c r="E92" t="str">
        <f t="shared" si="61"/>
        <v>ATECc2</v>
      </c>
      <c r="F92">
        <f t="shared" si="90"/>
        <v>1</v>
      </c>
      <c r="G92">
        <v>5</v>
      </c>
      <c r="H92">
        <v>32</v>
      </c>
      <c r="I92">
        <v>1</v>
      </c>
      <c r="J92">
        <f t="shared" si="62"/>
        <v>0.1</v>
      </c>
      <c r="K92" s="1">
        <f t="shared" si="63"/>
        <v>16000</v>
      </c>
      <c r="L92">
        <f t="shared" si="86"/>
        <v>184999999.99999997</v>
      </c>
      <c r="M92" s="2">
        <f t="shared" si="64"/>
        <v>8.6486486486486496E-5</v>
      </c>
    </row>
    <row r="93" spans="1:13" x14ac:dyDescent="0.2">
      <c r="A93">
        <v>1</v>
      </c>
      <c r="B93">
        <f t="shared" ref="B93:F93" si="91">B72</f>
        <v>8</v>
      </c>
      <c r="C93" t="str">
        <f t="shared" si="91"/>
        <v>ATECc</v>
      </c>
      <c r="D93">
        <f t="shared" si="91"/>
        <v>2</v>
      </c>
      <c r="E93" t="str">
        <f t="shared" si="61"/>
        <v>ATECc2</v>
      </c>
      <c r="F93">
        <f t="shared" si="91"/>
        <v>2</v>
      </c>
      <c r="G93">
        <v>5</v>
      </c>
      <c r="H93">
        <v>31</v>
      </c>
      <c r="I93">
        <v>1</v>
      </c>
      <c r="J93">
        <f t="shared" si="62"/>
        <v>0.1</v>
      </c>
      <c r="K93" s="1">
        <f t="shared" si="63"/>
        <v>15500</v>
      </c>
      <c r="L93">
        <f t="shared" si="86"/>
        <v>295000000</v>
      </c>
      <c r="M93" s="2">
        <f t="shared" si="64"/>
        <v>5.2542372881355932E-5</v>
      </c>
    </row>
    <row r="94" spans="1:13" x14ac:dyDescent="0.2">
      <c r="A94">
        <v>1</v>
      </c>
      <c r="B94">
        <f t="shared" ref="B94:F94" si="92">B73</f>
        <v>9</v>
      </c>
      <c r="C94" t="str">
        <f t="shared" si="92"/>
        <v>ATECc</v>
      </c>
      <c r="D94">
        <f t="shared" si="92"/>
        <v>2</v>
      </c>
      <c r="E94" t="str">
        <f t="shared" si="61"/>
        <v>ATECc2</v>
      </c>
      <c r="F94">
        <f t="shared" si="92"/>
        <v>3</v>
      </c>
      <c r="G94">
        <v>5</v>
      </c>
      <c r="H94">
        <v>35</v>
      </c>
      <c r="I94">
        <v>1</v>
      </c>
      <c r="J94">
        <f t="shared" si="62"/>
        <v>0.1</v>
      </c>
      <c r="K94" s="1">
        <f t="shared" si="63"/>
        <v>17500</v>
      </c>
      <c r="L94">
        <f t="shared" si="86"/>
        <v>224999999.99999997</v>
      </c>
      <c r="M94" s="2">
        <f t="shared" si="64"/>
        <v>7.7777777777777782E-5</v>
      </c>
    </row>
    <row r="95" spans="1:13" x14ac:dyDescent="0.2">
      <c r="A95">
        <v>1</v>
      </c>
      <c r="B95">
        <f t="shared" ref="B95:F95" si="93">B74</f>
        <v>10</v>
      </c>
      <c r="C95" t="str">
        <f t="shared" si="93"/>
        <v>ATECc</v>
      </c>
      <c r="D95">
        <f t="shared" si="93"/>
        <v>3</v>
      </c>
      <c r="E95" t="str">
        <f t="shared" si="61"/>
        <v>ATECc3</v>
      </c>
      <c r="F95">
        <f t="shared" si="93"/>
        <v>1</v>
      </c>
      <c r="G95">
        <v>5</v>
      </c>
      <c r="H95">
        <v>28</v>
      </c>
      <c r="I95">
        <v>1</v>
      </c>
      <c r="J95">
        <f t="shared" si="62"/>
        <v>0.1</v>
      </c>
      <c r="K95" s="1">
        <f t="shared" si="63"/>
        <v>14000</v>
      </c>
      <c r="L95">
        <f t="shared" si="86"/>
        <v>254999999.99999997</v>
      </c>
      <c r="M95" s="2">
        <f t="shared" si="64"/>
        <v>5.490196078431373E-5</v>
      </c>
    </row>
    <row r="96" spans="1:13" x14ac:dyDescent="0.2">
      <c r="A96">
        <v>1</v>
      </c>
      <c r="B96">
        <f t="shared" ref="B96:F96" si="94">B75</f>
        <v>11</v>
      </c>
      <c r="C96" t="str">
        <f t="shared" si="94"/>
        <v>ATECc</v>
      </c>
      <c r="D96">
        <f t="shared" si="94"/>
        <v>3</v>
      </c>
      <c r="E96" t="str">
        <f t="shared" si="61"/>
        <v>ATECc3</v>
      </c>
      <c r="F96">
        <f t="shared" si="94"/>
        <v>2</v>
      </c>
      <c r="G96">
        <v>5</v>
      </c>
      <c r="H96">
        <v>31</v>
      </c>
      <c r="I96">
        <v>1</v>
      </c>
      <c r="J96">
        <f t="shared" si="62"/>
        <v>0.1</v>
      </c>
      <c r="K96" s="1">
        <f t="shared" si="63"/>
        <v>15500</v>
      </c>
      <c r="L96">
        <f t="shared" si="86"/>
        <v>254999999.99999997</v>
      </c>
      <c r="M96" s="2">
        <f t="shared" si="64"/>
        <v>6.0784313725490207E-5</v>
      </c>
    </row>
    <row r="97" spans="1:13" x14ac:dyDescent="0.2">
      <c r="A97">
        <v>1</v>
      </c>
      <c r="B97">
        <f t="shared" ref="B97:F97" si="95">B76</f>
        <v>12</v>
      </c>
      <c r="C97" t="str">
        <f t="shared" si="95"/>
        <v>ATECc</v>
      </c>
      <c r="D97">
        <f t="shared" si="95"/>
        <v>3</v>
      </c>
      <c r="E97" t="str">
        <f t="shared" si="61"/>
        <v>ATECc3</v>
      </c>
      <c r="F97">
        <f t="shared" si="95"/>
        <v>3</v>
      </c>
      <c r="G97">
        <v>5</v>
      </c>
      <c r="H97">
        <v>22</v>
      </c>
      <c r="I97">
        <v>1</v>
      </c>
      <c r="J97">
        <f t="shared" si="62"/>
        <v>0.1</v>
      </c>
      <c r="K97" s="1">
        <f t="shared" si="63"/>
        <v>11000</v>
      </c>
      <c r="L97">
        <f t="shared" si="86"/>
        <v>204999999.99999997</v>
      </c>
      <c r="M97" s="2">
        <f t="shared" si="64"/>
        <v>5.3658536585365862E-5</v>
      </c>
    </row>
    <row r="98" spans="1:13" x14ac:dyDescent="0.2">
      <c r="A98">
        <v>1</v>
      </c>
      <c r="B98">
        <f t="shared" ref="B98:F98" si="96">B77</f>
        <v>13</v>
      </c>
      <c r="C98" t="str">
        <f t="shared" si="96"/>
        <v>ATECc</v>
      </c>
      <c r="D98">
        <f t="shared" si="96"/>
        <v>4</v>
      </c>
      <c r="E98" t="str">
        <f t="shared" si="61"/>
        <v>ATECc4</v>
      </c>
      <c r="F98">
        <f t="shared" si="96"/>
        <v>1</v>
      </c>
      <c r="G98">
        <v>5</v>
      </c>
      <c r="H98">
        <v>20</v>
      </c>
      <c r="I98">
        <v>1</v>
      </c>
      <c r="J98">
        <f t="shared" si="62"/>
        <v>0.1</v>
      </c>
      <c r="K98" s="1">
        <f t="shared" si="63"/>
        <v>10000</v>
      </c>
      <c r="L98">
        <f t="shared" si="86"/>
        <v>174999999.99999997</v>
      </c>
      <c r="M98" s="2">
        <f t="shared" si="64"/>
        <v>5.7142857142857155E-5</v>
      </c>
    </row>
    <row r="99" spans="1:13" x14ac:dyDescent="0.2">
      <c r="A99">
        <v>1</v>
      </c>
      <c r="B99">
        <f t="shared" ref="B99:F99" si="97">B78</f>
        <v>14</v>
      </c>
      <c r="C99" t="str">
        <f t="shared" si="97"/>
        <v>ATECc</v>
      </c>
      <c r="D99">
        <f t="shared" si="97"/>
        <v>4</v>
      </c>
      <c r="E99" t="str">
        <f t="shared" si="61"/>
        <v>ATECc4</v>
      </c>
      <c r="F99">
        <f t="shared" si="97"/>
        <v>2</v>
      </c>
      <c r="G99">
        <v>5</v>
      </c>
      <c r="H99">
        <v>23</v>
      </c>
      <c r="I99">
        <v>1</v>
      </c>
      <c r="J99">
        <f t="shared" si="62"/>
        <v>0.1</v>
      </c>
      <c r="K99" s="1">
        <f t="shared" si="63"/>
        <v>11500</v>
      </c>
      <c r="L99">
        <f t="shared" si="86"/>
        <v>145000000</v>
      </c>
      <c r="M99" s="2">
        <f t="shared" si="64"/>
        <v>7.9310344827586201E-5</v>
      </c>
    </row>
    <row r="100" spans="1:13" x14ac:dyDescent="0.2">
      <c r="A100">
        <v>1</v>
      </c>
      <c r="B100">
        <f t="shared" ref="B100:F100" si="98">B79</f>
        <v>15</v>
      </c>
      <c r="C100" t="str">
        <f t="shared" si="98"/>
        <v>ATECc</v>
      </c>
      <c r="D100">
        <f t="shared" si="98"/>
        <v>4</v>
      </c>
      <c r="E100" t="str">
        <f t="shared" si="61"/>
        <v>ATECc4</v>
      </c>
      <c r="F100">
        <f t="shared" si="98"/>
        <v>3</v>
      </c>
      <c r="G100">
        <v>5</v>
      </c>
      <c r="H100">
        <v>18</v>
      </c>
      <c r="I100">
        <v>1</v>
      </c>
      <c r="J100">
        <f t="shared" si="62"/>
        <v>0.1</v>
      </c>
      <c r="K100" s="1">
        <f t="shared" si="63"/>
        <v>9000</v>
      </c>
      <c r="L100">
        <f t="shared" si="86"/>
        <v>184999999.99999997</v>
      </c>
      <c r="M100" s="2">
        <f t="shared" si="64"/>
        <v>4.8648648648648654E-5</v>
      </c>
    </row>
    <row r="101" spans="1:13" x14ac:dyDescent="0.2">
      <c r="A101">
        <v>1</v>
      </c>
      <c r="B101">
        <f t="shared" ref="B101:F101" si="99">B80</f>
        <v>16</v>
      </c>
      <c r="C101" t="str">
        <f t="shared" si="99"/>
        <v>ATECc</v>
      </c>
      <c r="D101">
        <f t="shared" si="99"/>
        <v>5</v>
      </c>
      <c r="E101" t="str">
        <f t="shared" si="61"/>
        <v>ATECc5</v>
      </c>
      <c r="F101">
        <f t="shared" si="99"/>
        <v>1</v>
      </c>
      <c r="G101">
        <v>5</v>
      </c>
      <c r="H101">
        <v>15</v>
      </c>
      <c r="I101">
        <v>4</v>
      </c>
      <c r="J101">
        <f t="shared" si="62"/>
        <v>1E-4</v>
      </c>
      <c r="K101" s="1">
        <f t="shared" si="63"/>
        <v>7499999.9999999991</v>
      </c>
      <c r="L101">
        <f t="shared" si="86"/>
        <v>229999999.99999997</v>
      </c>
      <c r="M101" s="2">
        <f t="shared" si="64"/>
        <v>3.2608695652173912E-2</v>
      </c>
    </row>
    <row r="102" spans="1:13" x14ac:dyDescent="0.2">
      <c r="A102">
        <v>1</v>
      </c>
      <c r="B102">
        <f t="shared" ref="B102:F102" si="100">B81</f>
        <v>17</v>
      </c>
      <c r="C102" t="str">
        <f t="shared" si="100"/>
        <v>ATECc</v>
      </c>
      <c r="D102">
        <f t="shared" si="100"/>
        <v>5</v>
      </c>
      <c r="E102" t="str">
        <f t="shared" si="61"/>
        <v>ATECc5</v>
      </c>
      <c r="F102">
        <f t="shared" si="100"/>
        <v>2</v>
      </c>
      <c r="G102">
        <v>5</v>
      </c>
      <c r="H102">
        <v>25</v>
      </c>
      <c r="I102">
        <v>4</v>
      </c>
      <c r="J102">
        <f t="shared" si="62"/>
        <v>1E-4</v>
      </c>
      <c r="K102" s="1">
        <f t="shared" si="63"/>
        <v>12499999.999999998</v>
      </c>
      <c r="L102">
        <f t="shared" si="86"/>
        <v>184999999.99999997</v>
      </c>
      <c r="M102" s="2">
        <f t="shared" si="64"/>
        <v>6.7567567567567571E-2</v>
      </c>
    </row>
    <row r="103" spans="1:13" x14ac:dyDescent="0.2">
      <c r="A103">
        <v>1</v>
      </c>
      <c r="B103">
        <f t="shared" ref="B103:F103" si="101">B82</f>
        <v>18</v>
      </c>
      <c r="C103" t="str">
        <f t="shared" si="101"/>
        <v>ATECc</v>
      </c>
      <c r="D103">
        <f t="shared" si="101"/>
        <v>5</v>
      </c>
      <c r="E103" t="str">
        <f t="shared" si="61"/>
        <v>ATECc5</v>
      </c>
      <c r="F103">
        <f t="shared" si="101"/>
        <v>3</v>
      </c>
      <c r="G103">
        <v>5</v>
      </c>
      <c r="H103">
        <v>18</v>
      </c>
      <c r="I103">
        <v>4</v>
      </c>
      <c r="J103">
        <f t="shared" si="62"/>
        <v>1E-4</v>
      </c>
      <c r="K103" s="1">
        <f t="shared" si="63"/>
        <v>8999999.9999999981</v>
      </c>
      <c r="L103">
        <f t="shared" si="86"/>
        <v>150000000</v>
      </c>
      <c r="M103" s="2">
        <f t="shared" si="64"/>
        <v>5.9999999999999991E-2</v>
      </c>
    </row>
    <row r="104" spans="1:13" x14ac:dyDescent="0.2">
      <c r="A104">
        <v>1</v>
      </c>
      <c r="B104">
        <f t="shared" ref="B104:F104" si="102">B83</f>
        <v>19</v>
      </c>
      <c r="C104" t="str">
        <f t="shared" si="102"/>
        <v>ATECc</v>
      </c>
      <c r="D104">
        <f t="shared" si="102"/>
        <v>6</v>
      </c>
      <c r="E104" t="str">
        <f t="shared" si="61"/>
        <v>ATECc6</v>
      </c>
      <c r="F104">
        <f t="shared" si="102"/>
        <v>1</v>
      </c>
      <c r="G104">
        <v>5</v>
      </c>
      <c r="H104">
        <v>61</v>
      </c>
      <c r="I104">
        <v>3</v>
      </c>
      <c r="J104">
        <f t="shared" si="62"/>
        <v>1E-3</v>
      </c>
      <c r="K104" s="1">
        <f t="shared" si="63"/>
        <v>3049999.9999999995</v>
      </c>
      <c r="L104">
        <f t="shared" si="86"/>
        <v>204999999.99999997</v>
      </c>
      <c r="M104" s="2">
        <f t="shared" si="64"/>
        <v>1.4878048780487804E-2</v>
      </c>
    </row>
    <row r="105" spans="1:13" x14ac:dyDescent="0.2">
      <c r="A105">
        <v>1</v>
      </c>
      <c r="B105">
        <f t="shared" ref="B105:F105" si="103">B84</f>
        <v>20</v>
      </c>
      <c r="C105" t="str">
        <f t="shared" si="103"/>
        <v>ATECc</v>
      </c>
      <c r="D105">
        <f t="shared" si="103"/>
        <v>6</v>
      </c>
      <c r="E105" t="str">
        <f t="shared" si="61"/>
        <v>ATECc6</v>
      </c>
      <c r="F105">
        <f t="shared" si="103"/>
        <v>2</v>
      </c>
      <c r="G105">
        <v>5</v>
      </c>
      <c r="H105">
        <v>59</v>
      </c>
      <c r="I105">
        <v>3</v>
      </c>
      <c r="J105">
        <f t="shared" si="62"/>
        <v>1E-3</v>
      </c>
      <c r="K105" s="1">
        <f t="shared" si="63"/>
        <v>2949999.9999999995</v>
      </c>
      <c r="L105">
        <f t="shared" si="86"/>
        <v>204999999.99999997</v>
      </c>
      <c r="M105" s="2">
        <f t="shared" si="64"/>
        <v>1.4390243902439025E-2</v>
      </c>
    </row>
    <row r="106" spans="1:13" x14ac:dyDescent="0.2">
      <c r="A106">
        <v>1</v>
      </c>
      <c r="B106">
        <f t="shared" ref="B106:F106" si="104">B85</f>
        <v>21</v>
      </c>
      <c r="C106" t="str">
        <f t="shared" si="104"/>
        <v>ATECc</v>
      </c>
      <c r="D106">
        <f t="shared" si="104"/>
        <v>6</v>
      </c>
      <c r="E106" t="str">
        <f t="shared" si="61"/>
        <v>ATECc6</v>
      </c>
      <c r="F106">
        <f t="shared" si="104"/>
        <v>3</v>
      </c>
      <c r="G106">
        <v>5</v>
      </c>
      <c r="H106">
        <v>77</v>
      </c>
      <c r="I106">
        <v>3</v>
      </c>
      <c r="J106">
        <f t="shared" si="62"/>
        <v>1E-3</v>
      </c>
      <c r="K106" s="1">
        <f t="shared" si="63"/>
        <v>3849999.9999999995</v>
      </c>
      <c r="L106">
        <f t="shared" si="86"/>
        <v>234999999.99999997</v>
      </c>
      <c r="M106" s="2">
        <f t="shared" si="64"/>
        <v>1.6382978723404256E-2</v>
      </c>
    </row>
    <row r="107" spans="1:13" x14ac:dyDescent="0.2">
      <c r="A107">
        <v>1</v>
      </c>
      <c r="B107">
        <f t="shared" ref="B107:F107" si="105">B86</f>
        <v>1</v>
      </c>
      <c r="C107" t="str">
        <f t="shared" si="105"/>
        <v>ATEC</v>
      </c>
      <c r="D107">
        <f t="shared" si="105"/>
        <v>1</v>
      </c>
      <c r="E107" t="str">
        <f t="shared" si="61"/>
        <v>ATEC1</v>
      </c>
      <c r="F107">
        <f t="shared" si="105"/>
        <v>1</v>
      </c>
      <c r="G107">
        <v>7</v>
      </c>
      <c r="H107">
        <v>16</v>
      </c>
      <c r="I107">
        <v>-1</v>
      </c>
      <c r="J107">
        <f t="shared" si="62"/>
        <v>10</v>
      </c>
      <c r="K107" s="4">
        <f>H107/(J107*0.04)</f>
        <v>40</v>
      </c>
      <c r="L107">
        <f t="shared" si="86"/>
        <v>229999999.99999997</v>
      </c>
      <c r="M107" s="2">
        <f t="shared" si="64"/>
        <v>1.739130434782609E-7</v>
      </c>
    </row>
    <row r="108" spans="1:13" x14ac:dyDescent="0.2">
      <c r="A108">
        <v>1</v>
      </c>
      <c r="B108">
        <f t="shared" ref="B108:D108" si="106">B87</f>
        <v>2</v>
      </c>
      <c r="C108" t="str">
        <f t="shared" si="106"/>
        <v>ATEC</v>
      </c>
      <c r="D108">
        <f t="shared" si="106"/>
        <v>1</v>
      </c>
      <c r="E108" t="str">
        <f t="shared" si="61"/>
        <v>ATEC1</v>
      </c>
      <c r="F108">
        <f t="shared" ref="B108:F108" si="107">F87</f>
        <v>2</v>
      </c>
      <c r="G108">
        <v>7</v>
      </c>
      <c r="H108">
        <v>24</v>
      </c>
      <c r="I108">
        <v>-1</v>
      </c>
      <c r="J108">
        <f t="shared" si="62"/>
        <v>10</v>
      </c>
      <c r="K108" s="4">
        <f>H108/(J108*0.04)</f>
        <v>60</v>
      </c>
      <c r="L108">
        <f t="shared" si="86"/>
        <v>244999999.99999997</v>
      </c>
      <c r="M108" s="2">
        <f t="shared" si="64"/>
        <v>2.4489795918367352E-7</v>
      </c>
    </row>
    <row r="109" spans="1:13" x14ac:dyDescent="0.2">
      <c r="A109">
        <v>1</v>
      </c>
      <c r="B109">
        <f t="shared" ref="B109:D109" si="108">B88</f>
        <v>3</v>
      </c>
      <c r="C109" t="str">
        <f t="shared" si="108"/>
        <v>ATEC</v>
      </c>
      <c r="D109">
        <f t="shared" si="108"/>
        <v>1</v>
      </c>
      <c r="E109" t="str">
        <f t="shared" si="61"/>
        <v>ATEC1</v>
      </c>
      <c r="F109">
        <f t="shared" ref="B109:F109" si="109">F88</f>
        <v>3</v>
      </c>
      <c r="G109">
        <v>7</v>
      </c>
      <c r="H109">
        <v>33</v>
      </c>
      <c r="I109">
        <v>-1</v>
      </c>
      <c r="J109">
        <f t="shared" si="62"/>
        <v>10</v>
      </c>
      <c r="K109" s="4">
        <f>H109/(J109*0.04)</f>
        <v>82.5</v>
      </c>
      <c r="L109">
        <f t="shared" si="86"/>
        <v>280000000</v>
      </c>
      <c r="M109" s="2">
        <f t="shared" si="64"/>
        <v>2.9464285714285712E-7</v>
      </c>
    </row>
    <row r="110" spans="1:13" x14ac:dyDescent="0.2">
      <c r="A110">
        <v>1</v>
      </c>
      <c r="B110">
        <f t="shared" ref="B110:D110" si="110">B89</f>
        <v>4</v>
      </c>
      <c r="C110" t="str">
        <f t="shared" si="110"/>
        <v>ATECc</v>
      </c>
      <c r="D110">
        <f t="shared" si="110"/>
        <v>1</v>
      </c>
      <c r="E110" t="str">
        <f t="shared" si="61"/>
        <v>ATECc1</v>
      </c>
      <c r="F110">
        <f t="shared" ref="F110" si="111">F86</f>
        <v>1</v>
      </c>
      <c r="G110">
        <v>7</v>
      </c>
      <c r="H110">
        <v>57</v>
      </c>
      <c r="I110">
        <v>3</v>
      </c>
      <c r="J110">
        <f t="shared" si="62"/>
        <v>1E-3</v>
      </c>
      <c r="K110" s="1">
        <f t="shared" si="63"/>
        <v>2849999.9999999995</v>
      </c>
      <c r="L110">
        <f t="shared" si="86"/>
        <v>150000000</v>
      </c>
      <c r="M110" s="2">
        <f t="shared" si="64"/>
        <v>1.8999999999999996E-2</v>
      </c>
    </row>
    <row r="111" spans="1:13" x14ac:dyDescent="0.2">
      <c r="A111">
        <v>1</v>
      </c>
      <c r="B111">
        <f t="shared" ref="B111:D111" si="112">B90</f>
        <v>5</v>
      </c>
      <c r="C111" t="str">
        <f t="shared" si="112"/>
        <v>ATECc</v>
      </c>
      <c r="D111">
        <f t="shared" si="112"/>
        <v>1</v>
      </c>
      <c r="E111" t="str">
        <f t="shared" si="61"/>
        <v>ATECc1</v>
      </c>
      <c r="F111">
        <f t="shared" ref="F111" si="113">F87</f>
        <v>2</v>
      </c>
      <c r="G111">
        <v>7</v>
      </c>
      <c r="H111">
        <v>58</v>
      </c>
      <c r="I111">
        <v>3</v>
      </c>
      <c r="J111">
        <f t="shared" si="62"/>
        <v>1E-3</v>
      </c>
      <c r="K111" s="1">
        <f t="shared" si="63"/>
        <v>2899999.9999999995</v>
      </c>
      <c r="L111">
        <f t="shared" si="86"/>
        <v>140000000</v>
      </c>
      <c r="M111" s="2">
        <f t="shared" si="64"/>
        <v>2.0714285714285709E-2</v>
      </c>
    </row>
    <row r="112" spans="1:13" x14ac:dyDescent="0.2">
      <c r="A112">
        <v>1</v>
      </c>
      <c r="B112">
        <f t="shared" ref="B112:D112" si="114">B91</f>
        <v>6</v>
      </c>
      <c r="C112" t="str">
        <f t="shared" si="114"/>
        <v>ATECc</v>
      </c>
      <c r="D112">
        <f t="shared" si="114"/>
        <v>1</v>
      </c>
      <c r="E112" t="str">
        <f t="shared" si="61"/>
        <v>ATECc1</v>
      </c>
      <c r="F112">
        <f t="shared" ref="F112" si="115">F88</f>
        <v>3</v>
      </c>
      <c r="G112">
        <v>7</v>
      </c>
      <c r="H112">
        <v>53</v>
      </c>
      <c r="I112">
        <v>3</v>
      </c>
      <c r="J112">
        <f t="shared" si="62"/>
        <v>1E-3</v>
      </c>
      <c r="K112" s="1">
        <f t="shared" si="63"/>
        <v>2650000</v>
      </c>
      <c r="L112">
        <f t="shared" si="86"/>
        <v>184999999.99999997</v>
      </c>
      <c r="M112" s="2">
        <f t="shared" si="64"/>
        <v>1.4324324324324327E-2</v>
      </c>
    </row>
    <row r="113" spans="1:13" x14ac:dyDescent="0.2">
      <c r="A113">
        <v>1</v>
      </c>
      <c r="B113">
        <f t="shared" ref="B113:D113" si="116">B92</f>
        <v>7</v>
      </c>
      <c r="C113" t="str">
        <f t="shared" si="116"/>
        <v>ATECc</v>
      </c>
      <c r="D113">
        <f t="shared" si="116"/>
        <v>2</v>
      </c>
      <c r="E113" t="str">
        <f t="shared" si="61"/>
        <v>ATECc2</v>
      </c>
      <c r="F113">
        <f t="shared" ref="F113" si="117">F89</f>
        <v>1</v>
      </c>
      <c r="G113">
        <v>7</v>
      </c>
      <c r="H113">
        <v>62</v>
      </c>
      <c r="I113">
        <v>0</v>
      </c>
      <c r="J113">
        <f t="shared" si="62"/>
        <v>1</v>
      </c>
      <c r="K113" s="1">
        <f t="shared" si="63"/>
        <v>3100</v>
      </c>
      <c r="L113">
        <f t="shared" si="86"/>
        <v>184999999.99999997</v>
      </c>
      <c r="M113" s="2">
        <f t="shared" si="64"/>
        <v>1.675675675675676E-5</v>
      </c>
    </row>
    <row r="114" spans="1:13" x14ac:dyDescent="0.2">
      <c r="A114">
        <v>1</v>
      </c>
      <c r="B114">
        <f t="shared" ref="B114:D114" si="118">B93</f>
        <v>8</v>
      </c>
      <c r="C114" t="str">
        <f t="shared" si="118"/>
        <v>ATECc</v>
      </c>
      <c r="D114">
        <f t="shared" si="118"/>
        <v>2</v>
      </c>
      <c r="E114" t="str">
        <f t="shared" si="61"/>
        <v>ATECc2</v>
      </c>
      <c r="F114">
        <f t="shared" ref="F114" si="119">F90</f>
        <v>2</v>
      </c>
      <c r="G114">
        <v>7</v>
      </c>
      <c r="H114">
        <v>69</v>
      </c>
      <c r="I114">
        <v>0</v>
      </c>
      <c r="J114">
        <f t="shared" si="62"/>
        <v>1</v>
      </c>
      <c r="K114" s="1">
        <f t="shared" si="63"/>
        <v>3450</v>
      </c>
      <c r="L114">
        <f t="shared" si="86"/>
        <v>295000000</v>
      </c>
      <c r="M114" s="2">
        <f t="shared" si="64"/>
        <v>1.1694915254237288E-5</v>
      </c>
    </row>
    <row r="115" spans="1:13" x14ac:dyDescent="0.2">
      <c r="A115">
        <v>1</v>
      </c>
      <c r="B115">
        <f t="shared" ref="B115:D115" si="120">B94</f>
        <v>9</v>
      </c>
      <c r="C115" t="str">
        <f t="shared" si="120"/>
        <v>ATECc</v>
      </c>
      <c r="D115">
        <f t="shared" si="120"/>
        <v>2</v>
      </c>
      <c r="E115" t="str">
        <f t="shared" si="61"/>
        <v>ATECc2</v>
      </c>
      <c r="F115">
        <f t="shared" ref="F115" si="121">F91</f>
        <v>3</v>
      </c>
      <c r="G115">
        <v>7</v>
      </c>
      <c r="H115">
        <v>57</v>
      </c>
      <c r="I115">
        <v>0</v>
      </c>
      <c r="J115">
        <f t="shared" si="62"/>
        <v>1</v>
      </c>
      <c r="K115" s="1">
        <f t="shared" si="63"/>
        <v>2850</v>
      </c>
      <c r="L115">
        <f t="shared" si="86"/>
        <v>224999999.99999997</v>
      </c>
      <c r="M115" s="2">
        <f t="shared" si="64"/>
        <v>1.2666666666666668E-5</v>
      </c>
    </row>
    <row r="116" spans="1:13" x14ac:dyDescent="0.2">
      <c r="A116">
        <v>1</v>
      </c>
      <c r="B116">
        <f t="shared" ref="B116:D116" si="122">B95</f>
        <v>10</v>
      </c>
      <c r="C116" t="str">
        <f t="shared" si="122"/>
        <v>ATECc</v>
      </c>
      <c r="D116">
        <f t="shared" si="122"/>
        <v>3</v>
      </c>
      <c r="E116" t="str">
        <f t="shared" si="61"/>
        <v>ATECc3</v>
      </c>
      <c r="F116">
        <f t="shared" ref="F116" si="123">F92</f>
        <v>1</v>
      </c>
      <c r="G116">
        <v>7</v>
      </c>
      <c r="H116">
        <v>112</v>
      </c>
      <c r="I116">
        <v>0</v>
      </c>
      <c r="J116">
        <f t="shared" si="62"/>
        <v>1</v>
      </c>
      <c r="K116" s="1">
        <f t="shared" si="63"/>
        <v>5600</v>
      </c>
      <c r="L116">
        <f t="shared" si="86"/>
        <v>254999999.99999997</v>
      </c>
      <c r="M116" s="2">
        <f t="shared" si="64"/>
        <v>2.1960784313725494E-5</v>
      </c>
    </row>
    <row r="117" spans="1:13" x14ac:dyDescent="0.2">
      <c r="A117">
        <v>1</v>
      </c>
      <c r="B117">
        <f t="shared" ref="B117:D117" si="124">B96</f>
        <v>11</v>
      </c>
      <c r="C117" t="str">
        <f t="shared" si="124"/>
        <v>ATECc</v>
      </c>
      <c r="D117">
        <f t="shared" si="124"/>
        <v>3</v>
      </c>
      <c r="E117" t="str">
        <f t="shared" si="61"/>
        <v>ATECc3</v>
      </c>
      <c r="F117">
        <f t="shared" ref="F117" si="125">F93</f>
        <v>2</v>
      </c>
      <c r="G117">
        <v>7</v>
      </c>
      <c r="H117">
        <v>115</v>
      </c>
      <c r="I117">
        <v>0</v>
      </c>
      <c r="J117">
        <f t="shared" si="62"/>
        <v>1</v>
      </c>
      <c r="K117" s="1">
        <f t="shared" si="63"/>
        <v>5750</v>
      </c>
      <c r="L117">
        <f t="shared" si="86"/>
        <v>254999999.99999997</v>
      </c>
      <c r="M117" s="2">
        <f t="shared" si="64"/>
        <v>2.2549019607843141E-5</v>
      </c>
    </row>
    <row r="118" spans="1:13" x14ac:dyDescent="0.2">
      <c r="A118">
        <v>1</v>
      </c>
      <c r="B118">
        <f t="shared" ref="B118:D118" si="126">B97</f>
        <v>12</v>
      </c>
      <c r="C118" t="str">
        <f t="shared" si="126"/>
        <v>ATECc</v>
      </c>
      <c r="D118">
        <f t="shared" si="126"/>
        <v>3</v>
      </c>
      <c r="E118" t="str">
        <f t="shared" si="61"/>
        <v>ATECc3</v>
      </c>
      <c r="F118">
        <f t="shared" ref="F118" si="127">F94</f>
        <v>3</v>
      </c>
      <c r="G118">
        <v>7</v>
      </c>
      <c r="H118">
        <v>126</v>
      </c>
      <c r="I118">
        <v>0</v>
      </c>
      <c r="J118">
        <f t="shared" si="62"/>
        <v>1</v>
      </c>
      <c r="K118" s="1">
        <f t="shared" si="63"/>
        <v>6300</v>
      </c>
      <c r="L118">
        <f t="shared" si="86"/>
        <v>204999999.99999997</v>
      </c>
      <c r="M118" s="2">
        <f t="shared" si="64"/>
        <v>3.0731707317073172E-5</v>
      </c>
    </row>
    <row r="119" spans="1:13" x14ac:dyDescent="0.2">
      <c r="A119">
        <v>1</v>
      </c>
      <c r="B119">
        <f t="shared" ref="B119:D119" si="128">B98</f>
        <v>13</v>
      </c>
      <c r="C119" t="str">
        <f t="shared" si="128"/>
        <v>ATECc</v>
      </c>
      <c r="D119">
        <f t="shared" si="128"/>
        <v>4</v>
      </c>
      <c r="E119" t="str">
        <f t="shared" si="61"/>
        <v>ATECc4</v>
      </c>
      <c r="F119">
        <f t="shared" ref="F119" si="129">F95</f>
        <v>1</v>
      </c>
      <c r="G119">
        <v>7</v>
      </c>
      <c r="H119">
        <v>83</v>
      </c>
      <c r="I119">
        <v>0</v>
      </c>
      <c r="J119">
        <f t="shared" si="62"/>
        <v>1</v>
      </c>
      <c r="K119" s="1">
        <f t="shared" si="63"/>
        <v>4150</v>
      </c>
      <c r="L119">
        <f t="shared" si="86"/>
        <v>174999999.99999997</v>
      </c>
      <c r="M119" s="2">
        <f t="shared" si="64"/>
        <v>2.3714285714285717E-5</v>
      </c>
    </row>
    <row r="120" spans="1:13" x14ac:dyDescent="0.2">
      <c r="A120">
        <v>1</v>
      </c>
      <c r="B120">
        <f t="shared" ref="B120:D120" si="130">B99</f>
        <v>14</v>
      </c>
      <c r="C120" t="str">
        <f t="shared" si="130"/>
        <v>ATECc</v>
      </c>
      <c r="D120">
        <f t="shared" si="130"/>
        <v>4</v>
      </c>
      <c r="E120" t="str">
        <f t="shared" si="61"/>
        <v>ATECc4</v>
      </c>
      <c r="F120">
        <f t="shared" ref="F120" si="131">F96</f>
        <v>2</v>
      </c>
      <c r="G120">
        <v>7</v>
      </c>
      <c r="H120">
        <v>85</v>
      </c>
      <c r="I120">
        <v>0</v>
      </c>
      <c r="J120">
        <f t="shared" si="62"/>
        <v>1</v>
      </c>
      <c r="K120" s="1">
        <f t="shared" si="63"/>
        <v>4250</v>
      </c>
      <c r="L120">
        <f t="shared" si="86"/>
        <v>145000000</v>
      </c>
      <c r="M120" s="2">
        <f t="shared" si="64"/>
        <v>2.9310344827586206E-5</v>
      </c>
    </row>
    <row r="121" spans="1:13" x14ac:dyDescent="0.2">
      <c r="A121">
        <v>1</v>
      </c>
      <c r="B121">
        <f t="shared" ref="B121:D121" si="132">B100</f>
        <v>15</v>
      </c>
      <c r="C121" t="str">
        <f t="shared" si="132"/>
        <v>ATECc</v>
      </c>
      <c r="D121">
        <f t="shared" si="132"/>
        <v>4</v>
      </c>
      <c r="E121" t="str">
        <f t="shared" si="61"/>
        <v>ATECc4</v>
      </c>
      <c r="F121">
        <f t="shared" ref="F121" si="133">F97</f>
        <v>3</v>
      </c>
      <c r="G121">
        <v>7</v>
      </c>
      <c r="H121">
        <v>58</v>
      </c>
      <c r="I121">
        <v>0</v>
      </c>
      <c r="J121">
        <f t="shared" si="62"/>
        <v>1</v>
      </c>
      <c r="K121" s="1">
        <f t="shared" si="63"/>
        <v>2900</v>
      </c>
      <c r="L121">
        <f t="shared" si="86"/>
        <v>184999999.99999997</v>
      </c>
      <c r="M121" s="2">
        <f t="shared" si="64"/>
        <v>1.567567567567568E-5</v>
      </c>
    </row>
    <row r="122" spans="1:13" x14ac:dyDescent="0.2">
      <c r="A122">
        <v>1</v>
      </c>
      <c r="B122">
        <f t="shared" ref="B122:D122" si="134">B101</f>
        <v>16</v>
      </c>
      <c r="C122" t="str">
        <f t="shared" si="134"/>
        <v>ATECc</v>
      </c>
      <c r="D122">
        <f t="shared" si="134"/>
        <v>5</v>
      </c>
      <c r="E122" t="str">
        <f t="shared" si="61"/>
        <v>ATECc5</v>
      </c>
      <c r="F122">
        <f t="shared" ref="F122" si="135">F98</f>
        <v>1</v>
      </c>
      <c r="G122">
        <v>7</v>
      </c>
      <c r="H122">
        <v>62</v>
      </c>
      <c r="I122">
        <v>3</v>
      </c>
      <c r="J122">
        <f t="shared" si="62"/>
        <v>1E-3</v>
      </c>
      <c r="K122" s="1">
        <f t="shared" si="63"/>
        <v>3099999.9999999995</v>
      </c>
      <c r="L122">
        <f t="shared" si="86"/>
        <v>229999999.99999997</v>
      </c>
      <c r="M122" s="2">
        <f t="shared" si="64"/>
        <v>1.3478260869565217E-2</v>
      </c>
    </row>
    <row r="123" spans="1:13" x14ac:dyDescent="0.2">
      <c r="A123">
        <v>1</v>
      </c>
      <c r="B123">
        <f t="shared" ref="B123:D123" si="136">B102</f>
        <v>17</v>
      </c>
      <c r="C123" t="str">
        <f t="shared" si="136"/>
        <v>ATECc</v>
      </c>
      <c r="D123">
        <f t="shared" si="136"/>
        <v>5</v>
      </c>
      <c r="E123" t="str">
        <f t="shared" si="61"/>
        <v>ATECc5</v>
      </c>
      <c r="F123">
        <f t="shared" ref="F123" si="137">F99</f>
        <v>2</v>
      </c>
      <c r="G123">
        <v>7</v>
      </c>
      <c r="H123">
        <v>65</v>
      </c>
      <c r="I123">
        <v>3</v>
      </c>
      <c r="J123">
        <f t="shared" si="62"/>
        <v>1E-3</v>
      </c>
      <c r="K123" s="1">
        <f t="shared" si="63"/>
        <v>3249999.9999999995</v>
      </c>
      <c r="L123">
        <f t="shared" si="86"/>
        <v>184999999.99999997</v>
      </c>
      <c r="M123" s="2">
        <f t="shared" si="64"/>
        <v>1.7567567567567569E-2</v>
      </c>
    </row>
    <row r="124" spans="1:13" x14ac:dyDescent="0.2">
      <c r="A124">
        <v>1</v>
      </c>
      <c r="B124">
        <f t="shared" ref="B124:D124" si="138">B103</f>
        <v>18</v>
      </c>
      <c r="C124" t="str">
        <f t="shared" si="138"/>
        <v>ATECc</v>
      </c>
      <c r="D124">
        <f t="shared" si="138"/>
        <v>5</v>
      </c>
      <c r="E124" t="str">
        <f t="shared" si="61"/>
        <v>ATECc5</v>
      </c>
      <c r="F124">
        <f t="shared" ref="F124" si="139">F100</f>
        <v>3</v>
      </c>
      <c r="G124">
        <v>7</v>
      </c>
      <c r="H124">
        <v>70</v>
      </c>
      <c r="I124">
        <v>3</v>
      </c>
      <c r="J124">
        <f t="shared" si="62"/>
        <v>1E-3</v>
      </c>
      <c r="K124" s="1">
        <f t="shared" si="63"/>
        <v>3499999.9999999995</v>
      </c>
      <c r="L124">
        <f t="shared" si="86"/>
        <v>150000000</v>
      </c>
      <c r="M124" s="2">
        <f t="shared" si="64"/>
        <v>2.3333333333333331E-2</v>
      </c>
    </row>
    <row r="125" spans="1:13" x14ac:dyDescent="0.2">
      <c r="A125">
        <v>1</v>
      </c>
      <c r="B125">
        <f t="shared" ref="B125:D125" si="140">B104</f>
        <v>19</v>
      </c>
      <c r="C125" t="str">
        <f t="shared" si="140"/>
        <v>ATECc</v>
      </c>
      <c r="D125">
        <f t="shared" si="140"/>
        <v>6</v>
      </c>
      <c r="E125" t="str">
        <f t="shared" si="61"/>
        <v>ATECc6</v>
      </c>
      <c r="F125">
        <f t="shared" ref="F125" si="141">F101</f>
        <v>1</v>
      </c>
      <c r="G125">
        <v>7</v>
      </c>
      <c r="H125">
        <v>61</v>
      </c>
      <c r="I125">
        <v>3</v>
      </c>
      <c r="J125">
        <f t="shared" si="62"/>
        <v>1E-3</v>
      </c>
      <c r="K125" s="1">
        <f t="shared" si="63"/>
        <v>3049999.9999999995</v>
      </c>
      <c r="L125">
        <f t="shared" si="86"/>
        <v>204999999.99999997</v>
      </c>
      <c r="M125" s="2">
        <f t="shared" si="64"/>
        <v>1.4878048780487804E-2</v>
      </c>
    </row>
    <row r="126" spans="1:13" x14ac:dyDescent="0.2">
      <c r="A126">
        <v>1</v>
      </c>
      <c r="B126">
        <f t="shared" ref="B126:D126" si="142">B105</f>
        <v>20</v>
      </c>
      <c r="C126" t="str">
        <f t="shared" si="142"/>
        <v>ATECc</v>
      </c>
      <c r="D126">
        <f t="shared" si="142"/>
        <v>6</v>
      </c>
      <c r="E126" t="str">
        <f t="shared" si="61"/>
        <v>ATECc6</v>
      </c>
      <c r="F126">
        <f t="shared" ref="F126" si="143">F102</f>
        <v>2</v>
      </c>
      <c r="G126">
        <v>7</v>
      </c>
      <c r="H126">
        <v>62</v>
      </c>
      <c r="I126">
        <v>3</v>
      </c>
      <c r="J126">
        <f t="shared" si="62"/>
        <v>1E-3</v>
      </c>
      <c r="K126" s="1">
        <f t="shared" si="63"/>
        <v>3099999.9999999995</v>
      </c>
      <c r="L126">
        <f t="shared" si="86"/>
        <v>204999999.99999997</v>
      </c>
      <c r="M126" s="2">
        <f t="shared" si="64"/>
        <v>1.5121951219512195E-2</v>
      </c>
    </row>
    <row r="127" spans="1:13" x14ac:dyDescent="0.2">
      <c r="A127">
        <v>1</v>
      </c>
      <c r="B127">
        <f t="shared" ref="B127:D127" si="144">B106</f>
        <v>21</v>
      </c>
      <c r="C127" t="str">
        <f t="shared" si="144"/>
        <v>ATECc</v>
      </c>
      <c r="D127">
        <f t="shared" si="144"/>
        <v>6</v>
      </c>
      <c r="E127" t="str">
        <f t="shared" si="61"/>
        <v>ATECc6</v>
      </c>
      <c r="F127">
        <f t="shared" ref="F127" si="145">F103</f>
        <v>3</v>
      </c>
      <c r="G127">
        <v>7</v>
      </c>
      <c r="H127">
        <v>58</v>
      </c>
      <c r="I127">
        <v>3</v>
      </c>
      <c r="J127">
        <f t="shared" si="62"/>
        <v>1E-3</v>
      </c>
      <c r="K127" s="1">
        <f t="shared" si="63"/>
        <v>2899999.9999999995</v>
      </c>
      <c r="L127">
        <f t="shared" si="86"/>
        <v>234999999.99999997</v>
      </c>
      <c r="M127" s="2">
        <f t="shared" si="64"/>
        <v>1.2340425531914893E-2</v>
      </c>
    </row>
    <row r="128" spans="1:13" x14ac:dyDescent="0.2">
      <c r="K128" s="1"/>
      <c r="M128" s="2"/>
    </row>
    <row r="129" spans="11:13" x14ac:dyDescent="0.2">
      <c r="K129" s="1"/>
      <c r="M129" s="2"/>
    </row>
    <row r="130" spans="11:13" x14ac:dyDescent="0.2">
      <c r="K130" s="1"/>
      <c r="M130" s="2"/>
    </row>
    <row r="131" spans="11:13" x14ac:dyDescent="0.2">
      <c r="K131" s="1"/>
      <c r="M131" s="2"/>
    </row>
    <row r="132" spans="11:13" x14ac:dyDescent="0.2">
      <c r="K132" s="1"/>
      <c r="M132" s="2"/>
    </row>
    <row r="133" spans="11:13" x14ac:dyDescent="0.2">
      <c r="K133" s="1"/>
      <c r="M133" s="2"/>
    </row>
    <row r="134" spans="11:13" x14ac:dyDescent="0.2">
      <c r="K134" s="1"/>
      <c r="M134" s="2"/>
    </row>
    <row r="135" spans="11:13" x14ac:dyDescent="0.2">
      <c r="K135" s="1"/>
      <c r="M135" s="2"/>
    </row>
    <row r="136" spans="11:13" x14ac:dyDescent="0.2">
      <c r="K136" s="1"/>
      <c r="M136" s="2"/>
    </row>
    <row r="137" spans="11:13" x14ac:dyDescent="0.2">
      <c r="K137" s="1"/>
      <c r="M137" s="2"/>
    </row>
    <row r="138" spans="11:13" x14ac:dyDescent="0.2">
      <c r="K138" s="1"/>
      <c r="M138" s="2"/>
    </row>
    <row r="139" spans="11:13" x14ac:dyDescent="0.2">
      <c r="K139" s="1"/>
      <c r="M139" s="2"/>
    </row>
    <row r="140" spans="11:13" x14ac:dyDescent="0.2">
      <c r="K140" s="1"/>
      <c r="M140" s="2"/>
    </row>
    <row r="141" spans="11:13" x14ac:dyDescent="0.2">
      <c r="K141" s="1"/>
      <c r="M141" s="2"/>
    </row>
    <row r="142" spans="11:13" x14ac:dyDescent="0.2">
      <c r="K142" s="1"/>
      <c r="M142" s="2"/>
    </row>
    <row r="143" spans="11:13" x14ac:dyDescent="0.2">
      <c r="K143" s="1"/>
      <c r="M143" s="2"/>
    </row>
    <row r="144" spans="11:13" x14ac:dyDescent="0.2">
      <c r="K144" s="1"/>
      <c r="M144" s="2"/>
    </row>
    <row r="145" spans="11:13" x14ac:dyDescent="0.2">
      <c r="K145" s="1"/>
      <c r="M145" s="2"/>
    </row>
    <row r="146" spans="11:13" x14ac:dyDescent="0.2">
      <c r="K146" s="1"/>
      <c r="M146" s="2"/>
    </row>
    <row r="147" spans="11:13" x14ac:dyDescent="0.2">
      <c r="K147" s="1"/>
      <c r="M147" s="2"/>
    </row>
    <row r="148" spans="11:13" x14ac:dyDescent="0.2">
      <c r="K148" s="1"/>
      <c r="M148" s="2"/>
    </row>
    <row r="149" spans="11:13" x14ac:dyDescent="0.2">
      <c r="K149" s="1"/>
      <c r="M149" s="2"/>
    </row>
    <row r="150" spans="11:13" x14ac:dyDescent="0.2">
      <c r="K150" s="1"/>
      <c r="M150" s="2"/>
    </row>
    <row r="151" spans="11:13" x14ac:dyDescent="0.2">
      <c r="K151" s="1"/>
      <c r="M151" s="2"/>
    </row>
    <row r="152" spans="11:13" x14ac:dyDescent="0.2">
      <c r="K152" s="1"/>
      <c r="M152" s="2"/>
    </row>
    <row r="153" spans="11:13" x14ac:dyDescent="0.2">
      <c r="K153" s="1"/>
      <c r="M153" s="2"/>
    </row>
    <row r="154" spans="11:13" x14ac:dyDescent="0.2">
      <c r="K154" s="1"/>
      <c r="M154" s="2"/>
    </row>
    <row r="155" spans="11:13" x14ac:dyDescent="0.2">
      <c r="K155" s="1"/>
      <c r="M155" s="2"/>
    </row>
    <row r="156" spans="11:13" x14ac:dyDescent="0.2">
      <c r="K156" s="1"/>
      <c r="M156" s="2"/>
    </row>
    <row r="157" spans="11:13" x14ac:dyDescent="0.2">
      <c r="K157" s="1"/>
      <c r="M157" s="2"/>
    </row>
    <row r="158" spans="11:13" x14ac:dyDescent="0.2">
      <c r="K158" s="1"/>
      <c r="M158" s="2"/>
    </row>
    <row r="159" spans="11:13" x14ac:dyDescent="0.2">
      <c r="K159" s="1"/>
      <c r="M159" s="2"/>
    </row>
    <row r="160" spans="11:13" x14ac:dyDescent="0.2">
      <c r="K160" s="1"/>
      <c r="M160" s="2"/>
    </row>
    <row r="161" spans="11:13" x14ac:dyDescent="0.2">
      <c r="K161" s="1"/>
      <c r="M161" s="2"/>
    </row>
    <row r="162" spans="11:13" x14ac:dyDescent="0.2">
      <c r="K162" s="1"/>
      <c r="M162" s="2"/>
    </row>
    <row r="163" spans="11:13" x14ac:dyDescent="0.2">
      <c r="K163" s="1"/>
      <c r="M163" s="2"/>
    </row>
    <row r="164" spans="11:13" x14ac:dyDescent="0.2">
      <c r="K164" s="1"/>
      <c r="M164" s="2"/>
    </row>
    <row r="165" spans="11:13" x14ac:dyDescent="0.2">
      <c r="K165" s="1"/>
      <c r="M165" s="2"/>
    </row>
    <row r="166" spans="11:13" x14ac:dyDescent="0.2">
      <c r="K166" s="1"/>
      <c r="M166" s="2"/>
    </row>
    <row r="167" spans="11:13" x14ac:dyDescent="0.2">
      <c r="K167" s="1"/>
      <c r="M167" s="2"/>
    </row>
    <row r="168" spans="11:13" x14ac:dyDescent="0.2">
      <c r="K168" s="1"/>
      <c r="M168" s="2"/>
    </row>
    <row r="169" spans="11:13" x14ac:dyDescent="0.2">
      <c r="K169" s="1"/>
      <c r="M169" s="2"/>
    </row>
    <row r="170" spans="11:13" x14ac:dyDescent="0.2">
      <c r="K170" s="1"/>
      <c r="M170" s="2"/>
    </row>
    <row r="171" spans="11:13" x14ac:dyDescent="0.2">
      <c r="K171" s="1"/>
      <c r="M171" s="2"/>
    </row>
    <row r="172" spans="11:13" x14ac:dyDescent="0.2">
      <c r="K172" s="1"/>
      <c r="M172" s="2"/>
    </row>
    <row r="173" spans="11:13" x14ac:dyDescent="0.2">
      <c r="K173" s="1"/>
      <c r="M173" s="2"/>
    </row>
    <row r="174" spans="11:13" x14ac:dyDescent="0.2">
      <c r="K174" s="1"/>
      <c r="M174" s="2"/>
    </row>
    <row r="175" spans="11:13" x14ac:dyDescent="0.2">
      <c r="K175" s="1"/>
      <c r="M175" s="2"/>
    </row>
    <row r="176" spans="11:13" x14ac:dyDescent="0.2">
      <c r="K176" s="1"/>
      <c r="M176" s="2"/>
    </row>
    <row r="177" spans="11:13" x14ac:dyDescent="0.2">
      <c r="K177" s="1"/>
      <c r="M177" s="2"/>
    </row>
    <row r="178" spans="11:13" x14ac:dyDescent="0.2">
      <c r="K178" s="1"/>
      <c r="M178" s="2"/>
    </row>
    <row r="179" spans="11:13" x14ac:dyDescent="0.2">
      <c r="K179" s="1"/>
      <c r="M179" s="2"/>
    </row>
    <row r="180" spans="11:13" x14ac:dyDescent="0.2">
      <c r="K180" s="1"/>
      <c r="M180" s="2"/>
    </row>
    <row r="181" spans="11:13" x14ac:dyDescent="0.2">
      <c r="K181" s="1"/>
      <c r="M181" s="2"/>
    </row>
    <row r="182" spans="11:13" x14ac:dyDescent="0.2">
      <c r="K182" s="1"/>
      <c r="M182" s="2"/>
    </row>
    <row r="183" spans="11:13" x14ac:dyDescent="0.2">
      <c r="K183" s="1"/>
      <c r="M183" s="2"/>
    </row>
    <row r="184" spans="11:13" x14ac:dyDescent="0.2">
      <c r="K184" s="1"/>
      <c r="M184" s="2"/>
    </row>
    <row r="185" spans="11:13" x14ac:dyDescent="0.2">
      <c r="K185" s="1"/>
      <c r="M185" s="2"/>
    </row>
    <row r="186" spans="11:13" x14ac:dyDescent="0.2">
      <c r="K186" s="1"/>
      <c r="M186" s="2"/>
    </row>
    <row r="187" spans="11:13" x14ac:dyDescent="0.2">
      <c r="K187" s="1"/>
      <c r="M187" s="2"/>
    </row>
    <row r="188" spans="11:13" x14ac:dyDescent="0.2">
      <c r="K188" s="1"/>
      <c r="M188" s="2"/>
    </row>
    <row r="189" spans="11:13" x14ac:dyDescent="0.2">
      <c r="K189" s="1"/>
      <c r="M189" s="2"/>
    </row>
    <row r="190" spans="11:13" x14ac:dyDescent="0.2">
      <c r="K190" s="1"/>
      <c r="M190" s="2"/>
    </row>
    <row r="191" spans="11:13" x14ac:dyDescent="0.2">
      <c r="K191" s="1"/>
      <c r="M191" s="2"/>
    </row>
    <row r="192" spans="11:13" x14ac:dyDescent="0.2">
      <c r="K192" s="1"/>
      <c r="M192" s="2"/>
    </row>
    <row r="193" spans="11:13" x14ac:dyDescent="0.2">
      <c r="K193" s="1"/>
      <c r="M193" s="2"/>
    </row>
    <row r="194" spans="11:13" x14ac:dyDescent="0.2">
      <c r="K194" s="1"/>
      <c r="M194" s="2"/>
    </row>
    <row r="195" spans="11:13" x14ac:dyDescent="0.2">
      <c r="K195" s="1"/>
      <c r="M195" s="2"/>
    </row>
    <row r="196" spans="11:13" x14ac:dyDescent="0.2">
      <c r="K196" s="1"/>
      <c r="M196" s="2"/>
    </row>
    <row r="197" spans="11:13" x14ac:dyDescent="0.2">
      <c r="K197" s="1"/>
      <c r="M197" s="2"/>
    </row>
    <row r="198" spans="11:13" x14ac:dyDescent="0.2">
      <c r="K198" s="1"/>
      <c r="M198" s="2"/>
    </row>
    <row r="199" spans="11:13" x14ac:dyDescent="0.2">
      <c r="K199" s="1"/>
      <c r="M199" s="2"/>
    </row>
    <row r="200" spans="11:13" x14ac:dyDescent="0.2">
      <c r="K200" s="1"/>
      <c r="M200" s="2"/>
    </row>
    <row r="201" spans="11:13" x14ac:dyDescent="0.2">
      <c r="K201" s="1"/>
      <c r="M201" s="2"/>
    </row>
    <row r="202" spans="11:13" x14ac:dyDescent="0.2">
      <c r="K202" s="1"/>
      <c r="M202" s="2"/>
    </row>
    <row r="203" spans="11:13" x14ac:dyDescent="0.2">
      <c r="K203" s="1"/>
      <c r="M203" s="2"/>
    </row>
    <row r="204" spans="11:13" x14ac:dyDescent="0.2">
      <c r="K204" s="1"/>
      <c r="M204" s="2"/>
    </row>
    <row r="205" spans="11:13" x14ac:dyDescent="0.2">
      <c r="K205" s="1"/>
      <c r="M205" s="2"/>
    </row>
    <row r="206" spans="11:13" x14ac:dyDescent="0.2">
      <c r="K206" s="1"/>
      <c r="M206" s="2"/>
    </row>
    <row r="207" spans="11:13" x14ac:dyDescent="0.2">
      <c r="K207" s="1"/>
      <c r="M207" s="2"/>
    </row>
    <row r="208" spans="11:13" x14ac:dyDescent="0.2">
      <c r="K208" s="1"/>
      <c r="M208" s="2"/>
    </row>
    <row r="209" spans="8:13" x14ac:dyDescent="0.2">
      <c r="K209" s="1"/>
      <c r="M209" s="2"/>
    </row>
    <row r="210" spans="8:13" x14ac:dyDescent="0.2">
      <c r="K210" s="1"/>
      <c r="M210" s="2"/>
    </row>
    <row r="211" spans="8:13" x14ac:dyDescent="0.2">
      <c r="K211" s="1"/>
      <c r="M211" s="2"/>
    </row>
    <row r="212" spans="8:13" x14ac:dyDescent="0.2">
      <c r="K212" s="1"/>
      <c r="M212" s="2"/>
    </row>
    <row r="213" spans="8:13" x14ac:dyDescent="0.2">
      <c r="K213" s="1"/>
      <c r="M213" s="2"/>
    </row>
    <row r="214" spans="8:13" x14ac:dyDescent="0.2">
      <c r="K214" s="1"/>
      <c r="M214" s="2"/>
    </row>
    <row r="215" spans="8:13" x14ac:dyDescent="0.2">
      <c r="K215" s="1"/>
      <c r="M215" s="2"/>
    </row>
    <row r="216" spans="8:13" x14ac:dyDescent="0.2">
      <c r="K216" s="1"/>
      <c r="M216" s="2"/>
    </row>
    <row r="217" spans="8:13" x14ac:dyDescent="0.2">
      <c r="K217" s="1"/>
      <c r="M217" s="2"/>
    </row>
    <row r="218" spans="8:13" x14ac:dyDescent="0.2">
      <c r="K218" s="1"/>
      <c r="M218" s="2"/>
    </row>
    <row r="219" spans="8:13" x14ac:dyDescent="0.2">
      <c r="K219" s="1"/>
      <c r="M219" s="2"/>
    </row>
    <row r="220" spans="8:13" x14ac:dyDescent="0.2">
      <c r="H220" s="3"/>
      <c r="I220" s="3"/>
      <c r="K220" s="1"/>
      <c r="M220" s="2"/>
    </row>
    <row r="221" spans="8:13" x14ac:dyDescent="0.2">
      <c r="K221" s="1"/>
      <c r="M221" s="2"/>
    </row>
    <row r="222" spans="8:13" x14ac:dyDescent="0.2">
      <c r="K222" s="1"/>
      <c r="M222" s="2"/>
    </row>
    <row r="223" spans="8:13" x14ac:dyDescent="0.2">
      <c r="H223" s="3"/>
      <c r="I223" s="3"/>
      <c r="K223" s="1"/>
      <c r="M223" s="2"/>
    </row>
    <row r="224" spans="8:13" x14ac:dyDescent="0.2">
      <c r="K224" s="1"/>
      <c r="M224" s="2"/>
    </row>
    <row r="225" spans="8:13" x14ac:dyDescent="0.2">
      <c r="K225" s="1"/>
      <c r="M225" s="2"/>
    </row>
    <row r="226" spans="8:13" x14ac:dyDescent="0.2">
      <c r="H226" s="3"/>
      <c r="I226" s="3"/>
      <c r="K226" s="1"/>
      <c r="M226" s="2"/>
    </row>
    <row r="227" spans="8:13" x14ac:dyDescent="0.2">
      <c r="K227" s="1"/>
      <c r="M227" s="2"/>
    </row>
    <row r="228" spans="8:13" x14ac:dyDescent="0.2">
      <c r="K228" s="1"/>
      <c r="M228" s="2"/>
    </row>
    <row r="229" spans="8:13" x14ac:dyDescent="0.2">
      <c r="H229" s="3"/>
      <c r="I229" s="3"/>
      <c r="K229" s="1"/>
      <c r="M229" s="2"/>
    </row>
    <row r="230" spans="8:13" x14ac:dyDescent="0.2">
      <c r="K230" s="1"/>
      <c r="M230" s="2"/>
    </row>
    <row r="231" spans="8:13" x14ac:dyDescent="0.2">
      <c r="K231" s="1"/>
      <c r="M231" s="2"/>
    </row>
    <row r="232" spans="8:13" x14ac:dyDescent="0.2">
      <c r="H232" s="3"/>
      <c r="I232" s="3"/>
      <c r="K232" s="1"/>
      <c r="M232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Lyon</dc:creator>
  <cp:lastModifiedBy>Adam Lyon</cp:lastModifiedBy>
  <dcterms:created xsi:type="dcterms:W3CDTF">2024-02-22T01:56:38Z</dcterms:created>
  <dcterms:modified xsi:type="dcterms:W3CDTF">2024-08-19T17:51:26Z</dcterms:modified>
</cp:coreProperties>
</file>